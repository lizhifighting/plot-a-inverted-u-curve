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学习\北理工课程\高级宏观经济学\Week4\"/>
    </mc:Choice>
  </mc:AlternateContent>
  <xr:revisionPtr revIDLastSave="0" documentId="13_ncr:1_{BB6EEF68-3E5F-4B10-A431-4F26E0008C70}" xr6:coauthVersionLast="36" xr6:coauthVersionMax="36" xr10:uidLastSave="{00000000-0000-0000-0000-000000000000}"/>
  <bookViews>
    <workbookView xWindow="0" yWindow="0" windowWidth="14040" windowHeight="11535" tabRatio="842" activeTab="2" xr2:uid="{00000000-000D-0000-FFFF-FFFF00000000}"/>
  </bookViews>
  <sheets>
    <sheet name="Population" sheetId="1" r:id="rId1"/>
    <sheet name=" Real GDP Per Capita" sheetId="3" r:id="rId2"/>
    <sheet name="percapital" sheetId="6" r:id="rId3"/>
    <sheet name="CO2" sheetId="4" r:id="rId4"/>
    <sheet name="CO2 per capita" sheetId="5" r:id="rId5"/>
  </sheets>
  <definedNames>
    <definedName name="_xlnm.Print_Area" localSheetId="1">' Real GDP Per Capita'!$A$1:$GJ$138</definedName>
    <definedName name="_xlnm.Print_Titles" localSheetId="1">' Real GDP Per Capita'!$A:$A,' Real GDP Per Capita'!$1:$1</definedName>
    <definedName name="_xlnm.Print_Titles" localSheetId="0">Population!$A:$A,Population!#REF!</definedName>
  </definedNames>
  <calcPr calcId="191029"/>
</workbook>
</file>

<file path=xl/calcChain.xml><?xml version="1.0" encoding="utf-8"?>
<calcChain xmlns="http://schemas.openxmlformats.org/spreadsheetml/2006/main">
  <c r="K148" i="3" l="1"/>
  <c r="L148" i="3"/>
  <c r="N148" i="3"/>
  <c r="C147" i="3"/>
  <c r="C148" i="3" s="1"/>
  <c r="D147" i="3"/>
  <c r="D148" i="3" s="1"/>
  <c r="E147" i="3"/>
  <c r="E148" i="3" s="1"/>
  <c r="F147" i="3"/>
  <c r="F148" i="3" s="1"/>
  <c r="G147" i="3"/>
  <c r="G148" i="3" s="1"/>
  <c r="H147" i="3"/>
  <c r="H148" i="3" s="1"/>
  <c r="I147" i="3"/>
  <c r="I148" i="3" s="1"/>
  <c r="J147" i="3"/>
  <c r="J148" i="3" s="1"/>
  <c r="K147" i="3"/>
  <c r="L147" i="3"/>
  <c r="M147" i="3"/>
  <c r="M148" i="3" s="1"/>
  <c r="N147" i="3"/>
  <c r="O147" i="3"/>
  <c r="O148" i="3" s="1"/>
  <c r="P147" i="3"/>
  <c r="P148" i="3" s="1"/>
  <c r="Q147" i="3"/>
  <c r="Q148" i="3" s="1"/>
  <c r="R147" i="3"/>
  <c r="R148" i="3" s="1"/>
  <c r="S147" i="3"/>
  <c r="S148" i="3" s="1"/>
  <c r="T147" i="3"/>
  <c r="T148" i="3" s="1"/>
  <c r="U147" i="3"/>
  <c r="U148" i="3" s="1"/>
  <c r="V147" i="3"/>
  <c r="V148" i="3" s="1"/>
  <c r="B147" i="3"/>
  <c r="B148" i="3" s="1"/>
  <c r="B3" i="5" l="1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B2" i="5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X4" i="3"/>
  <c r="Y4" i="3"/>
  <c r="AU4" i="3"/>
  <c r="Z4" i="3"/>
  <c r="AA4" i="3"/>
  <c r="AB4" i="3"/>
  <c r="AC4" i="3"/>
  <c r="AY4" i="3"/>
  <c r="AD4" i="3"/>
  <c r="AE4" i="3"/>
  <c r="BA4" i="3" s="1"/>
  <c r="AF4" i="3"/>
  <c r="BB4" i="3" s="1"/>
  <c r="AG4" i="3"/>
  <c r="BC4" i="3" s="1"/>
  <c r="AH4" i="3"/>
  <c r="AI4" i="3"/>
  <c r="BE4" i="3" s="1"/>
  <c r="AJ4" i="3"/>
  <c r="AK4" i="3"/>
  <c r="AL4" i="3"/>
  <c r="AM4" i="3"/>
  <c r="AN4" i="3"/>
  <c r="AO4" i="3"/>
  <c r="BK4" i="3" s="1"/>
  <c r="AP4" i="3"/>
  <c r="BL4" i="3" s="1"/>
  <c r="AQ4" i="3"/>
  <c r="BM4" i="3" s="1"/>
  <c r="AR4" i="3"/>
  <c r="BN4" i="3" s="1"/>
  <c r="X5" i="3"/>
  <c r="AT5" i="3" s="1"/>
  <c r="Y5" i="3"/>
  <c r="AU5" i="3" s="1"/>
  <c r="Z5" i="3"/>
  <c r="AV5" i="3" s="1"/>
  <c r="AA5" i="3"/>
  <c r="AW5" i="3" s="1"/>
  <c r="AB5" i="3"/>
  <c r="AC5" i="3"/>
  <c r="AY5" i="3" s="1"/>
  <c r="AD5" i="3"/>
  <c r="AE5" i="3"/>
  <c r="AF5" i="3"/>
  <c r="BB5" i="3"/>
  <c r="AG5" i="3"/>
  <c r="AH5" i="3"/>
  <c r="BD5" i="3" s="1"/>
  <c r="AI5" i="3"/>
  <c r="BE5" i="3" s="1"/>
  <c r="AJ5" i="3"/>
  <c r="BF5" i="3"/>
  <c r="AK5" i="3"/>
  <c r="BG5" i="3" s="1"/>
  <c r="AL5" i="3"/>
  <c r="AM5" i="3"/>
  <c r="BI5" i="3" s="1"/>
  <c r="AN5" i="3"/>
  <c r="BJ5" i="3" s="1"/>
  <c r="AO5" i="3"/>
  <c r="AP5" i="3"/>
  <c r="AQ5" i="3"/>
  <c r="AR5" i="3"/>
  <c r="BN5" i="3" s="1"/>
  <c r="X6" i="3"/>
  <c r="Y6" i="3"/>
  <c r="AU6" i="3" s="1"/>
  <c r="Z6" i="3"/>
  <c r="AA6" i="3"/>
  <c r="AB6" i="3"/>
  <c r="AX6" i="3" s="1"/>
  <c r="AC6" i="3"/>
  <c r="AY6" i="3" s="1"/>
  <c r="AD6" i="3"/>
  <c r="AZ6" i="3" s="1"/>
  <c r="AE6" i="3"/>
  <c r="AF6" i="3"/>
  <c r="BB6" i="3" s="1"/>
  <c r="AG6" i="3"/>
  <c r="BC6" i="3" s="1"/>
  <c r="AH6" i="3"/>
  <c r="AI6" i="3"/>
  <c r="AJ6" i="3"/>
  <c r="AK6" i="3"/>
  <c r="AL6" i="3"/>
  <c r="AM6" i="3"/>
  <c r="BI6" i="3" s="1"/>
  <c r="AN6" i="3"/>
  <c r="AO6" i="3"/>
  <c r="BK6" i="3" s="1"/>
  <c r="AP6" i="3"/>
  <c r="BL6" i="3" s="1"/>
  <c r="AQ6" i="3"/>
  <c r="BM6" i="3" s="1"/>
  <c r="AR6" i="3"/>
  <c r="BN6" i="3" s="1"/>
  <c r="X7" i="3"/>
  <c r="AT7" i="3" s="1"/>
  <c r="Y7" i="3"/>
  <c r="Z7" i="3"/>
  <c r="AV7" i="3" s="1"/>
  <c r="AA7" i="3"/>
  <c r="AW7" i="3" s="1"/>
  <c r="AB7" i="3"/>
  <c r="AC7" i="3"/>
  <c r="AD7" i="3"/>
  <c r="AE7" i="3"/>
  <c r="AF7" i="3"/>
  <c r="BB7" i="3" s="1"/>
  <c r="AG7" i="3"/>
  <c r="AH7" i="3"/>
  <c r="BD7" i="3"/>
  <c r="AI7" i="3"/>
  <c r="BE7" i="3" s="1"/>
  <c r="AJ7" i="3"/>
  <c r="BF7" i="3" s="1"/>
  <c r="AK7" i="3"/>
  <c r="AL7" i="3"/>
  <c r="BH7" i="3" s="1"/>
  <c r="AM7" i="3"/>
  <c r="BI7" i="3" s="1"/>
  <c r="AN7" i="3"/>
  <c r="BJ7" i="3"/>
  <c r="AO7" i="3"/>
  <c r="AP7" i="3"/>
  <c r="AQ7" i="3"/>
  <c r="AR7" i="3"/>
  <c r="X8" i="3"/>
  <c r="AT8" i="3" s="1"/>
  <c r="Y8" i="3"/>
  <c r="AU8" i="3"/>
  <c r="Z8" i="3"/>
  <c r="AA8" i="3"/>
  <c r="AB8" i="3"/>
  <c r="AX8" i="3" s="1"/>
  <c r="AC8" i="3"/>
  <c r="AD8" i="3"/>
  <c r="AE8" i="3"/>
  <c r="BA8" i="3" s="1"/>
  <c r="AF8" i="3"/>
  <c r="AG8" i="3"/>
  <c r="BC8" i="3" s="1"/>
  <c r="AH8" i="3"/>
  <c r="AI8" i="3"/>
  <c r="BE8" i="3" s="1"/>
  <c r="AJ8" i="3"/>
  <c r="AK8" i="3"/>
  <c r="BG8" i="3"/>
  <c r="AL8" i="3"/>
  <c r="AM8" i="3"/>
  <c r="AN8" i="3"/>
  <c r="BJ8" i="3" s="1"/>
  <c r="AO8" i="3"/>
  <c r="BK8" i="3" s="1"/>
  <c r="AP8" i="3"/>
  <c r="BL8" i="3" s="1"/>
  <c r="AQ8" i="3"/>
  <c r="BM8" i="3" s="1"/>
  <c r="AR8" i="3"/>
  <c r="BN8" i="3" s="1"/>
  <c r="X9" i="3"/>
  <c r="AT9" i="3"/>
  <c r="Y9" i="3"/>
  <c r="AU9" i="3" s="1"/>
  <c r="Z9" i="3"/>
  <c r="AV9" i="3" s="1"/>
  <c r="AA9" i="3"/>
  <c r="AB9" i="3"/>
  <c r="AX9" i="3" s="1"/>
  <c r="AC9" i="3"/>
  <c r="AD9" i="3"/>
  <c r="AZ9" i="3" s="1"/>
  <c r="AE9" i="3"/>
  <c r="BA10" i="3" s="1"/>
  <c r="AF9" i="3"/>
  <c r="AG9" i="3"/>
  <c r="AH9" i="3"/>
  <c r="BD9" i="3" s="1"/>
  <c r="AI9" i="3"/>
  <c r="AJ9" i="3"/>
  <c r="BF9" i="3" s="1"/>
  <c r="AK9" i="3"/>
  <c r="BG9" i="3" s="1"/>
  <c r="AL9" i="3"/>
  <c r="BH9" i="3" s="1"/>
  <c r="AM9" i="3"/>
  <c r="BI9" i="3" s="1"/>
  <c r="AN9" i="3"/>
  <c r="AO9" i="3"/>
  <c r="AP9" i="3"/>
  <c r="AQ9" i="3"/>
  <c r="BM9" i="3" s="1"/>
  <c r="AR9" i="3"/>
  <c r="X10" i="3"/>
  <c r="AT10" i="3" s="1"/>
  <c r="Y10" i="3"/>
  <c r="AU10" i="3" s="1"/>
  <c r="Z10" i="3"/>
  <c r="AA10" i="3"/>
  <c r="AW10" i="3"/>
  <c r="AB10" i="3"/>
  <c r="AC10" i="3"/>
  <c r="AY10" i="3" s="1"/>
  <c r="AD10" i="3"/>
  <c r="AE10" i="3"/>
  <c r="AF10" i="3"/>
  <c r="AG10" i="3"/>
  <c r="BC10" i="3" s="1"/>
  <c r="AH10" i="3"/>
  <c r="AI10" i="3"/>
  <c r="BE10" i="3"/>
  <c r="AJ10" i="3"/>
  <c r="AK10" i="3"/>
  <c r="AL10" i="3"/>
  <c r="AM10" i="3"/>
  <c r="AN10" i="3"/>
  <c r="BJ10" i="3" s="1"/>
  <c r="AO10" i="3"/>
  <c r="BK10" i="3" s="1"/>
  <c r="AP10" i="3"/>
  <c r="BL10" i="3" s="1"/>
  <c r="AQ10" i="3"/>
  <c r="AR10" i="3"/>
  <c r="BN10" i="3" s="1"/>
  <c r="X11" i="3"/>
  <c r="Y11" i="3"/>
  <c r="AU11" i="3" s="1"/>
  <c r="Z11" i="3"/>
  <c r="AV11" i="3" s="1"/>
  <c r="AA11" i="3"/>
  <c r="AW11" i="3" s="1"/>
  <c r="AB11" i="3"/>
  <c r="AC11" i="3"/>
  <c r="AY11" i="3" s="1"/>
  <c r="AD11" i="3"/>
  <c r="AE11" i="3"/>
  <c r="AF11" i="3"/>
  <c r="BB11" i="3" s="1"/>
  <c r="AG11" i="3"/>
  <c r="AH11" i="3"/>
  <c r="BD11" i="3" s="1"/>
  <c r="AI11" i="3"/>
  <c r="BE11" i="3" s="1"/>
  <c r="AJ11" i="3"/>
  <c r="BF11" i="3"/>
  <c r="AK11" i="3"/>
  <c r="AL11" i="3"/>
  <c r="AM11" i="3"/>
  <c r="AN11" i="3"/>
  <c r="AO11" i="3"/>
  <c r="BK11" i="3"/>
  <c r="AP11" i="3"/>
  <c r="BL11" i="3" s="1"/>
  <c r="AQ11" i="3"/>
  <c r="BM11" i="3"/>
  <c r="AR11" i="3"/>
  <c r="BN11" i="3" s="1"/>
  <c r="X12" i="3"/>
  <c r="AT12" i="3" s="1"/>
  <c r="Y12" i="3"/>
  <c r="Z12" i="3"/>
  <c r="AV12" i="3" s="1"/>
  <c r="AA12" i="3"/>
  <c r="AB12" i="3"/>
  <c r="AX12" i="3"/>
  <c r="AC12" i="3"/>
  <c r="AD12" i="3"/>
  <c r="AZ12" i="3"/>
  <c r="AE12" i="3"/>
  <c r="AF12" i="3"/>
  <c r="BB12" i="3" s="1"/>
  <c r="AG12" i="3"/>
  <c r="BC12" i="3" s="1"/>
  <c r="AH12" i="3"/>
  <c r="BD12" i="3" s="1"/>
  <c r="AI12" i="3"/>
  <c r="AJ12" i="3"/>
  <c r="BF12" i="3" s="1"/>
  <c r="AK12" i="3"/>
  <c r="AL12" i="3"/>
  <c r="AM12" i="3"/>
  <c r="BI12" i="3" s="1"/>
  <c r="AN12" i="3"/>
  <c r="AO12" i="3"/>
  <c r="BK12" i="3" s="1"/>
  <c r="AP12" i="3"/>
  <c r="AQ12" i="3"/>
  <c r="AR12" i="3"/>
  <c r="X13" i="3"/>
  <c r="AT13" i="3" s="1"/>
  <c r="Y13" i="3"/>
  <c r="AU13" i="3" s="1"/>
  <c r="Z13" i="3"/>
  <c r="AV13" i="3" s="1"/>
  <c r="AA13" i="3"/>
  <c r="AW13" i="3" s="1"/>
  <c r="AB13" i="3"/>
  <c r="AX13" i="3" s="1"/>
  <c r="AC13" i="3"/>
  <c r="AY13" i="3" s="1"/>
  <c r="AD13" i="3"/>
  <c r="AZ13" i="3" s="1"/>
  <c r="AE13" i="3"/>
  <c r="BA13" i="3"/>
  <c r="AF13" i="3"/>
  <c r="AG13" i="3"/>
  <c r="AH13" i="3"/>
  <c r="AI13" i="3"/>
  <c r="BE13" i="3" s="1"/>
  <c r="AJ13" i="3"/>
  <c r="AK13" i="3"/>
  <c r="BG13" i="3" s="1"/>
  <c r="AL13" i="3"/>
  <c r="BH13" i="3" s="1"/>
  <c r="AM13" i="3"/>
  <c r="BI13" i="3" s="1"/>
  <c r="AN13" i="3"/>
  <c r="BJ13" i="3" s="1"/>
  <c r="AO13" i="3"/>
  <c r="BK13" i="3" s="1"/>
  <c r="AP13" i="3"/>
  <c r="AQ13" i="3"/>
  <c r="BM13" i="3" s="1"/>
  <c r="AR13" i="3"/>
  <c r="BN13" i="3" s="1"/>
  <c r="X14" i="3"/>
  <c r="Y14" i="3"/>
  <c r="Z14" i="3"/>
  <c r="AA14" i="3"/>
  <c r="AB14" i="3"/>
  <c r="AX14" i="3"/>
  <c r="AC14" i="3"/>
  <c r="AY14" i="3" s="1"/>
  <c r="AD14" i="3"/>
  <c r="AE14" i="3"/>
  <c r="BA14" i="3" s="1"/>
  <c r="AF14" i="3"/>
  <c r="BB14" i="3" s="1"/>
  <c r="AG14" i="3"/>
  <c r="AH14" i="3"/>
  <c r="BD14" i="3"/>
  <c r="AI14" i="3"/>
  <c r="AJ14" i="3"/>
  <c r="BF14" i="3" s="1"/>
  <c r="AK14" i="3"/>
  <c r="BG14" i="3" s="1"/>
  <c r="AL14" i="3"/>
  <c r="AM14" i="3"/>
  <c r="AN14" i="3"/>
  <c r="AO14" i="3"/>
  <c r="AP14" i="3"/>
  <c r="AQ14" i="3"/>
  <c r="BM14" i="3" s="1"/>
  <c r="AR14" i="3"/>
  <c r="X15" i="3"/>
  <c r="AT15" i="3" s="1"/>
  <c r="Y15" i="3"/>
  <c r="Z15" i="3"/>
  <c r="AV15" i="3" s="1"/>
  <c r="AA15" i="3"/>
  <c r="AB15" i="3"/>
  <c r="AX15" i="3" s="1"/>
  <c r="AC15" i="3"/>
  <c r="AD15" i="3"/>
  <c r="AZ15" i="3" s="1"/>
  <c r="AE15" i="3"/>
  <c r="BA15" i="3" s="1"/>
  <c r="AF15" i="3"/>
  <c r="AG15" i="3"/>
  <c r="AH15" i="3"/>
  <c r="BD15" i="3" s="1"/>
  <c r="AI15" i="3"/>
  <c r="BE15" i="3" s="1"/>
  <c r="AJ15" i="3"/>
  <c r="BF15" i="3" s="1"/>
  <c r="AK15" i="3"/>
  <c r="BG15" i="3" s="1"/>
  <c r="AL15" i="3"/>
  <c r="BH15" i="3" s="1"/>
  <c r="AM15" i="3"/>
  <c r="BI15" i="3" s="1"/>
  <c r="AN15" i="3"/>
  <c r="BJ15" i="3" s="1"/>
  <c r="AO15" i="3"/>
  <c r="BK15" i="3" s="1"/>
  <c r="AP15" i="3"/>
  <c r="BL15" i="3" s="1"/>
  <c r="AQ15" i="3"/>
  <c r="AR15" i="3"/>
  <c r="BN15" i="3" s="1"/>
  <c r="X16" i="3"/>
  <c r="Y16" i="3"/>
  <c r="Z16" i="3"/>
  <c r="AA16" i="3"/>
  <c r="AW16" i="3" s="1"/>
  <c r="AB16" i="3"/>
  <c r="AC16" i="3"/>
  <c r="AY16" i="3" s="1"/>
  <c r="AD16" i="3"/>
  <c r="AE16" i="3"/>
  <c r="BA16" i="3" s="1"/>
  <c r="AF16" i="3"/>
  <c r="AG16" i="3"/>
  <c r="BC16" i="3" s="1"/>
  <c r="AH16" i="3"/>
  <c r="AI16" i="3"/>
  <c r="BE16" i="3" s="1"/>
  <c r="AJ16" i="3"/>
  <c r="AK16" i="3"/>
  <c r="AL16" i="3"/>
  <c r="AM16" i="3"/>
  <c r="AN16" i="3"/>
  <c r="AO16" i="3"/>
  <c r="BK16" i="3" s="1"/>
  <c r="AP16" i="3"/>
  <c r="BL16" i="3" s="1"/>
  <c r="AQ16" i="3"/>
  <c r="BM16" i="3" s="1"/>
  <c r="AR16" i="3"/>
  <c r="X17" i="3"/>
  <c r="AT17" i="3" s="1"/>
  <c r="Y17" i="3"/>
  <c r="AU17" i="3" s="1"/>
  <c r="Z17" i="3"/>
  <c r="AA17" i="3"/>
  <c r="AW17" i="3" s="1"/>
  <c r="AB17" i="3"/>
  <c r="AC17" i="3"/>
  <c r="AY17" i="3" s="1"/>
  <c r="AD17" i="3"/>
  <c r="AZ17" i="3" s="1"/>
  <c r="AE17" i="3"/>
  <c r="AF17" i="3"/>
  <c r="AG17" i="3"/>
  <c r="BC17" i="3" s="1"/>
  <c r="AH17" i="3"/>
  <c r="AI17" i="3"/>
  <c r="AJ17" i="3"/>
  <c r="BF17" i="3" s="1"/>
  <c r="AK17" i="3"/>
  <c r="AL17" i="3"/>
  <c r="BH17" i="3" s="1"/>
  <c r="AM17" i="3"/>
  <c r="BI17" i="3" s="1"/>
  <c r="AN17" i="3"/>
  <c r="AO17" i="3"/>
  <c r="BK17" i="3" s="1"/>
  <c r="AP17" i="3"/>
  <c r="AQ17" i="3"/>
  <c r="BM17" i="3" s="1"/>
  <c r="AR17" i="3"/>
  <c r="X18" i="3"/>
  <c r="AT18" i="3" s="1"/>
  <c r="Y18" i="3"/>
  <c r="Z18" i="3"/>
  <c r="AV18" i="3" s="1"/>
  <c r="AA18" i="3"/>
  <c r="AB18" i="3"/>
  <c r="AX18" i="3" s="1"/>
  <c r="AC18" i="3"/>
  <c r="AD18" i="3"/>
  <c r="AZ18" i="3" s="1"/>
  <c r="AE18" i="3"/>
  <c r="BA18" i="3" s="1"/>
  <c r="AF18" i="3"/>
  <c r="BB18" i="3" s="1"/>
  <c r="AG18" i="3"/>
  <c r="AH18" i="3"/>
  <c r="BD18" i="3" s="1"/>
  <c r="AI18" i="3"/>
  <c r="AJ18" i="3"/>
  <c r="BF18" i="3" s="1"/>
  <c r="AK18" i="3"/>
  <c r="AL18" i="3"/>
  <c r="AM18" i="3"/>
  <c r="AN18" i="3"/>
  <c r="BJ18" i="3"/>
  <c r="AO18" i="3"/>
  <c r="AP18" i="3"/>
  <c r="BL18" i="3" s="1"/>
  <c r="AQ18" i="3"/>
  <c r="BM18" i="3" s="1"/>
  <c r="AR18" i="3"/>
  <c r="BN18" i="3" s="1"/>
  <c r="X19" i="3"/>
  <c r="AT19" i="3" s="1"/>
  <c r="Y19" i="3"/>
  <c r="AU19" i="3" s="1"/>
  <c r="Z19" i="3"/>
  <c r="AA19" i="3"/>
  <c r="AW19" i="3"/>
  <c r="AB19" i="3"/>
  <c r="AC19" i="3"/>
  <c r="AY19" i="3" s="1"/>
  <c r="AD19" i="3"/>
  <c r="AE19" i="3"/>
  <c r="BA19" i="3" s="1"/>
  <c r="AF19" i="3"/>
  <c r="AG19" i="3"/>
  <c r="AH19" i="3"/>
  <c r="BD19" i="3" s="1"/>
  <c r="AI19" i="3"/>
  <c r="BE19" i="3"/>
  <c r="AJ19" i="3"/>
  <c r="AK19" i="3"/>
  <c r="BG19" i="3" s="1"/>
  <c r="AL19" i="3"/>
  <c r="BH19" i="3" s="1"/>
  <c r="AM19" i="3"/>
  <c r="BI19" i="3" s="1"/>
  <c r="AN19" i="3"/>
  <c r="BJ19" i="3" s="1"/>
  <c r="AO19" i="3"/>
  <c r="BK19" i="3" s="1"/>
  <c r="AP19" i="3"/>
  <c r="AQ19" i="3"/>
  <c r="BM19" i="3"/>
  <c r="AR19" i="3"/>
  <c r="X20" i="3"/>
  <c r="Y20" i="3"/>
  <c r="Z20" i="3"/>
  <c r="AA20" i="3"/>
  <c r="AW20" i="3" s="1"/>
  <c r="AB20" i="3"/>
  <c r="AX20" i="3" s="1"/>
  <c r="AC20" i="3"/>
  <c r="AD20" i="3"/>
  <c r="AZ20" i="3"/>
  <c r="AE20" i="3"/>
  <c r="BA20" i="3" s="1"/>
  <c r="AF20" i="3"/>
  <c r="BB20" i="3" s="1"/>
  <c r="AG20" i="3"/>
  <c r="BC20" i="3" s="1"/>
  <c r="AH20" i="3"/>
  <c r="AI20" i="3"/>
  <c r="BE20" i="3" s="1"/>
  <c r="AJ20" i="3"/>
  <c r="AK20" i="3"/>
  <c r="BG20" i="3" s="1"/>
  <c r="AL20" i="3"/>
  <c r="AM20" i="3"/>
  <c r="AN20" i="3"/>
  <c r="AO20" i="3"/>
  <c r="BK20" i="3" s="1"/>
  <c r="AP20" i="3"/>
  <c r="AQ20" i="3"/>
  <c r="BM20" i="3" s="1"/>
  <c r="AR20" i="3"/>
  <c r="BN20" i="3" s="1"/>
  <c r="X21" i="3"/>
  <c r="AT21" i="3" s="1"/>
  <c r="Y21" i="3"/>
  <c r="AU21" i="3" s="1"/>
  <c r="Z21" i="3"/>
  <c r="AV21" i="3" s="1"/>
  <c r="AA21" i="3"/>
  <c r="AB21" i="3"/>
  <c r="AX21" i="3" s="1"/>
  <c r="AC21" i="3"/>
  <c r="AD21" i="3"/>
  <c r="AZ21" i="3" s="1"/>
  <c r="AE21" i="3"/>
  <c r="AF21" i="3"/>
  <c r="BB21" i="3" s="1"/>
  <c r="AG21" i="3"/>
  <c r="AH21" i="3"/>
  <c r="AI21" i="3"/>
  <c r="BE21" i="3" s="1"/>
  <c r="AJ21" i="3"/>
  <c r="BF21" i="3" s="1"/>
  <c r="AK21" i="3"/>
  <c r="AL21" i="3"/>
  <c r="BH21" i="3" s="1"/>
  <c r="AM21" i="3"/>
  <c r="BI21" i="3" s="1"/>
  <c r="AN21" i="3"/>
  <c r="BJ21" i="3" s="1"/>
  <c r="AO21" i="3"/>
  <c r="AP21" i="3"/>
  <c r="BL21" i="3" s="1"/>
  <c r="AQ21" i="3"/>
  <c r="AR21" i="3"/>
  <c r="X22" i="3"/>
  <c r="Y22" i="3"/>
  <c r="Z22" i="3"/>
  <c r="AV22" i="3" s="1"/>
  <c r="AA22" i="3"/>
  <c r="AB22" i="3"/>
  <c r="AC22" i="3"/>
  <c r="AY22" i="3" s="1"/>
  <c r="AD22" i="3"/>
  <c r="AZ22" i="3" s="1"/>
  <c r="AE22" i="3"/>
  <c r="BA22" i="3" s="1"/>
  <c r="AF22" i="3"/>
  <c r="BB22" i="3" s="1"/>
  <c r="AG22" i="3"/>
  <c r="BC22" i="3" s="1"/>
  <c r="AH22" i="3"/>
  <c r="BD22" i="3" s="1"/>
  <c r="AI22" i="3"/>
  <c r="AJ22" i="3"/>
  <c r="BF22" i="3"/>
  <c r="AK22" i="3"/>
  <c r="AL22" i="3"/>
  <c r="BH22" i="3" s="1"/>
  <c r="AM22" i="3"/>
  <c r="AN22" i="3"/>
  <c r="AO22" i="3"/>
  <c r="AP22" i="3"/>
  <c r="AQ22" i="3"/>
  <c r="AR22" i="3"/>
  <c r="BN22" i="3" s="1"/>
  <c r="X23" i="3"/>
  <c r="AT23" i="3" s="1"/>
  <c r="Y23" i="3"/>
  <c r="AU23" i="3" s="1"/>
  <c r="Z23" i="3"/>
  <c r="AV23" i="3" s="1"/>
  <c r="AA23" i="3"/>
  <c r="AW23" i="3" s="1"/>
  <c r="AB23" i="3"/>
  <c r="AX23" i="3" s="1"/>
  <c r="AC23" i="3"/>
  <c r="AY23" i="3" s="1"/>
  <c r="AD23" i="3"/>
  <c r="AE23" i="3"/>
  <c r="AF23" i="3"/>
  <c r="AG23" i="3"/>
  <c r="AH23" i="3"/>
  <c r="BD23" i="3" s="1"/>
  <c r="AI23" i="3"/>
  <c r="AJ23" i="3"/>
  <c r="AK23" i="3"/>
  <c r="BG23" i="3" s="1"/>
  <c r="AL23" i="3"/>
  <c r="AM23" i="3"/>
  <c r="BI23" i="3"/>
  <c r="AN23" i="3"/>
  <c r="BJ23" i="3" s="1"/>
  <c r="AO23" i="3"/>
  <c r="BK23" i="3" s="1"/>
  <c r="AP23" i="3"/>
  <c r="AQ23" i="3"/>
  <c r="AR23" i="3"/>
  <c r="BN23" i="3" s="1"/>
  <c r="X24" i="3"/>
  <c r="Y24" i="3"/>
  <c r="Z24" i="3"/>
  <c r="AA24" i="3"/>
  <c r="AB24" i="3"/>
  <c r="AC24" i="3"/>
  <c r="AD24" i="3"/>
  <c r="AZ24" i="3" s="1"/>
  <c r="AE24" i="3"/>
  <c r="AF24" i="3"/>
  <c r="BB24" i="3" s="1"/>
  <c r="AG24" i="3"/>
  <c r="BC24" i="3" s="1"/>
  <c r="AH24" i="3"/>
  <c r="BD24" i="3" s="1"/>
  <c r="AI24" i="3"/>
  <c r="BE24" i="3" s="1"/>
  <c r="AJ24" i="3"/>
  <c r="BF24" i="3" s="1"/>
  <c r="AK24" i="3"/>
  <c r="AL24" i="3"/>
  <c r="BH24" i="3" s="1"/>
  <c r="AM24" i="3"/>
  <c r="AN24" i="3"/>
  <c r="AO24" i="3"/>
  <c r="BK24" i="3" s="1"/>
  <c r="AP24" i="3"/>
  <c r="AQ24" i="3"/>
  <c r="AR24" i="3"/>
  <c r="X25" i="3"/>
  <c r="AT25" i="3" s="1"/>
  <c r="Y25" i="3"/>
  <c r="AU25" i="3" s="1"/>
  <c r="Z25" i="3"/>
  <c r="AV25" i="3" s="1"/>
  <c r="AA25" i="3"/>
  <c r="AW25" i="3" s="1"/>
  <c r="AB25" i="3"/>
  <c r="AX25" i="3" s="1"/>
  <c r="AC25" i="3"/>
  <c r="AY25" i="3" s="1"/>
  <c r="AD25" i="3"/>
  <c r="AE25" i="3"/>
  <c r="BA25" i="3" s="1"/>
  <c r="AF25" i="3"/>
  <c r="AG25" i="3"/>
  <c r="AH25" i="3"/>
  <c r="AI25" i="3"/>
  <c r="AJ25" i="3"/>
  <c r="BF25" i="3" s="1"/>
  <c r="AK25" i="3"/>
  <c r="AL25" i="3"/>
  <c r="AM25" i="3"/>
  <c r="BI25" i="3" s="1"/>
  <c r="AN25" i="3"/>
  <c r="BJ25" i="3" s="1"/>
  <c r="AO25" i="3"/>
  <c r="AP25" i="3"/>
  <c r="BL25" i="3" s="1"/>
  <c r="AQ25" i="3"/>
  <c r="AR25" i="3"/>
  <c r="BN25" i="3" s="1"/>
  <c r="X26" i="3"/>
  <c r="AT26" i="3" s="1"/>
  <c r="Y26" i="3"/>
  <c r="AU26" i="3" s="1"/>
  <c r="Z26" i="3"/>
  <c r="AA26" i="3"/>
  <c r="AB26" i="3"/>
  <c r="AC26" i="3"/>
  <c r="AD26" i="3"/>
  <c r="AE26" i="3"/>
  <c r="BA26" i="3" s="1"/>
  <c r="AF26" i="3"/>
  <c r="AG26" i="3"/>
  <c r="BC26" i="3" s="1"/>
  <c r="AH26" i="3"/>
  <c r="AI26" i="3"/>
  <c r="AJ26" i="3"/>
  <c r="AK26" i="3"/>
  <c r="BG26" i="3" s="1"/>
  <c r="AL26" i="3"/>
  <c r="AM26" i="3"/>
  <c r="BI26" i="3" s="1"/>
  <c r="AN26" i="3"/>
  <c r="BJ26" i="3" s="1"/>
  <c r="AO26" i="3"/>
  <c r="AP26" i="3"/>
  <c r="AQ26" i="3"/>
  <c r="AR26" i="3"/>
  <c r="X27" i="3"/>
  <c r="AT27" i="3" s="1"/>
  <c r="Y27" i="3"/>
  <c r="Z27" i="3"/>
  <c r="AV27" i="3" s="1"/>
  <c r="AA27" i="3"/>
  <c r="AB27" i="3"/>
  <c r="AX27" i="3" s="1"/>
  <c r="AC27" i="3"/>
  <c r="AD27" i="3"/>
  <c r="AE27" i="3"/>
  <c r="AF27" i="3"/>
  <c r="BB27" i="3" s="1"/>
  <c r="AG27" i="3"/>
  <c r="AH27" i="3"/>
  <c r="BD27" i="3" s="1"/>
  <c r="AI27" i="3"/>
  <c r="BE27" i="3" s="1"/>
  <c r="AJ27" i="3"/>
  <c r="AK27" i="3"/>
  <c r="AL27" i="3"/>
  <c r="AM27" i="3"/>
  <c r="AN27" i="3"/>
  <c r="BJ27" i="3" s="1"/>
  <c r="AO27" i="3"/>
  <c r="AP27" i="3"/>
  <c r="BL27" i="3" s="1"/>
  <c r="AQ27" i="3"/>
  <c r="AR27" i="3"/>
  <c r="BN27" i="3" s="1"/>
  <c r="X28" i="3"/>
  <c r="Y28" i="3"/>
  <c r="Z28" i="3"/>
  <c r="AA28" i="3"/>
  <c r="AW28" i="3" s="1"/>
  <c r="AB28" i="3"/>
  <c r="AC28" i="3"/>
  <c r="AY28" i="3" s="1"/>
  <c r="AD28" i="3"/>
  <c r="AZ28" i="3" s="1"/>
  <c r="AE28" i="3"/>
  <c r="AF28" i="3"/>
  <c r="AG28" i="3"/>
  <c r="AH28" i="3"/>
  <c r="AI28" i="3"/>
  <c r="BE28" i="3" s="1"/>
  <c r="AJ28" i="3"/>
  <c r="AK28" i="3"/>
  <c r="BG28" i="3" s="1"/>
  <c r="AL28" i="3"/>
  <c r="AM28" i="3"/>
  <c r="BI28" i="3" s="1"/>
  <c r="AN28" i="3"/>
  <c r="AO28" i="3"/>
  <c r="AP28" i="3"/>
  <c r="AQ28" i="3"/>
  <c r="BM28" i="3" s="1"/>
  <c r="AR28" i="3"/>
  <c r="X29" i="3"/>
  <c r="AT29" i="3" s="1"/>
  <c r="Y29" i="3"/>
  <c r="AU29" i="3" s="1"/>
  <c r="Z29" i="3"/>
  <c r="AA29" i="3"/>
  <c r="AB29" i="3"/>
  <c r="AC29" i="3"/>
  <c r="AD29" i="3"/>
  <c r="AZ29" i="3" s="1"/>
  <c r="AE29" i="3"/>
  <c r="AF29" i="3"/>
  <c r="BB29" i="3" s="1"/>
  <c r="AG29" i="3"/>
  <c r="AH29" i="3"/>
  <c r="BD29" i="3" s="1"/>
  <c r="AI29" i="3"/>
  <c r="AJ29" i="3"/>
  <c r="AK29" i="3"/>
  <c r="AL29" i="3"/>
  <c r="BH29" i="3" s="1"/>
  <c r="AM29" i="3"/>
  <c r="AN29" i="3"/>
  <c r="BJ30" i="3" s="1"/>
  <c r="AO29" i="3"/>
  <c r="AP29" i="3"/>
  <c r="AQ29" i="3"/>
  <c r="AR29" i="3"/>
  <c r="X30" i="3"/>
  <c r="Y30" i="3"/>
  <c r="AU30" i="3" s="1"/>
  <c r="Z30" i="3"/>
  <c r="AA30" i="3"/>
  <c r="AB30" i="3"/>
  <c r="AC30" i="3"/>
  <c r="AY30" i="3" s="1"/>
  <c r="AD30" i="3"/>
  <c r="AE30" i="3"/>
  <c r="AF30" i="3"/>
  <c r="AG30" i="3"/>
  <c r="BC30" i="3" s="1"/>
  <c r="AH30" i="3"/>
  <c r="AI30" i="3"/>
  <c r="BE30" i="3" s="1"/>
  <c r="AJ30" i="3"/>
  <c r="AK30" i="3"/>
  <c r="AL30" i="3"/>
  <c r="AM30" i="3"/>
  <c r="AN30" i="3"/>
  <c r="AO30" i="3"/>
  <c r="AP30" i="3"/>
  <c r="AQ30" i="3"/>
  <c r="BM30" i="3" s="1"/>
  <c r="AR30" i="3"/>
  <c r="X31" i="3"/>
  <c r="Y31" i="3"/>
  <c r="Z31" i="3"/>
  <c r="AA31" i="3"/>
  <c r="AB31" i="3"/>
  <c r="AX31" i="3" s="1"/>
  <c r="AC31" i="3"/>
  <c r="AY31" i="3" s="1"/>
  <c r="AD31" i="3"/>
  <c r="AZ31" i="3" s="1"/>
  <c r="AE31" i="3"/>
  <c r="AF31" i="3"/>
  <c r="AG31" i="3"/>
  <c r="AH31" i="3"/>
  <c r="BD32" i="3" s="1"/>
  <c r="AI31" i="3"/>
  <c r="AJ31" i="3"/>
  <c r="BF31" i="3" s="1"/>
  <c r="AK31" i="3"/>
  <c r="AL31" i="3"/>
  <c r="BH31" i="3" s="1"/>
  <c r="AM31" i="3"/>
  <c r="AN31" i="3"/>
  <c r="AO31" i="3"/>
  <c r="AP31" i="3"/>
  <c r="AQ31" i="3"/>
  <c r="AR31" i="3"/>
  <c r="BN31" i="3" s="1"/>
  <c r="X32" i="3"/>
  <c r="AT32" i="3" s="1"/>
  <c r="Y32" i="3"/>
  <c r="Z32" i="3"/>
  <c r="AV32" i="3" s="1"/>
  <c r="AA32" i="3"/>
  <c r="AB32" i="3"/>
  <c r="AC32" i="3"/>
  <c r="AD32" i="3"/>
  <c r="AE32" i="3"/>
  <c r="AF32" i="3"/>
  <c r="AG32" i="3"/>
  <c r="AH32" i="3"/>
  <c r="AI32" i="3"/>
  <c r="AJ32" i="3"/>
  <c r="AK32" i="3"/>
  <c r="BG32" i="3" s="1"/>
  <c r="AL32" i="3"/>
  <c r="BH32" i="3" s="1"/>
  <c r="AM32" i="3"/>
  <c r="BI32" i="3" s="1"/>
  <c r="AN32" i="3"/>
  <c r="BJ32" i="3" s="1"/>
  <c r="AO32" i="3"/>
  <c r="AP32" i="3"/>
  <c r="BL32" i="3"/>
  <c r="AQ32" i="3"/>
  <c r="AR32" i="3"/>
  <c r="X33" i="3"/>
  <c r="Y33" i="3"/>
  <c r="Z33" i="3"/>
  <c r="AA33" i="3"/>
  <c r="AB33" i="3"/>
  <c r="AC33" i="3"/>
  <c r="AY33" i="3"/>
  <c r="AD33" i="3"/>
  <c r="AE33" i="3"/>
  <c r="BA33" i="3" s="1"/>
  <c r="AF33" i="3"/>
  <c r="AG33" i="3"/>
  <c r="BC33" i="3" s="1"/>
  <c r="AH33" i="3"/>
  <c r="BD33" i="3" s="1"/>
  <c r="AI33" i="3"/>
  <c r="BE33" i="3" s="1"/>
  <c r="AJ33" i="3"/>
  <c r="AK33" i="3"/>
  <c r="AL33" i="3"/>
  <c r="AM33" i="3"/>
  <c r="AN33" i="3"/>
  <c r="AO33" i="3"/>
  <c r="AP33" i="3"/>
  <c r="BL33" i="3" s="1"/>
  <c r="AQ33" i="3"/>
  <c r="AR33" i="3"/>
  <c r="BN33" i="3" s="1"/>
  <c r="X34" i="3"/>
  <c r="AT34" i="3"/>
  <c r="Y34" i="3"/>
  <c r="Z34" i="3"/>
  <c r="AV34" i="3" s="1"/>
  <c r="AA34" i="3"/>
  <c r="AW34" i="3" s="1"/>
  <c r="AB34" i="3"/>
  <c r="AC34" i="3"/>
  <c r="AY34" i="3" s="1"/>
  <c r="AD34" i="3"/>
  <c r="AE34" i="3"/>
  <c r="AF34" i="3"/>
  <c r="AG34" i="3"/>
  <c r="AH34" i="3"/>
  <c r="AI34" i="3"/>
  <c r="AJ34" i="3"/>
  <c r="AK34" i="3"/>
  <c r="BG34" i="3" s="1"/>
  <c r="AL34" i="3"/>
  <c r="AM34" i="3"/>
  <c r="BI34" i="3" s="1"/>
  <c r="AN34" i="3"/>
  <c r="BJ34" i="3"/>
  <c r="AO34" i="3"/>
  <c r="AP34" i="3"/>
  <c r="AQ34" i="3"/>
  <c r="BM34" i="3" s="1"/>
  <c r="AR34" i="3"/>
  <c r="X35" i="3"/>
  <c r="Y35" i="3"/>
  <c r="Z35" i="3"/>
  <c r="AA35" i="3"/>
  <c r="AW35" i="3" s="1"/>
  <c r="AB35" i="3"/>
  <c r="AX35" i="3" s="1"/>
  <c r="AC35" i="3"/>
  <c r="AD35" i="3"/>
  <c r="AE35" i="3"/>
  <c r="BA35" i="3" s="1"/>
  <c r="AF35" i="3"/>
  <c r="BB35" i="3" s="1"/>
  <c r="AG35" i="3"/>
  <c r="AH35" i="3"/>
  <c r="BD35" i="3" s="1"/>
  <c r="AI35" i="3"/>
  <c r="BE35" i="3" s="1"/>
  <c r="AJ35" i="3"/>
  <c r="AK35" i="3"/>
  <c r="AL35" i="3"/>
  <c r="BH35" i="3" s="1"/>
  <c r="AM35" i="3"/>
  <c r="AN35" i="3"/>
  <c r="AO35" i="3"/>
  <c r="AP35" i="3"/>
  <c r="AQ35" i="3"/>
  <c r="BM35" i="3" s="1"/>
  <c r="AR35" i="3"/>
  <c r="BN35" i="3" s="1"/>
  <c r="X36" i="3"/>
  <c r="AT36" i="3" s="1"/>
  <c r="Y36" i="3"/>
  <c r="Z36" i="3"/>
  <c r="AV36" i="3" s="1"/>
  <c r="AA36" i="3"/>
  <c r="AW36" i="3" s="1"/>
  <c r="AB36" i="3"/>
  <c r="AC36" i="3"/>
  <c r="AY36" i="3" s="1"/>
  <c r="AD36" i="3"/>
  <c r="AE36" i="3"/>
  <c r="AF36" i="3"/>
  <c r="AG36" i="3"/>
  <c r="AH36" i="3"/>
  <c r="AI36" i="3"/>
  <c r="AJ36" i="3"/>
  <c r="AK36" i="3"/>
  <c r="BG36" i="3" s="1"/>
  <c r="AL36" i="3"/>
  <c r="BH36" i="3" s="1"/>
  <c r="AM36" i="3"/>
  <c r="AN36" i="3"/>
  <c r="BJ36" i="3" s="1"/>
  <c r="AO36" i="3"/>
  <c r="AP36" i="3"/>
  <c r="BL36" i="3" s="1"/>
  <c r="AQ36" i="3"/>
  <c r="AR36" i="3"/>
  <c r="X37" i="3"/>
  <c r="Y37" i="3"/>
  <c r="AU37" i="3" s="1"/>
  <c r="Z37" i="3"/>
  <c r="AA37" i="3"/>
  <c r="AB37" i="3"/>
  <c r="AC37" i="3"/>
  <c r="AY37" i="3" s="1"/>
  <c r="AD37" i="3"/>
  <c r="AE37" i="3"/>
  <c r="AF37" i="3"/>
  <c r="BB37" i="3" s="1"/>
  <c r="AG37" i="3"/>
  <c r="AH37" i="3"/>
  <c r="BD37" i="3" s="1"/>
  <c r="AI37" i="3"/>
  <c r="AJ37" i="3"/>
  <c r="BF38" i="3" s="1"/>
  <c r="AK37" i="3"/>
  <c r="BG37" i="3"/>
  <c r="AL37" i="3"/>
  <c r="AM37" i="3"/>
  <c r="AN37" i="3"/>
  <c r="AO37" i="3"/>
  <c r="BK37" i="3" s="1"/>
  <c r="AP37" i="3"/>
  <c r="AQ37" i="3"/>
  <c r="AR37" i="3"/>
  <c r="BN37" i="3" s="1"/>
  <c r="X38" i="3"/>
  <c r="Y38" i="3"/>
  <c r="Z38" i="3"/>
  <c r="AV38" i="3" s="1"/>
  <c r="AA38" i="3"/>
  <c r="AW38" i="3" s="1"/>
  <c r="AB38" i="3"/>
  <c r="AX38" i="3"/>
  <c r="AC38" i="3"/>
  <c r="AD38" i="3"/>
  <c r="AZ38" i="3" s="1"/>
  <c r="AE38" i="3"/>
  <c r="AF38" i="3"/>
  <c r="AG38" i="3"/>
  <c r="BC38" i="3" s="1"/>
  <c r="AH38" i="3"/>
  <c r="AI38" i="3"/>
  <c r="AJ38" i="3"/>
  <c r="AK38" i="3"/>
  <c r="AL38" i="3"/>
  <c r="BH38" i="3" s="1"/>
  <c r="AM38" i="3"/>
  <c r="AN38" i="3"/>
  <c r="BJ38" i="3" s="1"/>
  <c r="AO38" i="3"/>
  <c r="AP38" i="3"/>
  <c r="BL38" i="3" s="1"/>
  <c r="AQ38" i="3"/>
  <c r="BM38" i="3" s="1"/>
  <c r="AR38" i="3"/>
  <c r="X39" i="3"/>
  <c r="AT39" i="3" s="1"/>
  <c r="Y39" i="3"/>
  <c r="Z39" i="3"/>
  <c r="AA39" i="3"/>
  <c r="AB39" i="3"/>
  <c r="AC39" i="3"/>
  <c r="AD39" i="3"/>
  <c r="AE39" i="3"/>
  <c r="AF39" i="3"/>
  <c r="AG39" i="3"/>
  <c r="AH39" i="3"/>
  <c r="BD39" i="3" s="1"/>
  <c r="AI39" i="3"/>
  <c r="AJ39" i="3"/>
  <c r="BF39" i="3" s="1"/>
  <c r="AK39" i="3"/>
  <c r="BG39" i="3" s="1"/>
  <c r="AL39" i="3"/>
  <c r="BH39" i="3" s="1"/>
  <c r="AM39" i="3"/>
  <c r="BI39" i="3" s="1"/>
  <c r="AN39" i="3"/>
  <c r="AO39" i="3"/>
  <c r="AP39" i="3"/>
  <c r="AQ39" i="3"/>
  <c r="AR39" i="3"/>
  <c r="BN39" i="3" s="1"/>
  <c r="X40" i="3"/>
  <c r="Y40" i="3"/>
  <c r="Z40" i="3"/>
  <c r="AV40" i="3" s="1"/>
  <c r="AA40" i="3"/>
  <c r="AB40" i="3"/>
  <c r="AX40" i="3" s="1"/>
  <c r="AC40" i="3"/>
  <c r="AD40" i="3"/>
  <c r="AZ40" i="3" s="1"/>
  <c r="AE40" i="3"/>
  <c r="AF40" i="3"/>
  <c r="BB40" i="3" s="1"/>
  <c r="AG40" i="3"/>
  <c r="BC40" i="3" s="1"/>
  <c r="AH40" i="3"/>
  <c r="AI40" i="3"/>
  <c r="AJ40" i="3"/>
  <c r="AK40" i="3"/>
  <c r="AL40" i="3"/>
  <c r="BH40" i="3" s="1"/>
  <c r="AM40" i="3"/>
  <c r="AN40" i="3"/>
  <c r="AO40" i="3"/>
  <c r="AP40" i="3"/>
  <c r="AQ40" i="3"/>
  <c r="AR40" i="3"/>
  <c r="X41" i="3"/>
  <c r="AT41" i="3" s="1"/>
  <c r="Y41" i="3"/>
  <c r="Z41" i="3"/>
  <c r="AV41" i="3" s="1"/>
  <c r="AA41" i="3"/>
  <c r="AB41" i="3"/>
  <c r="AC41" i="3"/>
  <c r="AY41" i="3"/>
  <c r="AD41" i="3"/>
  <c r="AE41" i="3"/>
  <c r="BA41" i="3" s="1"/>
  <c r="AF41" i="3"/>
  <c r="AG41" i="3"/>
  <c r="AH41" i="3"/>
  <c r="BD41" i="3" s="1"/>
  <c r="AI41" i="3"/>
  <c r="AJ41" i="3"/>
  <c r="AK41" i="3"/>
  <c r="BG41" i="3"/>
  <c r="AL41" i="3"/>
  <c r="AM41" i="3"/>
  <c r="BI41" i="3" s="1"/>
  <c r="AN41" i="3"/>
  <c r="AO41" i="3"/>
  <c r="BK41" i="3" s="1"/>
  <c r="AP41" i="3"/>
  <c r="AQ41" i="3"/>
  <c r="AR41" i="3"/>
  <c r="X42" i="3"/>
  <c r="Y42" i="3"/>
  <c r="Z42" i="3"/>
  <c r="AA42" i="3"/>
  <c r="AB42" i="3"/>
  <c r="AX42" i="3" s="1"/>
  <c r="AC42" i="3"/>
  <c r="AY42" i="3" s="1"/>
  <c r="AD42" i="3"/>
  <c r="AZ42" i="3" s="1"/>
  <c r="AE42" i="3"/>
  <c r="AF42" i="3"/>
  <c r="BB42" i="3" s="1"/>
  <c r="AG42" i="3"/>
  <c r="BC42" i="3" s="1"/>
  <c r="AH42" i="3"/>
  <c r="AI42" i="3"/>
  <c r="BE42" i="3" s="1"/>
  <c r="AJ42" i="3"/>
  <c r="BF42" i="3" s="1"/>
  <c r="AK42" i="3"/>
  <c r="AL42" i="3"/>
  <c r="BH42" i="3" s="1"/>
  <c r="AM42" i="3"/>
  <c r="BI42" i="3" s="1"/>
  <c r="AN42" i="3"/>
  <c r="AO42" i="3"/>
  <c r="AP42" i="3"/>
  <c r="AQ42" i="3"/>
  <c r="BM42" i="3" s="1"/>
  <c r="AR42" i="3"/>
  <c r="X43" i="3"/>
  <c r="AT43" i="3" s="1"/>
  <c r="Y43" i="3"/>
  <c r="Z43" i="3"/>
  <c r="AV43" i="3" s="1"/>
  <c r="AA43" i="3"/>
  <c r="AW43" i="3" s="1"/>
  <c r="AB43" i="3"/>
  <c r="AC43" i="3"/>
  <c r="AY43" i="3" s="1"/>
  <c r="AD43" i="3"/>
  <c r="AE43" i="3"/>
  <c r="BA43" i="3" s="1"/>
  <c r="AF43" i="3"/>
  <c r="AG43" i="3"/>
  <c r="AH43" i="3"/>
  <c r="BD43" i="3" s="1"/>
  <c r="AI43" i="3"/>
  <c r="BE43" i="3" s="1"/>
  <c r="AJ43" i="3"/>
  <c r="AK43" i="3"/>
  <c r="BG43" i="3" s="1"/>
  <c r="AL43" i="3"/>
  <c r="BH43" i="3" s="1"/>
  <c r="AM43" i="3"/>
  <c r="AN43" i="3"/>
  <c r="AO43" i="3"/>
  <c r="BK43" i="3" s="1"/>
  <c r="AP43" i="3"/>
  <c r="BL43" i="3" s="1"/>
  <c r="AQ43" i="3"/>
  <c r="AR43" i="3"/>
  <c r="BN43" i="3" s="1"/>
  <c r="X44" i="3"/>
  <c r="AT44" i="3" s="1"/>
  <c r="Y44" i="3"/>
  <c r="Z44" i="3"/>
  <c r="AA44" i="3"/>
  <c r="AB44" i="3"/>
  <c r="AC44" i="3"/>
  <c r="AY44" i="3" s="1"/>
  <c r="AD44" i="3"/>
  <c r="AZ44" i="3" s="1"/>
  <c r="AE44" i="3"/>
  <c r="AF44" i="3"/>
  <c r="BB44" i="3" s="1"/>
  <c r="AG44" i="3"/>
  <c r="BC44" i="3" s="1"/>
  <c r="AH44" i="3"/>
  <c r="AI44" i="3"/>
  <c r="AJ44" i="3"/>
  <c r="BF44" i="3" s="1"/>
  <c r="AK44" i="3"/>
  <c r="BG44" i="3" s="1"/>
  <c r="AL44" i="3"/>
  <c r="AM44" i="3"/>
  <c r="BI44" i="3" s="1"/>
  <c r="AN44" i="3"/>
  <c r="BJ44" i="3" s="1"/>
  <c r="AO44" i="3"/>
  <c r="AP44" i="3"/>
  <c r="AQ44" i="3"/>
  <c r="AR44" i="3"/>
  <c r="X45" i="3"/>
  <c r="AT45" i="3" s="1"/>
  <c r="Y45" i="3"/>
  <c r="AU45" i="3" s="1"/>
  <c r="Z45" i="3"/>
  <c r="AA45" i="3"/>
  <c r="AW45" i="3" s="1"/>
  <c r="AB45" i="3"/>
  <c r="AC45" i="3"/>
  <c r="AD45" i="3"/>
  <c r="AE45" i="3"/>
  <c r="BA45" i="3" s="1"/>
  <c r="AF45" i="3"/>
  <c r="AG45" i="3"/>
  <c r="AH45" i="3"/>
  <c r="BD45" i="3" s="1"/>
  <c r="AI45" i="3"/>
  <c r="BE45" i="3" s="1"/>
  <c r="AJ45" i="3"/>
  <c r="AK45" i="3"/>
  <c r="AL45" i="3"/>
  <c r="AM45" i="3"/>
  <c r="AN45" i="3"/>
  <c r="AO45" i="3"/>
  <c r="BK45" i="3" s="1"/>
  <c r="AP45" i="3"/>
  <c r="AQ45" i="3"/>
  <c r="BM45" i="3" s="1"/>
  <c r="AR45" i="3"/>
  <c r="X46" i="3"/>
  <c r="Y46" i="3"/>
  <c r="Z46" i="3"/>
  <c r="AV46" i="3" s="1"/>
  <c r="AA46" i="3"/>
  <c r="AB46" i="3"/>
  <c r="AC46" i="3"/>
  <c r="AD46" i="3"/>
  <c r="AZ46" i="3" s="1"/>
  <c r="AE46" i="3"/>
  <c r="AF46" i="3"/>
  <c r="AG46" i="3"/>
  <c r="AH46" i="3"/>
  <c r="AI46" i="3"/>
  <c r="AJ46" i="3"/>
  <c r="BF46" i="3" s="1"/>
  <c r="AK46" i="3"/>
  <c r="AL46" i="3"/>
  <c r="BH46" i="3" s="1"/>
  <c r="AM46" i="3"/>
  <c r="AN46" i="3"/>
  <c r="AO46" i="3"/>
  <c r="AP46" i="3"/>
  <c r="BL46" i="3" s="1"/>
  <c r="AQ46" i="3"/>
  <c r="AR46" i="3"/>
  <c r="X47" i="3"/>
  <c r="Y47" i="3"/>
  <c r="AU47" i="3" s="1"/>
  <c r="Z47" i="3"/>
  <c r="AA47" i="3"/>
  <c r="AB47" i="3"/>
  <c r="AC47" i="3"/>
  <c r="AD47" i="3"/>
  <c r="AE47" i="3"/>
  <c r="BA47" i="3" s="1"/>
  <c r="AF47" i="3"/>
  <c r="AG47" i="3"/>
  <c r="BC47" i="3" s="1"/>
  <c r="AH47" i="3"/>
  <c r="AI47" i="3"/>
  <c r="AJ47" i="3"/>
  <c r="AK47" i="3"/>
  <c r="BG47" i="3" s="1"/>
  <c r="AL47" i="3"/>
  <c r="AM47" i="3"/>
  <c r="AN47" i="3"/>
  <c r="AO47" i="3"/>
  <c r="BK47" i="3" s="1"/>
  <c r="AP47" i="3"/>
  <c r="AQ47" i="3"/>
  <c r="AR47" i="3"/>
  <c r="X48" i="3"/>
  <c r="Y48" i="3"/>
  <c r="Z48" i="3"/>
  <c r="AV48" i="3" s="1"/>
  <c r="AA48" i="3"/>
  <c r="AB48" i="3"/>
  <c r="AX48" i="3" s="1"/>
  <c r="AC48" i="3"/>
  <c r="AY49" i="3" s="1"/>
  <c r="AD48" i="3"/>
  <c r="AE48" i="3"/>
  <c r="AF48" i="3"/>
  <c r="BB48" i="3" s="1"/>
  <c r="AG48" i="3"/>
  <c r="BC49" i="3" s="1"/>
  <c r="AH48" i="3"/>
  <c r="AI48" i="3"/>
  <c r="AJ48" i="3"/>
  <c r="BF48" i="3" s="1"/>
  <c r="AK48" i="3"/>
  <c r="AL48" i="3"/>
  <c r="AM48" i="3"/>
  <c r="AN48" i="3"/>
  <c r="AO48" i="3"/>
  <c r="AP48" i="3"/>
  <c r="BL48" i="3" s="1"/>
  <c r="AQ48" i="3"/>
  <c r="AR48" i="3"/>
  <c r="BN48" i="3" s="1"/>
  <c r="X49" i="3"/>
  <c r="Y49" i="3"/>
  <c r="Z49" i="3"/>
  <c r="AA49" i="3"/>
  <c r="AW49" i="3" s="1"/>
  <c r="AB49" i="3"/>
  <c r="AC49" i="3"/>
  <c r="AD49" i="3"/>
  <c r="AE49" i="3"/>
  <c r="AF49" i="3"/>
  <c r="BB49" i="3" s="1"/>
  <c r="AG49" i="3"/>
  <c r="AH49" i="3"/>
  <c r="AI49" i="3"/>
  <c r="BE49" i="3" s="1"/>
  <c r="AJ49" i="3"/>
  <c r="AK49" i="3"/>
  <c r="BG49" i="3"/>
  <c r="AL49" i="3"/>
  <c r="AM49" i="3"/>
  <c r="BI49" i="3" s="1"/>
  <c r="AN49" i="3"/>
  <c r="AO49" i="3"/>
  <c r="BK49" i="3" s="1"/>
  <c r="AP49" i="3"/>
  <c r="AQ49" i="3"/>
  <c r="BM49" i="3" s="1"/>
  <c r="AR49" i="3"/>
  <c r="BN49" i="3" s="1"/>
  <c r="X50" i="3"/>
  <c r="Y50" i="3"/>
  <c r="Z50" i="3"/>
  <c r="AV50" i="3" s="1"/>
  <c r="AA50" i="3"/>
  <c r="AW50" i="3" s="1"/>
  <c r="AB50" i="3"/>
  <c r="AC50" i="3"/>
  <c r="AY50" i="3" s="1"/>
  <c r="AD50" i="3"/>
  <c r="AE50" i="3"/>
  <c r="BA50" i="3" s="1"/>
  <c r="AF50" i="3"/>
  <c r="BB50" i="3" s="1"/>
  <c r="AG50" i="3"/>
  <c r="BC50" i="3" s="1"/>
  <c r="AH50" i="3"/>
  <c r="AI50" i="3"/>
  <c r="AJ50" i="3"/>
  <c r="BF50" i="3"/>
  <c r="AK50" i="3"/>
  <c r="BG50" i="3" s="1"/>
  <c r="AL50" i="3"/>
  <c r="BH50" i="3" s="1"/>
  <c r="AM50" i="3"/>
  <c r="BI50" i="3" s="1"/>
  <c r="AN50" i="3"/>
  <c r="BJ50" i="3" s="1"/>
  <c r="AO50" i="3"/>
  <c r="AP50" i="3"/>
  <c r="BL50" i="3" s="1"/>
  <c r="AQ50" i="3"/>
  <c r="AR50" i="3"/>
  <c r="BN50" i="3"/>
  <c r="X51" i="3"/>
  <c r="AT51" i="3" s="1"/>
  <c r="Y51" i="3"/>
  <c r="Z51" i="3"/>
  <c r="AA51" i="3"/>
  <c r="AW51" i="3" s="1"/>
  <c r="AB51" i="3"/>
  <c r="AX51" i="3" s="1"/>
  <c r="AC51" i="3"/>
  <c r="AD51" i="3"/>
  <c r="AE51" i="3"/>
  <c r="AF51" i="3"/>
  <c r="AG51" i="3"/>
  <c r="AH51" i="3"/>
  <c r="AI51" i="3"/>
  <c r="AJ51" i="3"/>
  <c r="AK51" i="3"/>
  <c r="BG51" i="3" s="1"/>
  <c r="AL51" i="3"/>
  <c r="AM51" i="3"/>
  <c r="BI51" i="3" s="1"/>
  <c r="AN51" i="3"/>
  <c r="AO51" i="3"/>
  <c r="BK51" i="3" s="1"/>
  <c r="AP51" i="3"/>
  <c r="AQ51" i="3"/>
  <c r="BM51" i="3" s="1"/>
  <c r="AR51" i="3"/>
  <c r="BN51" i="3" s="1"/>
  <c r="X52" i="3"/>
  <c r="AT52" i="3" s="1"/>
  <c r="Y52" i="3"/>
  <c r="Z52" i="3"/>
  <c r="AV52" i="3"/>
  <c r="AA52" i="3"/>
  <c r="AB52" i="3"/>
  <c r="AX52" i="3" s="1"/>
  <c r="AC52" i="3"/>
  <c r="AY53" i="3" s="1"/>
  <c r="AD52" i="3"/>
  <c r="AE52" i="3"/>
  <c r="BA52" i="3" s="1"/>
  <c r="AF52" i="3"/>
  <c r="AG52" i="3"/>
  <c r="BC52" i="3" s="1"/>
  <c r="AH52" i="3"/>
  <c r="BD52" i="3"/>
  <c r="AI52" i="3"/>
  <c r="AJ52" i="3"/>
  <c r="BF52" i="3" s="1"/>
  <c r="AK52" i="3"/>
  <c r="AL52" i="3"/>
  <c r="BH52" i="3"/>
  <c r="AM52" i="3"/>
  <c r="AN52" i="3"/>
  <c r="BJ52" i="3"/>
  <c r="AO52" i="3"/>
  <c r="BK52" i="3" s="1"/>
  <c r="AP52" i="3"/>
  <c r="AQ52" i="3"/>
  <c r="BM52" i="3" s="1"/>
  <c r="AR52" i="3"/>
  <c r="X53" i="3"/>
  <c r="Y53" i="3"/>
  <c r="AU53" i="3" s="1"/>
  <c r="Z53" i="3"/>
  <c r="AV53" i="3" s="1"/>
  <c r="AA53" i="3"/>
  <c r="AW53" i="3" s="1"/>
  <c r="AB53" i="3"/>
  <c r="AX53" i="3" s="1"/>
  <c r="AC53" i="3"/>
  <c r="AD53" i="3"/>
  <c r="AE53" i="3"/>
  <c r="AF53" i="3"/>
  <c r="BB53" i="3" s="1"/>
  <c r="AG53" i="3"/>
  <c r="BC53" i="3" s="1"/>
  <c r="AH53" i="3"/>
  <c r="BD53" i="3" s="1"/>
  <c r="AI53" i="3"/>
  <c r="BE53" i="3"/>
  <c r="AJ53" i="3"/>
  <c r="AK53" i="3"/>
  <c r="BG53" i="3"/>
  <c r="AL53" i="3"/>
  <c r="BH53" i="3" s="1"/>
  <c r="AM53" i="3"/>
  <c r="BI53" i="3" s="1"/>
  <c r="AN53" i="3"/>
  <c r="AO53" i="3"/>
  <c r="AP53" i="3"/>
  <c r="AQ53" i="3"/>
  <c r="BM53" i="3" s="1"/>
  <c r="AR53" i="3"/>
  <c r="X54" i="3"/>
  <c r="Y54" i="3"/>
  <c r="AU54" i="3" s="1"/>
  <c r="Z54" i="3"/>
  <c r="AA54" i="3"/>
  <c r="AB54" i="3"/>
  <c r="AC54" i="3"/>
  <c r="AY54" i="3" s="1"/>
  <c r="AD54" i="3"/>
  <c r="AZ54" i="3"/>
  <c r="AE54" i="3"/>
  <c r="BA54" i="3" s="1"/>
  <c r="AF54" i="3"/>
  <c r="AG54" i="3"/>
  <c r="AH54" i="3"/>
  <c r="AI54" i="3"/>
  <c r="AJ54" i="3"/>
  <c r="BF54" i="3"/>
  <c r="AK54" i="3"/>
  <c r="BG54" i="3" s="1"/>
  <c r="AL54" i="3"/>
  <c r="BH54" i="3" s="1"/>
  <c r="AM54" i="3"/>
  <c r="AN54" i="3"/>
  <c r="AO54" i="3"/>
  <c r="AP54" i="3"/>
  <c r="BL54" i="3" s="1"/>
  <c r="AQ54" i="3"/>
  <c r="AR54" i="3"/>
  <c r="BN54" i="3" s="1"/>
  <c r="X55" i="3"/>
  <c r="AT55" i="3" s="1"/>
  <c r="Y55" i="3"/>
  <c r="Z55" i="3"/>
  <c r="AA55" i="3"/>
  <c r="AB55" i="3"/>
  <c r="AC55" i="3"/>
  <c r="AD55" i="3"/>
  <c r="AZ55" i="3" s="1"/>
  <c r="AE55" i="3"/>
  <c r="AF55" i="3"/>
  <c r="BB55" i="3" s="1"/>
  <c r="AG55" i="3"/>
  <c r="BC55" i="3"/>
  <c r="AH55" i="3"/>
  <c r="BD55" i="3" s="1"/>
  <c r="AI55" i="3"/>
  <c r="AJ55" i="3"/>
  <c r="BF55" i="3" s="1"/>
  <c r="AK55" i="3"/>
  <c r="BG55" i="3" s="1"/>
  <c r="AL55" i="3"/>
  <c r="AM55" i="3"/>
  <c r="AN55" i="3"/>
  <c r="AO55" i="3"/>
  <c r="BK55" i="3"/>
  <c r="AP55" i="3"/>
  <c r="AQ55" i="3"/>
  <c r="BM56" i="3" s="1"/>
  <c r="AR55" i="3"/>
  <c r="X56" i="3"/>
  <c r="Y56" i="3"/>
  <c r="Z56" i="3"/>
  <c r="AV56" i="3" s="1"/>
  <c r="AA56" i="3"/>
  <c r="AB56" i="3"/>
  <c r="AC56" i="3"/>
  <c r="AY56" i="3" s="1"/>
  <c r="AD56" i="3"/>
  <c r="AE56" i="3"/>
  <c r="AF56" i="3"/>
  <c r="AG56" i="3"/>
  <c r="BC56" i="3" s="1"/>
  <c r="AH56" i="3"/>
  <c r="AI56" i="3"/>
  <c r="BE56" i="3" s="1"/>
  <c r="AJ56" i="3"/>
  <c r="AK56" i="3"/>
  <c r="AL56" i="3"/>
  <c r="BH56" i="3" s="1"/>
  <c r="AM56" i="3"/>
  <c r="BI56" i="3" s="1"/>
  <c r="AN56" i="3"/>
  <c r="BJ56" i="3" s="1"/>
  <c r="AO56" i="3"/>
  <c r="BK56" i="3" s="1"/>
  <c r="AP56" i="3"/>
  <c r="BL57" i="3" s="1"/>
  <c r="AQ56" i="3"/>
  <c r="AR56" i="3"/>
  <c r="X57" i="3"/>
  <c r="Y57" i="3"/>
  <c r="AU57" i="3" s="1"/>
  <c r="Z57" i="3"/>
  <c r="AA57" i="3"/>
  <c r="AW57" i="3" s="1"/>
  <c r="AB57" i="3"/>
  <c r="AX57" i="3" s="1"/>
  <c r="AC57" i="3"/>
  <c r="AD57" i="3"/>
  <c r="AZ57" i="3" s="1"/>
  <c r="AE57" i="3"/>
  <c r="BA57" i="3" s="1"/>
  <c r="AF57" i="3"/>
  <c r="BB57" i="3"/>
  <c r="AG57" i="3"/>
  <c r="AH57" i="3"/>
  <c r="BD57" i="3"/>
  <c r="AI57" i="3"/>
  <c r="AJ57" i="3"/>
  <c r="BF57" i="3" s="1"/>
  <c r="AK57" i="3"/>
  <c r="AL57" i="3"/>
  <c r="BH57" i="3"/>
  <c r="AM57" i="3"/>
  <c r="AN57" i="3"/>
  <c r="AO57" i="3"/>
  <c r="AP57" i="3"/>
  <c r="AQ57" i="3"/>
  <c r="AR57" i="3"/>
  <c r="X58" i="3"/>
  <c r="AT58" i="3" s="1"/>
  <c r="Y58" i="3"/>
  <c r="AU58" i="3"/>
  <c r="Z58" i="3"/>
  <c r="AA58" i="3"/>
  <c r="AW58" i="3" s="1"/>
  <c r="AB58" i="3"/>
  <c r="AC58" i="3"/>
  <c r="AY58" i="3"/>
  <c r="AD58" i="3"/>
  <c r="AZ58" i="3" s="1"/>
  <c r="AE58" i="3"/>
  <c r="AF58" i="3"/>
  <c r="BB58" i="3" s="1"/>
  <c r="AG58" i="3"/>
  <c r="BC58" i="3"/>
  <c r="AH58" i="3"/>
  <c r="BD58" i="3" s="1"/>
  <c r="AI58" i="3"/>
  <c r="BE58" i="3" s="1"/>
  <c r="AJ58" i="3"/>
  <c r="AK58" i="3"/>
  <c r="BG58" i="3" s="1"/>
  <c r="AL58" i="3"/>
  <c r="BH58" i="3" s="1"/>
  <c r="AM58" i="3"/>
  <c r="BI58" i="3" s="1"/>
  <c r="AN58" i="3"/>
  <c r="AO58" i="3"/>
  <c r="BK58" i="3" s="1"/>
  <c r="AP58" i="3"/>
  <c r="BL58" i="3" s="1"/>
  <c r="AQ58" i="3"/>
  <c r="AR58" i="3"/>
  <c r="X59" i="3"/>
  <c r="AT59" i="3" s="1"/>
  <c r="Y59" i="3"/>
  <c r="AU59" i="3" s="1"/>
  <c r="Z59" i="3"/>
  <c r="AV59" i="3" s="1"/>
  <c r="AA59" i="3"/>
  <c r="AB59" i="3"/>
  <c r="AX59" i="3" s="1"/>
  <c r="AC59" i="3"/>
  <c r="AY59" i="3" s="1"/>
  <c r="AD59" i="3"/>
  <c r="AZ59" i="3"/>
  <c r="AE59" i="3"/>
  <c r="AF59" i="3"/>
  <c r="BB59" i="3" s="1"/>
  <c r="AG59" i="3"/>
  <c r="BC59" i="3" s="1"/>
  <c r="AH59" i="3"/>
  <c r="BD59" i="3" s="1"/>
  <c r="AI59" i="3"/>
  <c r="AJ59" i="3"/>
  <c r="BF59" i="3"/>
  <c r="AK59" i="3"/>
  <c r="AL59" i="3"/>
  <c r="AM59" i="3"/>
  <c r="BI59" i="3" s="1"/>
  <c r="AN59" i="3"/>
  <c r="AO59" i="3"/>
  <c r="AP59" i="3"/>
  <c r="BL59" i="3" s="1"/>
  <c r="AQ59" i="3"/>
  <c r="BM59" i="3" s="1"/>
  <c r="AR59" i="3"/>
  <c r="BN59" i="3" s="1"/>
  <c r="X60" i="3"/>
  <c r="Y60" i="3"/>
  <c r="Z60" i="3"/>
  <c r="AV60" i="3" s="1"/>
  <c r="AA60" i="3"/>
  <c r="AW60" i="3"/>
  <c r="AB60" i="3"/>
  <c r="AC60" i="3"/>
  <c r="AD60" i="3"/>
  <c r="AE60" i="3"/>
  <c r="AF60" i="3"/>
  <c r="BB60" i="3" s="1"/>
  <c r="AG60" i="3"/>
  <c r="BC60" i="3"/>
  <c r="AH60" i="3"/>
  <c r="AI60" i="3"/>
  <c r="BE60" i="3" s="1"/>
  <c r="AJ60" i="3"/>
  <c r="AK60" i="3"/>
  <c r="AL60" i="3"/>
  <c r="BH60" i="3" s="1"/>
  <c r="AM60" i="3"/>
  <c r="BI60" i="3"/>
  <c r="AN60" i="3"/>
  <c r="BJ60" i="3" s="1"/>
  <c r="AO60" i="3"/>
  <c r="AP60" i="3"/>
  <c r="AQ60" i="3"/>
  <c r="BM60" i="3"/>
  <c r="AR60" i="3"/>
  <c r="X61" i="3"/>
  <c r="AT61" i="3" s="1"/>
  <c r="Y61" i="3"/>
  <c r="AU61" i="3" s="1"/>
  <c r="Z61" i="3"/>
  <c r="AA61" i="3"/>
  <c r="AB61" i="3"/>
  <c r="AX61" i="3"/>
  <c r="AC61" i="3"/>
  <c r="AY61" i="3" s="1"/>
  <c r="AD61" i="3"/>
  <c r="AZ61" i="3" s="1"/>
  <c r="AE61" i="3"/>
  <c r="BA61" i="3" s="1"/>
  <c r="AF61" i="3"/>
  <c r="AG61" i="3"/>
  <c r="AH61" i="3"/>
  <c r="BD61" i="3" s="1"/>
  <c r="AI61" i="3"/>
  <c r="AJ61" i="3"/>
  <c r="BF61" i="3"/>
  <c r="AK61" i="3"/>
  <c r="BG61" i="3" s="1"/>
  <c r="AL61" i="3"/>
  <c r="BH61" i="3" s="1"/>
  <c r="AM61" i="3"/>
  <c r="AN61" i="3"/>
  <c r="BJ61" i="3" s="1"/>
  <c r="AO61" i="3"/>
  <c r="BK61" i="3" s="1"/>
  <c r="AP61" i="3"/>
  <c r="BL61" i="3" s="1"/>
  <c r="AQ61" i="3"/>
  <c r="AR61" i="3"/>
  <c r="BN61" i="3" s="1"/>
  <c r="X62" i="3"/>
  <c r="Y62" i="3"/>
  <c r="AU62" i="3"/>
  <c r="Z62" i="3"/>
  <c r="AA62" i="3"/>
  <c r="AW62" i="3" s="1"/>
  <c r="AB62" i="3"/>
  <c r="AC62" i="3"/>
  <c r="AY62" i="3" s="1"/>
  <c r="AD62" i="3"/>
  <c r="AE62" i="3"/>
  <c r="BA62" i="3" s="1"/>
  <c r="AF62" i="3"/>
  <c r="BB62" i="3" s="1"/>
  <c r="AG62" i="3"/>
  <c r="BC62" i="3"/>
  <c r="AH62" i="3"/>
  <c r="AI62" i="3"/>
  <c r="AJ62" i="3"/>
  <c r="AK62" i="3"/>
  <c r="BG62" i="3"/>
  <c r="AL62" i="3"/>
  <c r="AM62" i="3"/>
  <c r="BI62" i="3" s="1"/>
  <c r="AN62" i="3"/>
  <c r="BJ62" i="3" s="1"/>
  <c r="AO62" i="3"/>
  <c r="AP62" i="3"/>
  <c r="BL62" i="3" s="1"/>
  <c r="AQ62" i="3"/>
  <c r="BM62" i="3" s="1"/>
  <c r="AR62" i="3"/>
  <c r="X63" i="3"/>
  <c r="Y63" i="3"/>
  <c r="AU63" i="3" s="1"/>
  <c r="Z63" i="3"/>
  <c r="AV63" i="3"/>
  <c r="AA63" i="3"/>
  <c r="AB63" i="3"/>
  <c r="AC63" i="3"/>
  <c r="AD63" i="3"/>
  <c r="AZ63" i="3" s="1"/>
  <c r="AE63" i="3"/>
  <c r="AF63" i="3"/>
  <c r="BB63" i="3" s="1"/>
  <c r="AG63" i="3"/>
  <c r="BC63" i="3" s="1"/>
  <c r="AH63" i="3"/>
  <c r="BD63" i="3"/>
  <c r="AI63" i="3"/>
  <c r="BE63" i="3" s="1"/>
  <c r="AJ63" i="3"/>
  <c r="BF63" i="3"/>
  <c r="AK63" i="3"/>
  <c r="AL63" i="3"/>
  <c r="AM63" i="3"/>
  <c r="AN63" i="3"/>
  <c r="BJ63" i="3" s="1"/>
  <c r="AO63" i="3"/>
  <c r="AP63" i="3"/>
  <c r="BL63" i="3" s="1"/>
  <c r="AQ63" i="3"/>
  <c r="BM63" i="3" s="1"/>
  <c r="AR63" i="3"/>
  <c r="BN63" i="3"/>
  <c r="X64" i="3"/>
  <c r="AT64" i="3" s="1"/>
  <c r="Y64" i="3"/>
  <c r="Z64" i="3"/>
  <c r="AV64" i="3" s="1"/>
  <c r="AA64" i="3"/>
  <c r="AB64" i="3"/>
  <c r="AC64" i="3"/>
  <c r="AD64" i="3"/>
  <c r="AZ64" i="3" s="1"/>
  <c r="AE64" i="3"/>
  <c r="AF64" i="3"/>
  <c r="AG64" i="3"/>
  <c r="AH64" i="3"/>
  <c r="BD64" i="3" s="1"/>
  <c r="AI64" i="3"/>
  <c r="BE64" i="3"/>
  <c r="AJ64" i="3"/>
  <c r="BF64" i="3" s="1"/>
  <c r="AK64" i="3"/>
  <c r="BG64" i="3" s="1"/>
  <c r="AL64" i="3"/>
  <c r="AM64" i="3"/>
  <c r="AN64" i="3"/>
  <c r="AO64" i="3"/>
  <c r="BK64" i="3" s="1"/>
  <c r="AP64" i="3"/>
  <c r="AQ64" i="3"/>
  <c r="BM64" i="3" s="1"/>
  <c r="AR64" i="3"/>
  <c r="BN64" i="3" s="1"/>
  <c r="X65" i="3"/>
  <c r="AT65" i="3"/>
  <c r="Y65" i="3"/>
  <c r="Z65" i="3"/>
  <c r="AV65" i="3"/>
  <c r="AA65" i="3"/>
  <c r="AW65" i="3" s="1"/>
  <c r="AB65" i="3"/>
  <c r="AX65" i="3" s="1"/>
  <c r="AC65" i="3"/>
  <c r="AD65" i="3"/>
  <c r="AZ65" i="3" s="1"/>
  <c r="AE65" i="3"/>
  <c r="BA65" i="3" s="1"/>
  <c r="AF65" i="3"/>
  <c r="AG65" i="3"/>
  <c r="AH65" i="3"/>
  <c r="BD65" i="3" s="1"/>
  <c r="AI65" i="3"/>
  <c r="BE65" i="3" s="1"/>
  <c r="AJ65" i="3"/>
  <c r="AK65" i="3"/>
  <c r="AL65" i="3"/>
  <c r="BH65" i="3"/>
  <c r="AM65" i="3"/>
  <c r="BI65" i="3" s="1"/>
  <c r="AN65" i="3"/>
  <c r="BJ65" i="3" s="1"/>
  <c r="AO65" i="3"/>
  <c r="BK65" i="3" s="1"/>
  <c r="AP65" i="3"/>
  <c r="BL65" i="3"/>
  <c r="AQ65" i="3"/>
  <c r="AR65" i="3"/>
  <c r="BN65" i="3" s="1"/>
  <c r="X66" i="3"/>
  <c r="AT66" i="3" s="1"/>
  <c r="Y66" i="3"/>
  <c r="AU66" i="3"/>
  <c r="Z66" i="3"/>
  <c r="AA66" i="3"/>
  <c r="AB66" i="3"/>
  <c r="AX66" i="3" s="1"/>
  <c r="AC66" i="3"/>
  <c r="AY66" i="3" s="1"/>
  <c r="AD66" i="3"/>
  <c r="AE66" i="3"/>
  <c r="AF66" i="3"/>
  <c r="BB66" i="3" s="1"/>
  <c r="AG66" i="3"/>
  <c r="BC66" i="3"/>
  <c r="AH66" i="3"/>
  <c r="BD66" i="3" s="1"/>
  <c r="AI66" i="3"/>
  <c r="BE66" i="3"/>
  <c r="AJ66" i="3"/>
  <c r="BF66" i="3" s="1"/>
  <c r="AK66" i="3"/>
  <c r="BG66" i="3"/>
  <c r="AL66" i="3"/>
  <c r="AM66" i="3"/>
  <c r="AN66" i="3"/>
  <c r="BJ66" i="3" s="1"/>
  <c r="AO66" i="3"/>
  <c r="AP66" i="3"/>
  <c r="BL66" i="3" s="1"/>
  <c r="AQ66" i="3"/>
  <c r="BM66" i="3"/>
  <c r="AR66" i="3"/>
  <c r="X67" i="3"/>
  <c r="AT67" i="3"/>
  <c r="Y67" i="3"/>
  <c r="Z67" i="3"/>
  <c r="AA67" i="3"/>
  <c r="AW67" i="3" s="1"/>
  <c r="AB67" i="3"/>
  <c r="AX67" i="3"/>
  <c r="AC67" i="3"/>
  <c r="AD67" i="3"/>
  <c r="AZ67" i="3"/>
  <c r="AE67" i="3"/>
  <c r="BA67" i="3" s="1"/>
  <c r="AF67" i="3"/>
  <c r="AG67" i="3"/>
  <c r="BC67" i="3" s="1"/>
  <c r="AH67" i="3"/>
  <c r="AI67" i="3"/>
  <c r="AJ67" i="3"/>
  <c r="AK67" i="3"/>
  <c r="AL67" i="3"/>
  <c r="AM67" i="3"/>
  <c r="AN67" i="3"/>
  <c r="BJ67" i="3"/>
  <c r="AO67" i="3"/>
  <c r="AP67" i="3"/>
  <c r="BL67" i="3" s="1"/>
  <c r="AQ67" i="3"/>
  <c r="AR67" i="3"/>
  <c r="BN67" i="3" s="1"/>
  <c r="X68" i="3"/>
  <c r="Y68" i="3"/>
  <c r="AU68" i="3" s="1"/>
  <c r="Z68" i="3"/>
  <c r="AA68" i="3"/>
  <c r="AW68" i="3"/>
  <c r="AB68" i="3"/>
  <c r="AC68" i="3"/>
  <c r="AD68" i="3"/>
  <c r="AE68" i="3"/>
  <c r="AF68" i="3"/>
  <c r="BB69" i="3" s="1"/>
  <c r="AG68" i="3"/>
  <c r="AH68" i="3"/>
  <c r="BD68" i="3"/>
  <c r="AI68" i="3"/>
  <c r="BE68" i="3"/>
  <c r="AJ68" i="3"/>
  <c r="BF69" i="3" s="1"/>
  <c r="AK68" i="3"/>
  <c r="AL68" i="3"/>
  <c r="AM68" i="3"/>
  <c r="AN68" i="3"/>
  <c r="BJ68" i="3"/>
  <c r="AO68" i="3"/>
  <c r="AP68" i="3"/>
  <c r="BL69" i="3" s="1"/>
  <c r="AQ68" i="3"/>
  <c r="AR68" i="3"/>
  <c r="X69" i="3"/>
  <c r="AT69" i="3" s="1"/>
  <c r="Y69" i="3"/>
  <c r="AU70" i="3" s="1"/>
  <c r="Z69" i="3"/>
  <c r="AA69" i="3"/>
  <c r="AW70" i="3" s="1"/>
  <c r="AW69" i="3"/>
  <c r="AB69" i="3"/>
  <c r="AC69" i="3"/>
  <c r="AY69" i="3"/>
  <c r="AD69" i="3"/>
  <c r="AZ70" i="3" s="1"/>
  <c r="AE69" i="3"/>
  <c r="AF69" i="3"/>
  <c r="AG69" i="3"/>
  <c r="AH69" i="3"/>
  <c r="AI69" i="3"/>
  <c r="BE70" i="3" s="1"/>
  <c r="BE69" i="3"/>
  <c r="AJ69" i="3"/>
  <c r="AK69" i="3"/>
  <c r="BG69" i="3" s="1"/>
  <c r="AL69" i="3"/>
  <c r="BH70" i="3" s="1"/>
  <c r="AM69" i="3"/>
  <c r="AN69" i="3"/>
  <c r="AO69" i="3"/>
  <c r="AP69" i="3"/>
  <c r="AQ69" i="3"/>
  <c r="BM69" i="3"/>
  <c r="AR69" i="3"/>
  <c r="X70" i="3"/>
  <c r="Y70" i="3"/>
  <c r="Z70" i="3"/>
  <c r="AA70" i="3"/>
  <c r="AB70" i="3"/>
  <c r="AX71" i="3" s="1"/>
  <c r="AC70" i="3"/>
  <c r="AD70" i="3"/>
  <c r="AZ71" i="3" s="1"/>
  <c r="AE70" i="3"/>
  <c r="AF70" i="3"/>
  <c r="BB70" i="3"/>
  <c r="AG70" i="3"/>
  <c r="AH70" i="3"/>
  <c r="BD70" i="3"/>
  <c r="AI70" i="3"/>
  <c r="AJ70" i="3"/>
  <c r="BF71" i="3" s="1"/>
  <c r="AK70" i="3"/>
  <c r="BG71" i="3" s="1"/>
  <c r="AL70" i="3"/>
  <c r="BH71" i="3" s="1"/>
  <c r="AM70" i="3"/>
  <c r="AN70" i="3"/>
  <c r="AO70" i="3"/>
  <c r="AP70" i="3"/>
  <c r="BL70" i="3"/>
  <c r="AQ70" i="3"/>
  <c r="AR70" i="3"/>
  <c r="X71" i="3"/>
  <c r="Y71" i="3"/>
  <c r="Z71" i="3"/>
  <c r="AA71" i="3"/>
  <c r="AW72" i="3" s="1"/>
  <c r="AB71" i="3"/>
  <c r="AX72" i="3" s="1"/>
  <c r="AC71" i="3"/>
  <c r="AY72" i="3" s="1"/>
  <c r="AY71" i="3"/>
  <c r="AD71" i="3"/>
  <c r="AE71" i="3"/>
  <c r="AF71" i="3"/>
  <c r="AG71" i="3"/>
  <c r="BC71" i="3"/>
  <c r="AH71" i="3"/>
  <c r="AI71" i="3"/>
  <c r="BE72" i="3" s="1"/>
  <c r="AJ71" i="3"/>
  <c r="AK71" i="3"/>
  <c r="BG72" i="3" s="1"/>
  <c r="AL71" i="3"/>
  <c r="AM71" i="3"/>
  <c r="BI72" i="3" s="1"/>
  <c r="AN71" i="3"/>
  <c r="AO71" i="3"/>
  <c r="BK72" i="3" s="1"/>
  <c r="BK71" i="3"/>
  <c r="AP71" i="3"/>
  <c r="AQ71" i="3"/>
  <c r="BM72" i="3" s="1"/>
  <c r="AR71" i="3"/>
  <c r="X72" i="3"/>
  <c r="Y72" i="3"/>
  <c r="Z72" i="3"/>
  <c r="AA72" i="3"/>
  <c r="AW73" i="3" s="1"/>
  <c r="AB72" i="3"/>
  <c r="AC72" i="3"/>
  <c r="AD72" i="3"/>
  <c r="AE72" i="3"/>
  <c r="AF72" i="3"/>
  <c r="BB73" i="3" s="1"/>
  <c r="BB72" i="3"/>
  <c r="AG72" i="3"/>
  <c r="AH72" i="3"/>
  <c r="AI72" i="3"/>
  <c r="BE73" i="3" s="1"/>
  <c r="AJ72" i="3"/>
  <c r="AK72" i="3"/>
  <c r="AL72" i="3"/>
  <c r="AM72" i="3"/>
  <c r="AN72" i="3"/>
  <c r="AO72" i="3"/>
  <c r="AP72" i="3"/>
  <c r="BL73" i="3" s="1"/>
  <c r="AQ72" i="3"/>
  <c r="AR72" i="3"/>
  <c r="BN72" i="3"/>
  <c r="X73" i="3"/>
  <c r="Y73" i="3"/>
  <c r="AU74" i="3" s="1"/>
  <c r="Z73" i="3"/>
  <c r="AA73" i="3"/>
  <c r="AB73" i="3"/>
  <c r="AC73" i="3"/>
  <c r="AD73" i="3"/>
  <c r="AZ74" i="3" s="1"/>
  <c r="AE73" i="3"/>
  <c r="BA73" i="3" s="1"/>
  <c r="AF73" i="3"/>
  <c r="AG73" i="3"/>
  <c r="AH73" i="3"/>
  <c r="BD74" i="3" s="1"/>
  <c r="AI73" i="3"/>
  <c r="AJ73" i="3"/>
  <c r="AK73" i="3"/>
  <c r="BG74" i="3" s="1"/>
  <c r="AL73" i="3"/>
  <c r="BH74" i="3" s="1"/>
  <c r="AM73" i="3"/>
  <c r="AN73" i="3"/>
  <c r="AO73" i="3"/>
  <c r="BK74" i="3" s="1"/>
  <c r="AP73" i="3"/>
  <c r="AQ73" i="3"/>
  <c r="BM74" i="3" s="1"/>
  <c r="AR73" i="3"/>
  <c r="X74" i="3"/>
  <c r="Y74" i="3"/>
  <c r="Z74" i="3"/>
  <c r="AA74" i="3"/>
  <c r="AB74" i="3"/>
  <c r="AC74" i="3"/>
  <c r="AY75" i="3" s="1"/>
  <c r="AD74" i="3"/>
  <c r="AE74" i="3"/>
  <c r="AF74" i="3"/>
  <c r="AG74" i="3"/>
  <c r="AH74" i="3"/>
  <c r="AI74" i="3"/>
  <c r="AJ74" i="3"/>
  <c r="BF75" i="3" s="1"/>
  <c r="AK74" i="3"/>
  <c r="AL74" i="3"/>
  <c r="BH75" i="3" s="1"/>
  <c r="AM74" i="3"/>
  <c r="AN74" i="3"/>
  <c r="AO74" i="3"/>
  <c r="AP74" i="3"/>
  <c r="AQ74" i="3"/>
  <c r="AR74" i="3"/>
  <c r="X75" i="3"/>
  <c r="Y75" i="3"/>
  <c r="AU75" i="3" s="1"/>
  <c r="Z75" i="3"/>
  <c r="AA75" i="3"/>
  <c r="AW75" i="3" s="1"/>
  <c r="AB75" i="3"/>
  <c r="AC75" i="3"/>
  <c r="AD75" i="3"/>
  <c r="AZ76" i="3" s="1"/>
  <c r="AE75" i="3"/>
  <c r="AF75" i="3"/>
  <c r="BB76" i="3" s="1"/>
  <c r="AG75" i="3"/>
  <c r="AH75" i="3"/>
  <c r="AI75" i="3"/>
  <c r="AJ75" i="3"/>
  <c r="AK75" i="3"/>
  <c r="AL75" i="3"/>
  <c r="AM75" i="3"/>
  <c r="BI75" i="3" s="1"/>
  <c r="AN75" i="3"/>
  <c r="AO75" i="3"/>
  <c r="BK75" i="3" s="1"/>
  <c r="AP75" i="3"/>
  <c r="AQ75" i="3"/>
  <c r="BM75" i="3"/>
  <c r="AR75" i="3"/>
  <c r="BN75" i="3"/>
  <c r="X76" i="3"/>
  <c r="AT76" i="3"/>
  <c r="Y76" i="3"/>
  <c r="Z76" i="3"/>
  <c r="AA76" i="3"/>
  <c r="AW76" i="3" s="1"/>
  <c r="AB76" i="3"/>
  <c r="AC76" i="3"/>
  <c r="AY76" i="3"/>
  <c r="AD76" i="3"/>
  <c r="AE76" i="3"/>
  <c r="BA76" i="3"/>
  <c r="AF76" i="3"/>
  <c r="BB77" i="3" s="1"/>
  <c r="AG76" i="3"/>
  <c r="AH76" i="3"/>
  <c r="AI76" i="3"/>
  <c r="AJ76" i="3"/>
  <c r="BF76" i="3" s="1"/>
  <c r="AK76" i="3"/>
  <c r="AL76" i="3"/>
  <c r="BH76" i="3"/>
  <c r="AM76" i="3"/>
  <c r="BI76" i="3"/>
  <c r="AN76" i="3"/>
  <c r="AO76" i="3"/>
  <c r="BK77" i="3" s="1"/>
  <c r="BK76" i="3"/>
  <c r="AP76" i="3"/>
  <c r="BL76" i="3" s="1"/>
  <c r="AQ76" i="3"/>
  <c r="BM76" i="3"/>
  <c r="AR76" i="3"/>
  <c r="X77" i="3"/>
  <c r="AT77" i="3"/>
  <c r="Y77" i="3"/>
  <c r="Z77" i="3"/>
  <c r="AV77" i="3" s="1"/>
  <c r="AA77" i="3"/>
  <c r="AB77" i="3"/>
  <c r="AX78" i="3" s="1"/>
  <c r="AX77" i="3"/>
  <c r="AC77" i="3"/>
  <c r="AD77" i="3"/>
  <c r="AZ77" i="3" s="1"/>
  <c r="AE77" i="3"/>
  <c r="AF77" i="3"/>
  <c r="AG77" i="3"/>
  <c r="BC77" i="3"/>
  <c r="AH77" i="3"/>
  <c r="AI77" i="3"/>
  <c r="AJ77" i="3"/>
  <c r="BF77" i="3" s="1"/>
  <c r="AK77" i="3"/>
  <c r="AL77" i="3"/>
  <c r="BH77" i="3"/>
  <c r="AM77" i="3"/>
  <c r="AN77" i="3"/>
  <c r="AO77" i="3"/>
  <c r="AP77" i="3"/>
  <c r="BL77" i="3" s="1"/>
  <c r="AQ77" i="3"/>
  <c r="BM77" i="3"/>
  <c r="AR77" i="3"/>
  <c r="BN78" i="3" s="1"/>
  <c r="X78" i="3"/>
  <c r="AT78" i="3" s="1"/>
  <c r="Y78" i="3"/>
  <c r="Z78" i="3"/>
  <c r="AV78" i="3" s="1"/>
  <c r="AA78" i="3"/>
  <c r="AB78" i="3"/>
  <c r="AC78" i="3"/>
  <c r="AD78" i="3"/>
  <c r="AZ79" i="3" s="1"/>
  <c r="AZ78" i="3"/>
  <c r="AE78" i="3"/>
  <c r="BA78" i="3"/>
  <c r="AF78" i="3"/>
  <c r="BB78" i="3" s="1"/>
  <c r="AG78" i="3"/>
  <c r="AH78" i="3"/>
  <c r="AI78" i="3"/>
  <c r="AJ78" i="3"/>
  <c r="BF78" i="3"/>
  <c r="AK78" i="3"/>
  <c r="AL78" i="3"/>
  <c r="AM78" i="3"/>
  <c r="BI78" i="3"/>
  <c r="AN78" i="3"/>
  <c r="BJ78" i="3" s="1"/>
  <c r="AO78" i="3"/>
  <c r="BK78" i="3"/>
  <c r="AP78" i="3"/>
  <c r="AQ78" i="3"/>
  <c r="BM78" i="3"/>
  <c r="AR78" i="3"/>
  <c r="X79" i="3"/>
  <c r="AT79" i="3" s="1"/>
  <c r="Y79" i="3"/>
  <c r="Z79" i="3"/>
  <c r="AV80" i="3" s="1"/>
  <c r="AV79" i="3"/>
  <c r="AA79" i="3"/>
  <c r="AW79" i="3" s="1"/>
  <c r="AB79" i="3"/>
  <c r="AX79" i="3" s="1"/>
  <c r="AC79" i="3"/>
  <c r="AD79" i="3"/>
  <c r="AE79" i="3"/>
  <c r="BA79" i="3"/>
  <c r="AF79" i="3"/>
  <c r="BB79" i="3"/>
  <c r="AG79" i="3"/>
  <c r="AH79" i="3"/>
  <c r="BD80" i="3" s="1"/>
  <c r="AI79" i="3"/>
  <c r="BE79" i="3" s="1"/>
  <c r="AJ79" i="3"/>
  <c r="BF79" i="3" s="1"/>
  <c r="AK79" i="3"/>
  <c r="AL79" i="3"/>
  <c r="AM79" i="3"/>
  <c r="BI79" i="3"/>
  <c r="AN79" i="3"/>
  <c r="AO79" i="3"/>
  <c r="BK79" i="3"/>
  <c r="AP79" i="3"/>
  <c r="BL80" i="3" s="1"/>
  <c r="AQ79" i="3"/>
  <c r="BM79" i="3" s="1"/>
  <c r="AR79" i="3"/>
  <c r="BN79" i="3"/>
  <c r="X80" i="3"/>
  <c r="Y80" i="3"/>
  <c r="AU80" i="3" s="1"/>
  <c r="Z80" i="3"/>
  <c r="AA80" i="3"/>
  <c r="AW80" i="3"/>
  <c r="AB80" i="3"/>
  <c r="AX80" i="3"/>
  <c r="AC80" i="3"/>
  <c r="AY80" i="3" s="1"/>
  <c r="AD80" i="3"/>
  <c r="AZ80" i="3" s="1"/>
  <c r="AE80" i="3"/>
  <c r="AF80" i="3"/>
  <c r="BB80" i="3"/>
  <c r="AG80" i="3"/>
  <c r="BC80" i="3" s="1"/>
  <c r="AH80" i="3"/>
  <c r="AI80" i="3"/>
  <c r="AJ80" i="3"/>
  <c r="AK80" i="3"/>
  <c r="AL80" i="3"/>
  <c r="BH80" i="3" s="1"/>
  <c r="AM80" i="3"/>
  <c r="BI80" i="3" s="1"/>
  <c r="AN80" i="3"/>
  <c r="AO80" i="3"/>
  <c r="BK81" i="3" s="1"/>
  <c r="AP80" i="3"/>
  <c r="AQ80" i="3"/>
  <c r="BM80" i="3"/>
  <c r="AR80" i="3"/>
  <c r="BN80" i="3" s="1"/>
  <c r="X81" i="3"/>
  <c r="AT81" i="3" s="1"/>
  <c r="Y81" i="3"/>
  <c r="Z81" i="3"/>
  <c r="AV81" i="3"/>
  <c r="AA81" i="3"/>
  <c r="AW81" i="3" s="1"/>
  <c r="AB81" i="3"/>
  <c r="AX81" i="3"/>
  <c r="AC81" i="3"/>
  <c r="AY82" i="3" s="1"/>
  <c r="AY81" i="3"/>
  <c r="AD81" i="3"/>
  <c r="AZ81" i="3" s="1"/>
  <c r="AE81" i="3"/>
  <c r="AF81" i="3"/>
  <c r="BB81" i="3"/>
  <c r="AG81" i="3"/>
  <c r="AH81" i="3"/>
  <c r="BD81" i="3"/>
  <c r="AI81" i="3"/>
  <c r="BE81" i="3" s="1"/>
  <c r="AJ81" i="3"/>
  <c r="AK81" i="3"/>
  <c r="BG81" i="3"/>
  <c r="AL81" i="3"/>
  <c r="AM81" i="3"/>
  <c r="AN81" i="3"/>
  <c r="BJ81" i="3" s="1"/>
  <c r="AO81" i="3"/>
  <c r="AP81" i="3"/>
  <c r="BL81" i="3"/>
  <c r="AQ81" i="3"/>
  <c r="BM81" i="3" s="1"/>
  <c r="AR81" i="3"/>
  <c r="BN81" i="3"/>
  <c r="X82" i="3"/>
  <c r="Y82" i="3"/>
  <c r="AU82" i="3" s="1"/>
  <c r="Z82" i="3"/>
  <c r="AV83" i="3" s="1"/>
  <c r="AV82" i="3"/>
  <c r="AA82" i="3"/>
  <c r="AW82" i="3" s="1"/>
  <c r="AB82" i="3"/>
  <c r="AX82" i="3" s="1"/>
  <c r="AC82" i="3"/>
  <c r="AD82" i="3"/>
  <c r="AE82" i="3"/>
  <c r="BA82" i="3"/>
  <c r="AF82" i="3"/>
  <c r="BB82" i="3"/>
  <c r="AG82" i="3"/>
  <c r="BC82" i="3" s="1"/>
  <c r="AH82" i="3"/>
  <c r="BD82" i="3" s="1"/>
  <c r="AI82" i="3"/>
  <c r="BE82" i="3"/>
  <c r="AJ82" i="3"/>
  <c r="BF82" i="3" s="1"/>
  <c r="AK82" i="3"/>
  <c r="BG82" i="3" s="1"/>
  <c r="AL82" i="3"/>
  <c r="AM82" i="3"/>
  <c r="AN82" i="3"/>
  <c r="AO82" i="3"/>
  <c r="BK82" i="3" s="1"/>
  <c r="AP82" i="3"/>
  <c r="BL82" i="3"/>
  <c r="AQ82" i="3"/>
  <c r="BM82" i="3" s="1"/>
  <c r="AR82" i="3"/>
  <c r="BN82" i="3" s="1"/>
  <c r="X83" i="3"/>
  <c r="AT84" i="3" s="1"/>
  <c r="Y83" i="3"/>
  <c r="AU83" i="3" s="1"/>
  <c r="Z83" i="3"/>
  <c r="AA83" i="3"/>
  <c r="AB83" i="3"/>
  <c r="AX83" i="3" s="1"/>
  <c r="AC83" i="3"/>
  <c r="AY83" i="3"/>
  <c r="AD83" i="3"/>
  <c r="AZ83" i="3"/>
  <c r="AE83" i="3"/>
  <c r="BA83" i="3" s="1"/>
  <c r="AF83" i="3"/>
  <c r="BB83" i="3"/>
  <c r="AG83" i="3"/>
  <c r="AH83" i="3"/>
  <c r="BD83" i="3"/>
  <c r="AI83" i="3"/>
  <c r="BE83" i="3" s="1"/>
  <c r="AJ83" i="3"/>
  <c r="AK83" i="3"/>
  <c r="AL83" i="3"/>
  <c r="BH83" i="3"/>
  <c r="AM83" i="3"/>
  <c r="BI83" i="3"/>
  <c r="AN83" i="3"/>
  <c r="AO83" i="3"/>
  <c r="BK83" i="3" s="1"/>
  <c r="AP83" i="3"/>
  <c r="BL83" i="3"/>
  <c r="AQ83" i="3"/>
  <c r="BM83" i="3"/>
  <c r="AR83" i="3"/>
  <c r="X84" i="3"/>
  <c r="Y84" i="3"/>
  <c r="AU84" i="3"/>
  <c r="Z84" i="3"/>
  <c r="AV84" i="3"/>
  <c r="AA84" i="3"/>
  <c r="AW84" i="3"/>
  <c r="AB84" i="3"/>
  <c r="AC84" i="3"/>
  <c r="AY84" i="3"/>
  <c r="AD84" i="3"/>
  <c r="AZ85" i="3" s="1"/>
  <c r="AZ84" i="3"/>
  <c r="AE84" i="3"/>
  <c r="BA84" i="3" s="1"/>
  <c r="AF84" i="3"/>
  <c r="AG84" i="3"/>
  <c r="AH84" i="3"/>
  <c r="BD84" i="3"/>
  <c r="AI84" i="3"/>
  <c r="AJ84" i="3"/>
  <c r="BF84" i="3" s="1"/>
  <c r="AK84" i="3"/>
  <c r="BG84" i="3"/>
  <c r="AL84" i="3"/>
  <c r="BH84" i="3"/>
  <c r="AM84" i="3"/>
  <c r="BI84" i="3" s="1"/>
  <c r="AN84" i="3"/>
  <c r="AO84" i="3"/>
  <c r="BK84" i="3" s="1"/>
  <c r="AP84" i="3"/>
  <c r="BL84" i="3"/>
  <c r="AQ84" i="3"/>
  <c r="BM84" i="3"/>
  <c r="AR84" i="3"/>
  <c r="X85" i="3"/>
  <c r="AT85" i="3"/>
  <c r="Y85" i="3"/>
  <c r="AU85" i="3" s="1"/>
  <c r="Z85" i="3"/>
  <c r="AV85" i="3" s="1"/>
  <c r="AA85" i="3"/>
  <c r="AW86" i="3" s="1"/>
  <c r="AW85" i="3"/>
  <c r="AB85" i="3"/>
  <c r="AX85" i="3"/>
  <c r="AC85" i="3"/>
  <c r="AY85" i="3" s="1"/>
  <c r="AD85" i="3"/>
  <c r="AE85" i="3"/>
  <c r="AF85" i="3"/>
  <c r="AG85" i="3"/>
  <c r="BC85" i="3"/>
  <c r="AH85" i="3"/>
  <c r="BD85" i="3" s="1"/>
  <c r="AI85" i="3"/>
  <c r="BE85" i="3" s="1"/>
  <c r="AJ85" i="3"/>
  <c r="BF85" i="3"/>
  <c r="AK85" i="3"/>
  <c r="BG85" i="3" s="1"/>
  <c r="AL85" i="3"/>
  <c r="BH85" i="3" s="1"/>
  <c r="AM85" i="3"/>
  <c r="AN85" i="3"/>
  <c r="AO85" i="3"/>
  <c r="BK85" i="3" s="1"/>
  <c r="AP85" i="3"/>
  <c r="BL85" i="3" s="1"/>
  <c r="AQ85" i="3"/>
  <c r="BM85" i="3"/>
  <c r="AR85" i="3"/>
  <c r="BN85" i="3" s="1"/>
  <c r="X86" i="3"/>
  <c r="AT86" i="3"/>
  <c r="Y86" i="3"/>
  <c r="AU87" i="3" s="1"/>
  <c r="Z86" i="3"/>
  <c r="AV86" i="3" s="1"/>
  <c r="AA86" i="3"/>
  <c r="AB86" i="3"/>
  <c r="AX86" i="3" s="1"/>
  <c r="AC86" i="3"/>
  <c r="AD86" i="3"/>
  <c r="AZ86" i="3"/>
  <c r="AE86" i="3"/>
  <c r="BA86" i="3"/>
  <c r="AF86" i="3"/>
  <c r="BB86" i="3" s="1"/>
  <c r="AG86" i="3"/>
  <c r="BC86" i="3"/>
  <c r="AH86" i="3"/>
  <c r="AI86" i="3"/>
  <c r="BE86" i="3"/>
  <c r="AJ86" i="3"/>
  <c r="BF86" i="3" s="1"/>
  <c r="AK86" i="3"/>
  <c r="AL86" i="3"/>
  <c r="BH86" i="3"/>
  <c r="AM86" i="3"/>
  <c r="BI86" i="3"/>
  <c r="AN86" i="3"/>
  <c r="BJ86" i="3"/>
  <c r="AO86" i="3"/>
  <c r="AP86" i="3"/>
  <c r="BL86" i="3" s="1"/>
  <c r="AQ86" i="3"/>
  <c r="BM86" i="3" s="1"/>
  <c r="AR86" i="3"/>
  <c r="BN86" i="3"/>
  <c r="X87" i="3"/>
  <c r="Y87" i="3"/>
  <c r="Z87" i="3"/>
  <c r="AV87" i="3"/>
  <c r="AA87" i="3"/>
  <c r="AW87" i="3"/>
  <c r="AB87" i="3"/>
  <c r="AX87" i="3"/>
  <c r="AC87" i="3"/>
  <c r="AD87" i="3"/>
  <c r="AZ87" i="3"/>
  <c r="AE87" i="3"/>
  <c r="BA88" i="3" s="1"/>
  <c r="BA87" i="3"/>
  <c r="AF87" i="3"/>
  <c r="AG87" i="3"/>
  <c r="BC87" i="3" s="1"/>
  <c r="AH87" i="3"/>
  <c r="AI87" i="3"/>
  <c r="BE87" i="3"/>
  <c r="AJ87" i="3"/>
  <c r="AK87" i="3"/>
  <c r="BG87" i="3"/>
  <c r="AL87" i="3"/>
  <c r="BH87" i="3" s="1"/>
  <c r="AM87" i="3"/>
  <c r="BI87" i="3" s="1"/>
  <c r="AN87" i="3"/>
  <c r="BJ87" i="3" s="1"/>
  <c r="AO87" i="3"/>
  <c r="BK88" i="3" s="1"/>
  <c r="AP87" i="3"/>
  <c r="BL87" i="3" s="1"/>
  <c r="AQ87" i="3"/>
  <c r="AR87" i="3"/>
  <c r="X88" i="3"/>
  <c r="AT88" i="3"/>
  <c r="Y88" i="3"/>
  <c r="AU88" i="3" s="1"/>
  <c r="Z88" i="3"/>
  <c r="AV88" i="3"/>
  <c r="AA88" i="3"/>
  <c r="AW88" i="3" s="1"/>
  <c r="AB88" i="3"/>
  <c r="AX89" i="3" s="1"/>
  <c r="AX88" i="3"/>
  <c r="AC88" i="3"/>
  <c r="AY88" i="3" s="1"/>
  <c r="AD88" i="3"/>
  <c r="AZ88" i="3"/>
  <c r="AE88" i="3"/>
  <c r="AF88" i="3"/>
  <c r="AG88" i="3"/>
  <c r="BC88" i="3" s="1"/>
  <c r="AH88" i="3"/>
  <c r="BD88" i="3" s="1"/>
  <c r="AI88" i="3"/>
  <c r="BE88" i="3" s="1"/>
  <c r="AJ88" i="3"/>
  <c r="BF88" i="3"/>
  <c r="AK88" i="3"/>
  <c r="BG89" i="3" s="1"/>
  <c r="BG88" i="3"/>
  <c r="AL88" i="3"/>
  <c r="BH88" i="3" s="1"/>
  <c r="AM88" i="3"/>
  <c r="BI88" i="3" s="1"/>
  <c r="AN88" i="3"/>
  <c r="BJ88" i="3" s="1"/>
  <c r="AO88" i="3"/>
  <c r="AP88" i="3"/>
  <c r="BL88" i="3" s="1"/>
  <c r="AQ88" i="3"/>
  <c r="AR88" i="3"/>
  <c r="BN89" i="3" s="1"/>
  <c r="BN88" i="3"/>
  <c r="X89" i="3"/>
  <c r="AT90" i="3" s="1"/>
  <c r="AT89" i="3"/>
  <c r="Y89" i="3"/>
  <c r="AU89" i="3" s="1"/>
  <c r="Z89" i="3"/>
  <c r="AV89" i="3"/>
  <c r="AA89" i="3"/>
  <c r="AW89" i="3"/>
  <c r="AB89" i="3"/>
  <c r="AC89" i="3"/>
  <c r="AY89" i="3" s="1"/>
  <c r="AD89" i="3"/>
  <c r="AZ89" i="3" s="1"/>
  <c r="AE89" i="3"/>
  <c r="BA89" i="3"/>
  <c r="AF89" i="3"/>
  <c r="BB89" i="3"/>
  <c r="AG89" i="3"/>
  <c r="BC89" i="3" s="1"/>
  <c r="AH89" i="3"/>
  <c r="BD89" i="3" s="1"/>
  <c r="AI89" i="3"/>
  <c r="BE89" i="3" s="1"/>
  <c r="AJ89" i="3"/>
  <c r="BF89" i="3" s="1"/>
  <c r="AK89" i="3"/>
  <c r="AL89" i="3"/>
  <c r="BH89" i="3" s="1"/>
  <c r="AM89" i="3"/>
  <c r="AN89" i="3"/>
  <c r="BJ89" i="3" s="1"/>
  <c r="AO89" i="3"/>
  <c r="BK89" i="3"/>
  <c r="AP89" i="3"/>
  <c r="BL89" i="3" s="1"/>
  <c r="AQ89" i="3"/>
  <c r="BM89" i="3"/>
  <c r="AR89" i="3"/>
  <c r="X90" i="3"/>
  <c r="Y90" i="3"/>
  <c r="AU90" i="3" s="1"/>
  <c r="Z90" i="3"/>
  <c r="AV90" i="3" s="1"/>
  <c r="AA90" i="3"/>
  <c r="AW90" i="3"/>
  <c r="AB90" i="3"/>
  <c r="AX90" i="3" s="1"/>
  <c r="AC90" i="3"/>
  <c r="AY91" i="3" s="1"/>
  <c r="AD90" i="3"/>
  <c r="AZ90" i="3" s="1"/>
  <c r="AE90" i="3"/>
  <c r="BA90" i="3" s="1"/>
  <c r="AF90" i="3"/>
  <c r="BB90" i="3" s="1"/>
  <c r="AG90" i="3"/>
  <c r="AH90" i="3"/>
  <c r="BD90" i="3"/>
  <c r="AI90" i="3"/>
  <c r="AJ90" i="3"/>
  <c r="BF90" i="3"/>
  <c r="AK90" i="3"/>
  <c r="BG90" i="3"/>
  <c r="AL90" i="3"/>
  <c r="AM90" i="3"/>
  <c r="BI90" i="3"/>
  <c r="AN90" i="3"/>
  <c r="AO90" i="3"/>
  <c r="AP90" i="3"/>
  <c r="BL90" i="3"/>
  <c r="AQ90" i="3"/>
  <c r="BM90" i="3" s="1"/>
  <c r="AR90" i="3"/>
  <c r="BN90" i="3"/>
  <c r="X91" i="3"/>
  <c r="AT91" i="3"/>
  <c r="Y91" i="3"/>
  <c r="Z91" i="3"/>
  <c r="AV91" i="3" s="1"/>
  <c r="AA91" i="3"/>
  <c r="AW91" i="3" s="1"/>
  <c r="AB91" i="3"/>
  <c r="AC91" i="3"/>
  <c r="AD91" i="3"/>
  <c r="AZ91" i="3" s="1"/>
  <c r="AE91" i="3"/>
  <c r="AF91" i="3"/>
  <c r="BB91" i="3"/>
  <c r="AG91" i="3"/>
  <c r="BC91" i="3"/>
  <c r="AH91" i="3"/>
  <c r="AI91" i="3"/>
  <c r="BE91" i="3"/>
  <c r="AJ91" i="3"/>
  <c r="AK91" i="3"/>
  <c r="BG91" i="3" s="1"/>
  <c r="AL91" i="3"/>
  <c r="AM91" i="3"/>
  <c r="BI91" i="3" s="1"/>
  <c r="AN91" i="3"/>
  <c r="BJ91" i="3"/>
  <c r="AO91" i="3"/>
  <c r="BK91" i="3" s="1"/>
  <c r="AP91" i="3"/>
  <c r="BL92" i="3" s="1"/>
  <c r="BL91" i="3"/>
  <c r="AQ91" i="3"/>
  <c r="BM91" i="3" s="1"/>
  <c r="AR91" i="3"/>
  <c r="BN91" i="3" s="1"/>
  <c r="X92" i="3"/>
  <c r="AT92" i="3"/>
  <c r="Y92" i="3"/>
  <c r="Z92" i="3"/>
  <c r="AV92" i="3" s="1"/>
  <c r="AA92" i="3"/>
  <c r="AB92" i="3"/>
  <c r="AC92" i="3"/>
  <c r="AY92" i="3"/>
  <c r="AD92" i="3"/>
  <c r="AE92" i="3"/>
  <c r="AF92" i="3"/>
  <c r="BB92" i="3" s="1"/>
  <c r="AG92" i="3"/>
  <c r="BC92" i="3" s="1"/>
  <c r="AH92" i="3"/>
  <c r="AI92" i="3"/>
  <c r="BE92" i="3" s="1"/>
  <c r="AJ92" i="3"/>
  <c r="BF92" i="3"/>
  <c r="AK92" i="3"/>
  <c r="AL92" i="3"/>
  <c r="BH93" i="3" s="1"/>
  <c r="BH92" i="3"/>
  <c r="AM92" i="3"/>
  <c r="AN92" i="3"/>
  <c r="BJ92" i="3"/>
  <c r="AO92" i="3"/>
  <c r="AP92" i="3"/>
  <c r="AQ92" i="3"/>
  <c r="BM92" i="3" s="1"/>
  <c r="AR92" i="3"/>
  <c r="BN92" i="3" s="1"/>
  <c r="X93" i="3"/>
  <c r="AT93" i="3" s="1"/>
  <c r="Y93" i="3"/>
  <c r="AU93" i="3"/>
  <c r="Z93" i="3"/>
  <c r="AA93" i="3"/>
  <c r="AW93" i="3" s="1"/>
  <c r="AB93" i="3"/>
  <c r="AX93" i="3" s="1"/>
  <c r="AC93" i="3"/>
  <c r="AY93" i="3" s="1"/>
  <c r="AD93" i="3"/>
  <c r="AZ93" i="3"/>
  <c r="AE93" i="3"/>
  <c r="BA93" i="3" s="1"/>
  <c r="AF93" i="3"/>
  <c r="BB93" i="3"/>
  <c r="AG93" i="3"/>
  <c r="BC93" i="3" s="1"/>
  <c r="AH93" i="3"/>
  <c r="AI93" i="3"/>
  <c r="BE93" i="3" s="1"/>
  <c r="AJ93" i="3"/>
  <c r="BF93" i="3"/>
  <c r="AK93" i="3"/>
  <c r="AL93" i="3"/>
  <c r="AM93" i="3"/>
  <c r="BI93" i="3"/>
  <c r="AN93" i="3"/>
  <c r="BJ93" i="3" s="1"/>
  <c r="AO93" i="3"/>
  <c r="BK93" i="3" s="1"/>
  <c r="AP93" i="3"/>
  <c r="BL93" i="3" s="1"/>
  <c r="AQ93" i="3"/>
  <c r="BM93" i="3"/>
  <c r="AR93" i="3"/>
  <c r="BN93" i="3" s="1"/>
  <c r="X94" i="3"/>
  <c r="Y94" i="3"/>
  <c r="AU94" i="3" s="1"/>
  <c r="Z94" i="3"/>
  <c r="AA94" i="3"/>
  <c r="AW94" i="3" s="1"/>
  <c r="AB94" i="3"/>
  <c r="AC94" i="3"/>
  <c r="AD94" i="3"/>
  <c r="AE94" i="3"/>
  <c r="BA94" i="3" s="1"/>
  <c r="AF94" i="3"/>
  <c r="BB94" i="3"/>
  <c r="AG94" i="3"/>
  <c r="AH94" i="3"/>
  <c r="AI94" i="3"/>
  <c r="AJ94" i="3"/>
  <c r="BF94" i="3" s="1"/>
  <c r="AK94" i="3"/>
  <c r="BG94" i="3" s="1"/>
  <c r="AL94" i="3"/>
  <c r="BH94" i="3"/>
  <c r="AM94" i="3"/>
  <c r="BI95" i="3" s="1"/>
  <c r="AN94" i="3"/>
  <c r="BJ94" i="3" s="1"/>
  <c r="AO94" i="3"/>
  <c r="BK94" i="3" s="1"/>
  <c r="AP94" i="3"/>
  <c r="BL94" i="3" s="1"/>
  <c r="AQ94" i="3"/>
  <c r="BM94" i="3"/>
  <c r="AR94" i="3"/>
  <c r="BN94" i="3" s="1"/>
  <c r="X95" i="3"/>
  <c r="Y95" i="3"/>
  <c r="AU95" i="3"/>
  <c r="Z95" i="3"/>
  <c r="AV96" i="3" s="1"/>
  <c r="AV95" i="3"/>
  <c r="AA95" i="3"/>
  <c r="AB95" i="3"/>
  <c r="AX95" i="3"/>
  <c r="AC95" i="3"/>
  <c r="AD95" i="3"/>
  <c r="AE95" i="3"/>
  <c r="BA95" i="3" s="1"/>
  <c r="AF95" i="3"/>
  <c r="BB95" i="3" s="1"/>
  <c r="AG95" i="3"/>
  <c r="BC95" i="3"/>
  <c r="AH95" i="3"/>
  <c r="BD95" i="3"/>
  <c r="AI95" i="3"/>
  <c r="AJ95" i="3"/>
  <c r="AK95" i="3"/>
  <c r="AL95" i="3"/>
  <c r="BH95" i="3" s="1"/>
  <c r="AM95" i="3"/>
  <c r="AN95" i="3"/>
  <c r="BJ95" i="3" s="1"/>
  <c r="AO95" i="3"/>
  <c r="BK95" i="3" s="1"/>
  <c r="AP95" i="3"/>
  <c r="BL95" i="3" s="1"/>
  <c r="AQ95" i="3"/>
  <c r="BM95" i="3"/>
  <c r="AR95" i="3"/>
  <c r="X96" i="3"/>
  <c r="AT96" i="3"/>
  <c r="Y96" i="3"/>
  <c r="AU96" i="3"/>
  <c r="Z96" i="3"/>
  <c r="AA96" i="3"/>
  <c r="AW96" i="3" s="1"/>
  <c r="AB96" i="3"/>
  <c r="AX96" i="3" s="1"/>
  <c r="AC96" i="3"/>
  <c r="AY96" i="3"/>
  <c r="AD96" i="3"/>
  <c r="AZ96" i="3" s="1"/>
  <c r="AE96" i="3"/>
  <c r="BA97" i="3" s="1"/>
  <c r="AF96" i="3"/>
  <c r="BB96" i="3" s="1"/>
  <c r="AG96" i="3"/>
  <c r="BC96" i="3" s="1"/>
  <c r="AH96" i="3"/>
  <c r="BD96" i="3" s="1"/>
  <c r="AI96" i="3"/>
  <c r="AJ96" i="3"/>
  <c r="AK96" i="3"/>
  <c r="BG96" i="3" s="1"/>
  <c r="AL96" i="3"/>
  <c r="AM96" i="3"/>
  <c r="BI96" i="3"/>
  <c r="AN96" i="3"/>
  <c r="BJ96" i="3"/>
  <c r="AO96" i="3"/>
  <c r="BK96" i="3"/>
  <c r="AP96" i="3"/>
  <c r="BL96" i="3"/>
  <c r="AQ96" i="3"/>
  <c r="AR96" i="3"/>
  <c r="BN96" i="3"/>
  <c r="X97" i="3"/>
  <c r="AT97" i="3" s="1"/>
  <c r="Y97" i="3"/>
  <c r="AU97" i="3"/>
  <c r="Z97" i="3"/>
  <c r="AV97" i="3"/>
  <c r="AA97" i="3"/>
  <c r="AW98" i="3" s="1"/>
  <c r="AW97" i="3"/>
  <c r="AB97" i="3"/>
  <c r="AC97" i="3"/>
  <c r="AY97" i="3" s="1"/>
  <c r="AD97" i="3"/>
  <c r="AE97" i="3"/>
  <c r="AF97" i="3"/>
  <c r="BB97" i="3"/>
  <c r="AG97" i="3"/>
  <c r="BC97" i="3" s="1"/>
  <c r="AH97" i="3"/>
  <c r="BD97" i="3"/>
  <c r="AI97" i="3"/>
  <c r="BE97" i="3"/>
  <c r="AJ97" i="3"/>
  <c r="AK97" i="3"/>
  <c r="BG97" i="3"/>
  <c r="AL97" i="3"/>
  <c r="AM97" i="3"/>
  <c r="AN97" i="3"/>
  <c r="BJ97" i="3"/>
  <c r="AO97" i="3"/>
  <c r="BK97" i="3" s="1"/>
  <c r="AP97" i="3"/>
  <c r="BL97" i="3"/>
  <c r="AQ97" i="3"/>
  <c r="BM97" i="3"/>
  <c r="AR97" i="3"/>
  <c r="X98" i="3"/>
  <c r="AT98" i="3" s="1"/>
  <c r="Y98" i="3"/>
  <c r="AU98" i="3" s="1"/>
  <c r="Z98" i="3"/>
  <c r="AV98" i="3"/>
  <c r="AA98" i="3"/>
  <c r="AB98" i="3"/>
  <c r="AX98" i="3" s="1"/>
  <c r="AC98" i="3"/>
  <c r="AD98" i="3"/>
  <c r="AZ98" i="3" s="1"/>
  <c r="AE98" i="3"/>
  <c r="BA98" i="3"/>
  <c r="AF98" i="3"/>
  <c r="BB98" i="3"/>
  <c r="AG98" i="3"/>
  <c r="AH98" i="3"/>
  <c r="AI98" i="3"/>
  <c r="BE98" i="3" s="1"/>
  <c r="AJ98" i="3"/>
  <c r="AK98" i="3"/>
  <c r="BG98" i="3" s="1"/>
  <c r="AL98" i="3"/>
  <c r="BH98" i="3"/>
  <c r="AM98" i="3"/>
  <c r="BI98" i="3"/>
  <c r="AN98" i="3"/>
  <c r="BJ99" i="3" s="1"/>
  <c r="AO98" i="3"/>
  <c r="BK98" i="3" s="1"/>
  <c r="AP98" i="3"/>
  <c r="BL98" i="3"/>
  <c r="AQ98" i="3"/>
  <c r="BM98" i="3"/>
  <c r="AR98" i="3"/>
  <c r="X99" i="3"/>
  <c r="AT99" i="3"/>
  <c r="Y99" i="3"/>
  <c r="Z99" i="3"/>
  <c r="AV99" i="3"/>
  <c r="AA99" i="3"/>
  <c r="AW99" i="3" s="1"/>
  <c r="AB99" i="3"/>
  <c r="AC99" i="3"/>
  <c r="AY99" i="3" s="1"/>
  <c r="AD99" i="3"/>
  <c r="AE99" i="3"/>
  <c r="BA99" i="3" s="1"/>
  <c r="AF99" i="3"/>
  <c r="BB99" i="3"/>
  <c r="AG99" i="3"/>
  <c r="BC99" i="3" s="1"/>
  <c r="AH99" i="3"/>
  <c r="BD99" i="3"/>
  <c r="AI99" i="3"/>
  <c r="BE99" i="3"/>
  <c r="AJ99" i="3"/>
  <c r="AK99" i="3"/>
  <c r="AL99" i="3"/>
  <c r="BH99" i="3"/>
  <c r="AM99" i="3"/>
  <c r="BI99" i="3"/>
  <c r="AN99" i="3"/>
  <c r="AO99" i="3"/>
  <c r="BK99" i="3"/>
  <c r="AP99" i="3"/>
  <c r="BL99" i="3" s="1"/>
  <c r="AQ99" i="3"/>
  <c r="BM99" i="3"/>
  <c r="AR99" i="3"/>
  <c r="BN99" i="3" s="1"/>
  <c r="X100" i="3"/>
  <c r="AT100" i="3"/>
  <c r="Y100" i="3"/>
  <c r="AU100" i="3" s="1"/>
  <c r="Z100" i="3"/>
  <c r="AA100" i="3"/>
  <c r="AB100" i="3"/>
  <c r="AC100" i="3"/>
  <c r="AY100" i="3" s="1"/>
  <c r="AD100" i="3"/>
  <c r="AZ100" i="3"/>
  <c r="AE100" i="3"/>
  <c r="BA100" i="3" s="1"/>
  <c r="AF100" i="3"/>
  <c r="AG100" i="3"/>
  <c r="BC100" i="3"/>
  <c r="AH100" i="3"/>
  <c r="BD100" i="3"/>
  <c r="AI100" i="3"/>
  <c r="BE100" i="3"/>
  <c r="AJ100" i="3"/>
  <c r="AK100" i="3"/>
  <c r="BG100" i="3" s="1"/>
  <c r="AL100" i="3"/>
  <c r="BH100" i="3" s="1"/>
  <c r="AM100" i="3"/>
  <c r="BI100" i="3" s="1"/>
  <c r="AN100" i="3"/>
  <c r="BJ100" i="3" s="1"/>
  <c r="AO100" i="3"/>
  <c r="BK100" i="3"/>
  <c r="AP100" i="3"/>
  <c r="BL100" i="3" s="1"/>
  <c r="AQ100" i="3"/>
  <c r="BM100" i="3" s="1"/>
  <c r="AR100" i="3"/>
  <c r="BN100" i="3" s="1"/>
  <c r="X101" i="3"/>
  <c r="AT101" i="3"/>
  <c r="Y101" i="3"/>
  <c r="AU101" i="3" s="1"/>
  <c r="Z101" i="3"/>
  <c r="AA101" i="3"/>
  <c r="AB101" i="3"/>
  <c r="AC101" i="3"/>
  <c r="AD101" i="3"/>
  <c r="AZ101" i="3"/>
  <c r="AE101" i="3"/>
  <c r="BA101" i="3"/>
  <c r="AF101" i="3"/>
  <c r="AG101" i="3"/>
  <c r="AH101" i="3"/>
  <c r="BD101" i="3" s="1"/>
  <c r="AI101" i="3"/>
  <c r="BE101" i="3"/>
  <c r="AJ101" i="3"/>
  <c r="BF101" i="3"/>
  <c r="AK101" i="3"/>
  <c r="AL101" i="3"/>
  <c r="BH101" i="3" s="1"/>
  <c r="AM101" i="3"/>
  <c r="AN101" i="3"/>
  <c r="AO101" i="3"/>
  <c r="BK101" i="3"/>
  <c r="AP101" i="3"/>
  <c r="BL101" i="3" s="1"/>
  <c r="AQ101" i="3"/>
  <c r="BM101" i="3" s="1"/>
  <c r="AR101" i="3"/>
  <c r="BN101" i="3" s="1"/>
  <c r="X102" i="3"/>
  <c r="AT102" i="3"/>
  <c r="Y102" i="3"/>
  <c r="Z102" i="3"/>
  <c r="AV102" i="3"/>
  <c r="AA102" i="3"/>
  <c r="AW102" i="3"/>
  <c r="AB102" i="3"/>
  <c r="AC102" i="3"/>
  <c r="AD102" i="3"/>
  <c r="AZ102" i="3" s="1"/>
  <c r="AE102" i="3"/>
  <c r="BA102" i="3"/>
  <c r="AF102" i="3"/>
  <c r="BB102" i="3"/>
  <c r="AG102" i="3"/>
  <c r="BC103" i="3" s="1"/>
  <c r="AH102" i="3"/>
  <c r="BD102" i="3" s="1"/>
  <c r="AI102" i="3"/>
  <c r="BE102" i="3" s="1"/>
  <c r="AJ102" i="3"/>
  <c r="AK102" i="3"/>
  <c r="AL102" i="3"/>
  <c r="BH102" i="3" s="1"/>
  <c r="AM102" i="3"/>
  <c r="BI102" i="3" s="1"/>
  <c r="AN102" i="3"/>
  <c r="BJ102" i="3" s="1"/>
  <c r="AO102" i="3"/>
  <c r="BK102" i="3"/>
  <c r="AP102" i="3"/>
  <c r="BL102" i="3"/>
  <c r="AQ102" i="3"/>
  <c r="BM102" i="3"/>
  <c r="AR102" i="3"/>
  <c r="BN102" i="3"/>
  <c r="X103" i="3"/>
  <c r="Y103" i="3"/>
  <c r="AU103" i="3"/>
  <c r="Z103" i="3"/>
  <c r="AV103" i="3" s="1"/>
  <c r="AA103" i="3"/>
  <c r="AW103" i="3"/>
  <c r="AB103" i="3"/>
  <c r="AX103" i="3" s="1"/>
  <c r="AC103" i="3"/>
  <c r="AY103" i="3"/>
  <c r="AD103" i="3"/>
  <c r="AZ103" i="3" s="1"/>
  <c r="AE103" i="3"/>
  <c r="BA103" i="3" s="1"/>
  <c r="AF103" i="3"/>
  <c r="BB103" i="3" s="1"/>
  <c r="AG103" i="3"/>
  <c r="AH103" i="3"/>
  <c r="BD103" i="3"/>
  <c r="AI103" i="3"/>
  <c r="BE103" i="3" s="1"/>
  <c r="AJ103" i="3"/>
  <c r="BF103" i="3"/>
  <c r="AK103" i="3"/>
  <c r="AL103" i="3"/>
  <c r="AM103" i="3"/>
  <c r="BI103" i="3"/>
  <c r="AN103" i="3"/>
  <c r="AO103" i="3"/>
  <c r="BK103" i="3" s="1"/>
  <c r="AP103" i="3"/>
  <c r="BL103" i="3"/>
  <c r="AQ103" i="3"/>
  <c r="BM103" i="3" s="1"/>
  <c r="AR103" i="3"/>
  <c r="BN103" i="3"/>
  <c r="X104" i="3"/>
  <c r="AT104" i="3"/>
  <c r="Y104" i="3"/>
  <c r="AU104" i="3" s="1"/>
  <c r="Z104" i="3"/>
  <c r="AA104" i="3"/>
  <c r="AW104" i="3" s="1"/>
  <c r="AB104" i="3"/>
  <c r="AX104" i="3" s="1"/>
  <c r="AC104" i="3"/>
  <c r="AY104" i="3"/>
  <c r="AD104" i="3"/>
  <c r="AZ104" i="3" s="1"/>
  <c r="AE104" i="3"/>
  <c r="BA104" i="3"/>
  <c r="AF104" i="3"/>
  <c r="AG104" i="3"/>
  <c r="BC104" i="3"/>
  <c r="AH104" i="3"/>
  <c r="BD104" i="3" s="1"/>
  <c r="AI104" i="3"/>
  <c r="AJ104" i="3"/>
  <c r="BF104" i="3" s="1"/>
  <c r="AK104" i="3"/>
  <c r="AL104" i="3"/>
  <c r="BH104" i="3" s="1"/>
  <c r="AM104" i="3"/>
  <c r="BI104" i="3"/>
  <c r="AN104" i="3"/>
  <c r="BJ104" i="3"/>
  <c r="AO104" i="3"/>
  <c r="BK104" i="3"/>
  <c r="AP104" i="3"/>
  <c r="AQ104" i="3"/>
  <c r="BM104" i="3" s="1"/>
  <c r="AR104" i="3"/>
  <c r="BN104" i="3" s="1"/>
  <c r="X105" i="3"/>
  <c r="AT105" i="3"/>
  <c r="Y105" i="3"/>
  <c r="Z105" i="3"/>
  <c r="AV105" i="3"/>
  <c r="AA105" i="3"/>
  <c r="AB105" i="3"/>
  <c r="AX105" i="3" s="1"/>
  <c r="AC105" i="3"/>
  <c r="AY105" i="3" s="1"/>
  <c r="AD105" i="3"/>
  <c r="AE105" i="3"/>
  <c r="BA105" i="3" s="1"/>
  <c r="AF105" i="3"/>
  <c r="BB105" i="3"/>
  <c r="AG105" i="3"/>
  <c r="AH105" i="3"/>
  <c r="BD105" i="3"/>
  <c r="AI105" i="3"/>
  <c r="AJ105" i="3"/>
  <c r="BF105" i="3"/>
  <c r="AK105" i="3"/>
  <c r="BG105" i="3" s="1"/>
  <c r="AL105" i="3"/>
  <c r="AM105" i="3"/>
  <c r="BI105" i="3" s="1"/>
  <c r="AN105" i="3"/>
  <c r="BJ105" i="3"/>
  <c r="AO105" i="3"/>
  <c r="BK105" i="3" s="1"/>
  <c r="AP105" i="3"/>
  <c r="AQ105" i="3"/>
  <c r="BM105" i="3" s="1"/>
  <c r="AR105" i="3"/>
  <c r="BN105" i="3"/>
  <c r="X106" i="3"/>
  <c r="AT106" i="3" s="1"/>
  <c r="Y106" i="3"/>
  <c r="Z106" i="3"/>
  <c r="AV106" i="3" s="1"/>
  <c r="AA106" i="3"/>
  <c r="AW106" i="3"/>
  <c r="AB106" i="3"/>
  <c r="AX106" i="3" s="1"/>
  <c r="AC106" i="3"/>
  <c r="AD106" i="3"/>
  <c r="AZ106" i="3"/>
  <c r="AE106" i="3"/>
  <c r="BA106" i="3"/>
  <c r="AF106" i="3"/>
  <c r="AG106" i="3"/>
  <c r="BC106" i="3" s="1"/>
  <c r="AH106" i="3"/>
  <c r="BD106" i="3" s="1"/>
  <c r="AI106" i="3"/>
  <c r="BE106" i="3"/>
  <c r="AJ106" i="3"/>
  <c r="BF106" i="3" s="1"/>
  <c r="AK106" i="3"/>
  <c r="BG106" i="3"/>
  <c r="AL106" i="3"/>
  <c r="AM106" i="3"/>
  <c r="BI106" i="3" s="1"/>
  <c r="AN106" i="3"/>
  <c r="BJ106" i="3" s="1"/>
  <c r="AO106" i="3"/>
  <c r="AP106" i="3"/>
  <c r="BL106" i="3" s="1"/>
  <c r="AQ106" i="3"/>
  <c r="AR106" i="3"/>
  <c r="BN106" i="3" s="1"/>
  <c r="X107" i="3"/>
  <c r="AT107" i="3"/>
  <c r="Y107" i="3"/>
  <c r="AU107" i="3"/>
  <c r="Z107" i="3"/>
  <c r="AV107" i="3" s="1"/>
  <c r="AA107" i="3"/>
  <c r="AW107" i="3" s="1"/>
  <c r="AB107" i="3"/>
  <c r="AC107" i="3"/>
  <c r="AY107" i="3" s="1"/>
  <c r="AD107" i="3"/>
  <c r="AZ107" i="3"/>
  <c r="AE107" i="3"/>
  <c r="BA107" i="3" s="1"/>
  <c r="AF107" i="3"/>
  <c r="AG107" i="3"/>
  <c r="BC107" i="3" s="1"/>
  <c r="AH107" i="3"/>
  <c r="BD107" i="3"/>
  <c r="AI107" i="3"/>
  <c r="BE107" i="3" s="1"/>
  <c r="AJ107" i="3"/>
  <c r="AK107" i="3"/>
  <c r="BG107" i="3" s="1"/>
  <c r="AL107" i="3"/>
  <c r="BH107" i="3" s="1"/>
  <c r="AM107" i="3"/>
  <c r="BI107" i="3" s="1"/>
  <c r="AN107" i="3"/>
  <c r="AO107" i="3"/>
  <c r="AP107" i="3"/>
  <c r="BL107" i="3"/>
  <c r="AQ107" i="3"/>
  <c r="AR107" i="3"/>
  <c r="BN107" i="3" s="1"/>
  <c r="X108" i="3"/>
  <c r="AT108" i="3" s="1"/>
  <c r="Y108" i="3"/>
  <c r="AU108" i="3" s="1"/>
  <c r="Z108" i="3"/>
  <c r="AA108" i="3"/>
  <c r="AW108" i="3"/>
  <c r="AB108" i="3"/>
  <c r="AC108" i="3"/>
  <c r="AY108" i="3" s="1"/>
  <c r="AD108" i="3"/>
  <c r="AZ108" i="3" s="1"/>
  <c r="AE108" i="3"/>
  <c r="AF108" i="3"/>
  <c r="BB108" i="3" s="1"/>
  <c r="AG108" i="3"/>
  <c r="AH108" i="3"/>
  <c r="BD108" i="3" s="1"/>
  <c r="AI108" i="3"/>
  <c r="BE108" i="3"/>
  <c r="AJ108" i="3"/>
  <c r="BF108" i="3"/>
  <c r="AK108" i="3"/>
  <c r="BG108" i="3" s="1"/>
  <c r="AL108" i="3"/>
  <c r="AM108" i="3"/>
  <c r="AN108" i="3"/>
  <c r="BJ108" i="3" s="1"/>
  <c r="AO108" i="3"/>
  <c r="BK108" i="3"/>
  <c r="AP108" i="3"/>
  <c r="BL108" i="3" s="1"/>
  <c r="AQ108" i="3"/>
  <c r="AR108" i="3"/>
  <c r="BN108" i="3" s="1"/>
  <c r="X109" i="3"/>
  <c r="AT109" i="3"/>
  <c r="Y109" i="3"/>
  <c r="Z109" i="3"/>
  <c r="AA109" i="3"/>
  <c r="AW109" i="3" s="1"/>
  <c r="AB109" i="3"/>
  <c r="AX109" i="3" s="1"/>
  <c r="AC109" i="3"/>
  <c r="AY109" i="3" s="1"/>
  <c r="AD109" i="3"/>
  <c r="AE109" i="3"/>
  <c r="BA109" i="3"/>
  <c r="AF109" i="3"/>
  <c r="BB109" i="3"/>
  <c r="AG109" i="3"/>
  <c r="BC109" i="3" s="1"/>
  <c r="AH109" i="3"/>
  <c r="BD109" i="3" s="1"/>
  <c r="AI109" i="3"/>
  <c r="BE109" i="3" s="1"/>
  <c r="AJ109" i="3"/>
  <c r="BF109" i="3" s="1"/>
  <c r="AK109" i="3"/>
  <c r="BG109" i="3"/>
  <c r="AL109" i="3"/>
  <c r="BH109" i="3"/>
  <c r="AM109" i="3"/>
  <c r="AN109" i="3"/>
  <c r="AO109" i="3"/>
  <c r="AP109" i="3"/>
  <c r="AQ109" i="3"/>
  <c r="BM109" i="3" s="1"/>
  <c r="AR109" i="3"/>
  <c r="X110" i="3"/>
  <c r="AT110" i="3"/>
  <c r="Y110" i="3"/>
  <c r="AU110" i="3"/>
  <c r="Z110" i="3"/>
  <c r="AA110" i="3"/>
  <c r="AW110" i="3"/>
  <c r="AB110" i="3"/>
  <c r="AX111" i="3" s="1"/>
  <c r="AC110" i="3"/>
  <c r="AD110" i="3"/>
  <c r="AZ110" i="3" s="1"/>
  <c r="AE110" i="3"/>
  <c r="BA110" i="3" s="1"/>
  <c r="AF110" i="3"/>
  <c r="BB110" i="3"/>
  <c r="AG110" i="3"/>
  <c r="AH110" i="3"/>
  <c r="BD110" i="3" s="1"/>
  <c r="AI110" i="3"/>
  <c r="BE110" i="3"/>
  <c r="AJ110" i="3"/>
  <c r="AK110" i="3"/>
  <c r="AL110" i="3"/>
  <c r="BH110" i="3" s="1"/>
  <c r="AM110" i="3"/>
  <c r="BI110" i="3" s="1"/>
  <c r="AN110" i="3"/>
  <c r="BJ110" i="3"/>
  <c r="AO110" i="3"/>
  <c r="AP110" i="3"/>
  <c r="BL110" i="3" s="1"/>
  <c r="AQ110" i="3"/>
  <c r="BM110" i="3"/>
  <c r="AR110" i="3"/>
  <c r="X111" i="3"/>
  <c r="AT111" i="3" s="1"/>
  <c r="Y111" i="3"/>
  <c r="AU111" i="3" s="1"/>
  <c r="Z111" i="3"/>
  <c r="AV111" i="3" s="1"/>
  <c r="AA111" i="3"/>
  <c r="AW111" i="3" s="1"/>
  <c r="AB111" i="3"/>
  <c r="AC111" i="3"/>
  <c r="AD111" i="3"/>
  <c r="AZ111" i="3"/>
  <c r="AE111" i="3"/>
  <c r="AF111" i="3"/>
  <c r="AG111" i="3"/>
  <c r="BC111" i="3" s="1"/>
  <c r="AH111" i="3"/>
  <c r="BD111" i="3"/>
  <c r="AI111" i="3"/>
  <c r="BE111" i="3"/>
  <c r="AJ111" i="3"/>
  <c r="AK111" i="3"/>
  <c r="BG111" i="3" s="1"/>
  <c r="AL111" i="3"/>
  <c r="BH111" i="3"/>
  <c r="AM111" i="3"/>
  <c r="AN111" i="3"/>
  <c r="BJ111" i="3" s="1"/>
  <c r="AO111" i="3"/>
  <c r="BK111" i="3" s="1"/>
  <c r="AP111" i="3"/>
  <c r="AQ111" i="3"/>
  <c r="BM111" i="3" s="1"/>
  <c r="AR111" i="3"/>
  <c r="BN111" i="3"/>
  <c r="X112" i="3"/>
  <c r="Y112" i="3"/>
  <c r="AU112" i="3" s="1"/>
  <c r="Z112" i="3"/>
  <c r="AA112" i="3"/>
  <c r="AB112" i="3"/>
  <c r="AX112" i="3" s="1"/>
  <c r="AC112" i="3"/>
  <c r="AD112" i="3"/>
  <c r="AZ112" i="3" s="1"/>
  <c r="AE112" i="3"/>
  <c r="BA112" i="3"/>
  <c r="AF112" i="3"/>
  <c r="BB112" i="3"/>
  <c r="AG112" i="3"/>
  <c r="AH112" i="3"/>
  <c r="AI112" i="3"/>
  <c r="AJ112" i="3"/>
  <c r="BF112" i="3" s="1"/>
  <c r="AK112" i="3"/>
  <c r="AL112" i="3"/>
  <c r="BH112" i="3" s="1"/>
  <c r="AM112" i="3"/>
  <c r="BI112" i="3"/>
  <c r="AN112" i="3"/>
  <c r="AO112" i="3"/>
  <c r="BK112" i="3" s="1"/>
  <c r="AP112" i="3"/>
  <c r="BL112" i="3" s="1"/>
  <c r="AQ112" i="3"/>
  <c r="AR112" i="3"/>
  <c r="X113" i="3"/>
  <c r="Y113" i="3"/>
  <c r="Z113" i="3"/>
  <c r="AV113" i="3"/>
  <c r="AA113" i="3"/>
  <c r="AW113" i="3"/>
  <c r="AB113" i="3"/>
  <c r="AX113" i="3" s="1"/>
  <c r="AC113" i="3"/>
  <c r="AD113" i="3"/>
  <c r="AZ113" i="3" s="1"/>
  <c r="AE113" i="3"/>
  <c r="BA113" i="3" s="1"/>
  <c r="AF113" i="3"/>
  <c r="BB113" i="3" s="1"/>
  <c r="AG113" i="3"/>
  <c r="BC113" i="3" s="1"/>
  <c r="AH113" i="3"/>
  <c r="BD113" i="3" s="1"/>
  <c r="AI113" i="3"/>
  <c r="AJ113" i="3"/>
  <c r="AK113" i="3"/>
  <c r="BG113" i="3" s="1"/>
  <c r="AL113" i="3"/>
  <c r="AM113" i="3"/>
  <c r="AN113" i="3"/>
  <c r="BJ113" i="3"/>
  <c r="AO113" i="3"/>
  <c r="BK113" i="3"/>
  <c r="AP113" i="3"/>
  <c r="BL113" i="3" s="1"/>
  <c r="AQ113" i="3"/>
  <c r="AR113" i="3"/>
  <c r="X114" i="3"/>
  <c r="Y114" i="3"/>
  <c r="AU114" i="3" s="1"/>
  <c r="Z114" i="3"/>
  <c r="AV114" i="3" s="1"/>
  <c r="AA114" i="3"/>
  <c r="AW114" i="3"/>
  <c r="AB114" i="3"/>
  <c r="AC114" i="3"/>
  <c r="AY114" i="3"/>
  <c r="AD114" i="3"/>
  <c r="AZ114" i="3"/>
  <c r="AE114" i="3"/>
  <c r="AF114" i="3"/>
  <c r="BB114" i="3" s="1"/>
  <c r="AG114" i="3"/>
  <c r="AH114" i="3"/>
  <c r="AI114" i="3"/>
  <c r="BE114" i="3"/>
  <c r="AJ114" i="3"/>
  <c r="AK114" i="3"/>
  <c r="BG114" i="3" s="1"/>
  <c r="AL114" i="3"/>
  <c r="BH114" i="3"/>
  <c r="AM114" i="3"/>
  <c r="BI115" i="3" s="1"/>
  <c r="AN114" i="3"/>
  <c r="BJ114" i="3" s="1"/>
  <c r="AO114" i="3"/>
  <c r="BK114" i="3" s="1"/>
  <c r="AP114" i="3"/>
  <c r="BL115" i="3" s="1"/>
  <c r="AQ114" i="3"/>
  <c r="BM114" i="3" s="1"/>
  <c r="AR114" i="3"/>
  <c r="X115" i="3"/>
  <c r="AT115" i="3" s="1"/>
  <c r="Y115" i="3"/>
  <c r="Z115" i="3"/>
  <c r="AV115" i="3" s="1"/>
  <c r="AA115" i="3"/>
  <c r="AW115" i="3" s="1"/>
  <c r="AB115" i="3"/>
  <c r="AX115" i="3" s="1"/>
  <c r="AC115" i="3"/>
  <c r="AY115" i="3" s="1"/>
  <c r="AD115" i="3"/>
  <c r="AZ115" i="3"/>
  <c r="AE115" i="3"/>
  <c r="AF115" i="3"/>
  <c r="AG115" i="3"/>
  <c r="BC115" i="3"/>
  <c r="AH115" i="3"/>
  <c r="BD115" i="3"/>
  <c r="AI115" i="3"/>
  <c r="BE115" i="3" s="1"/>
  <c r="AJ115" i="3"/>
  <c r="AK115" i="3"/>
  <c r="AL115" i="3"/>
  <c r="BH115" i="3" s="1"/>
  <c r="AM115" i="3"/>
  <c r="AN115" i="3"/>
  <c r="BJ115" i="3" s="1"/>
  <c r="AO115" i="3"/>
  <c r="AP115" i="3"/>
  <c r="AQ115" i="3"/>
  <c r="AR115" i="3"/>
  <c r="BN115" i="3" s="1"/>
  <c r="X116" i="3"/>
  <c r="Y116" i="3"/>
  <c r="AU116" i="3" s="1"/>
  <c r="Z116" i="3"/>
  <c r="AV116" i="3"/>
  <c r="AA116" i="3"/>
  <c r="AW116" i="3" s="1"/>
  <c r="AB116" i="3"/>
  <c r="AX116" i="3" s="1"/>
  <c r="AC116" i="3"/>
  <c r="AD116" i="3"/>
  <c r="AZ117" i="3" s="1"/>
  <c r="AE116" i="3"/>
  <c r="AF116" i="3"/>
  <c r="AG116" i="3"/>
  <c r="BC116" i="3" s="1"/>
  <c r="AH116" i="3"/>
  <c r="BD116" i="3"/>
  <c r="AI116" i="3"/>
  <c r="AJ116" i="3"/>
  <c r="BF116" i="3"/>
  <c r="AK116" i="3"/>
  <c r="BG117" i="3" s="1"/>
  <c r="AL116" i="3"/>
  <c r="AM116" i="3"/>
  <c r="AN116" i="3"/>
  <c r="BJ116" i="3" s="1"/>
  <c r="AO116" i="3"/>
  <c r="AP116" i="3"/>
  <c r="BL116" i="3"/>
  <c r="AQ116" i="3"/>
  <c r="BM116" i="3"/>
  <c r="AR116" i="3"/>
  <c r="BN116" i="3" s="1"/>
  <c r="X117" i="3"/>
  <c r="AT117" i="3"/>
  <c r="Y117" i="3"/>
  <c r="Z117" i="3"/>
  <c r="AV117" i="3" s="1"/>
  <c r="AA117" i="3"/>
  <c r="AB117" i="3"/>
  <c r="AX117" i="3" s="1"/>
  <c r="AC117" i="3"/>
  <c r="AY117" i="3" s="1"/>
  <c r="AD117" i="3"/>
  <c r="AE117" i="3"/>
  <c r="BA117" i="3" s="1"/>
  <c r="AF117" i="3"/>
  <c r="BB117" i="3" s="1"/>
  <c r="AG117" i="3"/>
  <c r="AH117" i="3"/>
  <c r="AI117" i="3"/>
  <c r="BE117" i="3" s="1"/>
  <c r="AJ117" i="3"/>
  <c r="BF117" i="3" s="1"/>
  <c r="AK117" i="3"/>
  <c r="AL117" i="3"/>
  <c r="BH117" i="3"/>
  <c r="AM117" i="3"/>
  <c r="BI117" i="3" s="1"/>
  <c r="AN117" i="3"/>
  <c r="AO117" i="3"/>
  <c r="AP117" i="3"/>
  <c r="AQ117" i="3"/>
  <c r="BM117" i="3" s="1"/>
  <c r="AR117" i="3"/>
  <c r="X118" i="3"/>
  <c r="AT118" i="3" s="1"/>
  <c r="Y118" i="3"/>
  <c r="Z118" i="3"/>
  <c r="AA118" i="3"/>
  <c r="AW118" i="3" s="1"/>
  <c r="AB118" i="3"/>
  <c r="AC118" i="3"/>
  <c r="AD118" i="3"/>
  <c r="AZ118" i="3" s="1"/>
  <c r="AE118" i="3"/>
  <c r="AF118" i="3"/>
  <c r="BB118" i="3" s="1"/>
  <c r="AG118" i="3"/>
  <c r="BC118" i="3"/>
  <c r="AH118" i="3"/>
  <c r="BD118" i="3"/>
  <c r="AI118" i="3"/>
  <c r="BE118" i="3"/>
  <c r="AJ118" i="3"/>
  <c r="BF118" i="3" s="1"/>
  <c r="AK118" i="3"/>
  <c r="AL118" i="3"/>
  <c r="AM118" i="3"/>
  <c r="AN118" i="3"/>
  <c r="BJ118" i="3" s="1"/>
  <c r="AO118" i="3"/>
  <c r="BK119" i="3" s="1"/>
  <c r="BK118" i="3"/>
  <c r="AP118" i="3"/>
  <c r="AQ118" i="3"/>
  <c r="BM118" i="3"/>
  <c r="AR118" i="3"/>
  <c r="BN118" i="3" s="1"/>
  <c r="X119" i="3"/>
  <c r="Y119" i="3"/>
  <c r="Z119" i="3"/>
  <c r="AV119" i="3" s="1"/>
  <c r="AA119" i="3"/>
  <c r="AB119" i="3"/>
  <c r="AX119" i="3"/>
  <c r="AC119" i="3"/>
  <c r="AY119" i="3"/>
  <c r="AD119" i="3"/>
  <c r="AE119" i="3"/>
  <c r="AF119" i="3"/>
  <c r="BB119" i="3" s="1"/>
  <c r="AG119" i="3"/>
  <c r="BC119" i="3" s="1"/>
  <c r="AH119" i="3"/>
  <c r="BD119" i="3"/>
  <c r="AI119" i="3"/>
  <c r="BE119" i="3" s="1"/>
  <c r="AJ119" i="3"/>
  <c r="AK119" i="3"/>
  <c r="AL119" i="3"/>
  <c r="BH119" i="3" s="1"/>
  <c r="AM119" i="3"/>
  <c r="BI119" i="3" s="1"/>
  <c r="AN119" i="3"/>
  <c r="AO119" i="3"/>
  <c r="AP119" i="3"/>
  <c r="BL119" i="3" s="1"/>
  <c r="AQ119" i="3"/>
  <c r="BM119" i="3"/>
  <c r="AR119" i="3"/>
  <c r="X120" i="3"/>
  <c r="AT120" i="3" s="1"/>
  <c r="Y120" i="3"/>
  <c r="Z120" i="3"/>
  <c r="AA120" i="3"/>
  <c r="AB120" i="3"/>
  <c r="AX120" i="3"/>
  <c r="AC120" i="3"/>
  <c r="AY120" i="3" s="1"/>
  <c r="AD120" i="3"/>
  <c r="AZ120" i="3" s="1"/>
  <c r="AE120" i="3"/>
  <c r="AF120" i="3"/>
  <c r="BB120" i="3" s="1"/>
  <c r="AG120" i="3"/>
  <c r="BC120" i="3" s="1"/>
  <c r="AH120" i="3"/>
  <c r="AI120" i="3"/>
  <c r="AJ120" i="3"/>
  <c r="BF120" i="3" s="1"/>
  <c r="AK120" i="3"/>
  <c r="BG120" i="3"/>
  <c r="AL120" i="3"/>
  <c r="AM120" i="3"/>
  <c r="BI121" i="3" s="1"/>
  <c r="AN120" i="3"/>
  <c r="BJ120" i="3" s="1"/>
  <c r="AO120" i="3"/>
  <c r="BK120" i="3" s="1"/>
  <c r="AP120" i="3"/>
  <c r="AQ120" i="3"/>
  <c r="AR120" i="3"/>
  <c r="X121" i="3"/>
  <c r="Y121" i="3"/>
  <c r="AU121" i="3" s="1"/>
  <c r="Z121" i="3"/>
  <c r="AV121" i="3" s="1"/>
  <c r="AA121" i="3"/>
  <c r="AW121" i="3"/>
  <c r="AB121" i="3"/>
  <c r="AX121" i="3"/>
  <c r="AC121" i="3"/>
  <c r="AD121" i="3"/>
  <c r="AZ121" i="3"/>
  <c r="AE121" i="3"/>
  <c r="AF121" i="3"/>
  <c r="AG121" i="3"/>
  <c r="BC121" i="3" s="1"/>
  <c r="AH121" i="3"/>
  <c r="BD121" i="3"/>
  <c r="AI121" i="3"/>
  <c r="BE121" i="3" s="1"/>
  <c r="AJ121" i="3"/>
  <c r="BF121" i="3"/>
  <c r="AK121" i="3"/>
  <c r="BG121" i="3"/>
  <c r="AL121" i="3"/>
  <c r="BH121" i="3" s="1"/>
  <c r="AM121" i="3"/>
  <c r="AN121" i="3"/>
  <c r="BJ121" i="3" s="1"/>
  <c r="AO121" i="3"/>
  <c r="AP121" i="3"/>
  <c r="AQ121" i="3"/>
  <c r="AR121" i="3"/>
  <c r="BN121" i="3" s="1"/>
  <c r="X122" i="3"/>
  <c r="AT123" i="3" s="1"/>
  <c r="Y122" i="3"/>
  <c r="AU122" i="3" s="1"/>
  <c r="Z122" i="3"/>
  <c r="AV122" i="3"/>
  <c r="AA122" i="3"/>
  <c r="AB122" i="3"/>
  <c r="AX122" i="3"/>
  <c r="AC122" i="3"/>
  <c r="AD122" i="3"/>
  <c r="AZ122" i="3" s="1"/>
  <c r="AE122" i="3"/>
  <c r="AF122" i="3"/>
  <c r="BB123" i="3" s="1"/>
  <c r="AG122" i="3"/>
  <c r="AH122" i="3"/>
  <c r="BD122" i="3"/>
  <c r="AI122" i="3"/>
  <c r="BE122" i="3" s="1"/>
  <c r="AJ122" i="3"/>
  <c r="BF122" i="3" s="1"/>
  <c r="AK122" i="3"/>
  <c r="AL122" i="3"/>
  <c r="AM122" i="3"/>
  <c r="BI122" i="3" s="1"/>
  <c r="AN122" i="3"/>
  <c r="AO122" i="3"/>
  <c r="BK122" i="3" s="1"/>
  <c r="AP122" i="3"/>
  <c r="BL122" i="3"/>
  <c r="AQ122" i="3"/>
  <c r="AR122" i="3"/>
  <c r="X123" i="3"/>
  <c r="Y123" i="3"/>
  <c r="AU123" i="3" s="1"/>
  <c r="Z123" i="3"/>
  <c r="AA123" i="3"/>
  <c r="AW123" i="3"/>
  <c r="AB123" i="3"/>
  <c r="AX123" i="3" s="1"/>
  <c r="AC123" i="3"/>
  <c r="AY123" i="3"/>
  <c r="AD123" i="3"/>
  <c r="AE123" i="3"/>
  <c r="AF123" i="3"/>
  <c r="AG123" i="3"/>
  <c r="BC123" i="3"/>
  <c r="AH123" i="3"/>
  <c r="BD123" i="3" s="1"/>
  <c r="AI123" i="3"/>
  <c r="BE123" i="3" s="1"/>
  <c r="AJ123" i="3"/>
  <c r="BF123" i="3" s="1"/>
  <c r="AK123" i="3"/>
  <c r="BG123" i="3"/>
  <c r="AL123" i="3"/>
  <c r="AM123" i="3"/>
  <c r="AN123" i="3"/>
  <c r="AO123" i="3"/>
  <c r="BK123" i="3" s="1"/>
  <c r="AP123" i="3"/>
  <c r="BL123" i="3"/>
  <c r="AQ123" i="3"/>
  <c r="BM123" i="3" s="1"/>
  <c r="AR123" i="3"/>
  <c r="BN123" i="3" s="1"/>
  <c r="X124" i="3"/>
  <c r="AT124" i="3"/>
  <c r="Y124" i="3"/>
  <c r="AU124" i="3" s="1"/>
  <c r="Z124" i="3"/>
  <c r="AA124" i="3"/>
  <c r="AB124" i="3"/>
  <c r="AC124" i="3"/>
  <c r="AY124" i="3" s="1"/>
  <c r="AD124" i="3"/>
  <c r="AZ124" i="3"/>
  <c r="AE124" i="3"/>
  <c r="BA124" i="3" s="1"/>
  <c r="AF124" i="3"/>
  <c r="BB124" i="3"/>
  <c r="AG124" i="3"/>
  <c r="BC124" i="3" s="1"/>
  <c r="AH124" i="3"/>
  <c r="BD124" i="3" s="1"/>
  <c r="AI124" i="3"/>
  <c r="AJ124" i="3"/>
  <c r="AK124" i="3"/>
  <c r="BG124" i="3" s="1"/>
  <c r="AL124" i="3"/>
  <c r="BH124" i="3" s="1"/>
  <c r="AM124" i="3"/>
  <c r="BI124" i="3"/>
  <c r="AN124" i="3"/>
  <c r="BJ124" i="3"/>
  <c r="AO124" i="3"/>
  <c r="BK124" i="3" s="1"/>
  <c r="AP124" i="3"/>
  <c r="BL124" i="3"/>
  <c r="AQ124" i="3"/>
  <c r="BM124" i="3" s="1"/>
  <c r="AR124" i="3"/>
  <c r="X125" i="3"/>
  <c r="AT125" i="3" s="1"/>
  <c r="Y125" i="3"/>
  <c r="Z125" i="3"/>
  <c r="AV125" i="3" s="1"/>
  <c r="AA125" i="3"/>
  <c r="AW125" i="3"/>
  <c r="AB125" i="3"/>
  <c r="AC125" i="3"/>
  <c r="AY125" i="3"/>
  <c r="AD125" i="3"/>
  <c r="AE125" i="3"/>
  <c r="BA125" i="3"/>
  <c r="AF125" i="3"/>
  <c r="AG125" i="3"/>
  <c r="AH125" i="3"/>
  <c r="BD125" i="3" s="1"/>
  <c r="AI125" i="3"/>
  <c r="BE125" i="3"/>
  <c r="AJ125" i="3"/>
  <c r="AK125" i="3"/>
  <c r="BG125" i="3" s="1"/>
  <c r="AL125" i="3"/>
  <c r="AM125" i="3"/>
  <c r="BI125" i="3" s="1"/>
  <c r="AN125" i="3"/>
  <c r="BJ125" i="3"/>
  <c r="AO125" i="3"/>
  <c r="BK125" i="3" s="1"/>
  <c r="AP125" i="3"/>
  <c r="BL125" i="3" s="1"/>
  <c r="AQ125" i="3"/>
  <c r="BM125" i="3"/>
  <c r="AR125" i="3"/>
  <c r="X126" i="3"/>
  <c r="Y126" i="3"/>
  <c r="AU126" i="3" s="1"/>
  <c r="Z126" i="3"/>
  <c r="AV126" i="3" s="1"/>
  <c r="AA126" i="3"/>
  <c r="AB126" i="3"/>
  <c r="AX126" i="3"/>
  <c r="AC126" i="3"/>
  <c r="AY126" i="3" s="1"/>
  <c r="AD126" i="3"/>
  <c r="AZ126" i="3"/>
  <c r="AE126" i="3"/>
  <c r="AF126" i="3"/>
  <c r="AG126" i="3"/>
  <c r="AH126" i="3"/>
  <c r="BD126" i="3"/>
  <c r="AI126" i="3"/>
  <c r="BE126" i="3" s="1"/>
  <c r="AJ126" i="3"/>
  <c r="BF126" i="3" s="1"/>
  <c r="AK126" i="3"/>
  <c r="BG126" i="3" s="1"/>
  <c r="AL126" i="3"/>
  <c r="BH126" i="3"/>
  <c r="AM126" i="3"/>
  <c r="AN126" i="3"/>
  <c r="AO126" i="3"/>
  <c r="AP126" i="3"/>
  <c r="BL126" i="3" s="1"/>
  <c r="AQ126" i="3"/>
  <c r="BM126" i="3"/>
  <c r="AR126" i="3"/>
  <c r="BN126" i="3" s="1"/>
  <c r="X127" i="3"/>
  <c r="AT127" i="3" s="1"/>
  <c r="Y127" i="3"/>
  <c r="AU127" i="3"/>
  <c r="Z127" i="3"/>
  <c r="AV127" i="3" s="1"/>
  <c r="AA127" i="3"/>
  <c r="AB127" i="3"/>
  <c r="AC127" i="3"/>
  <c r="AD127" i="3"/>
  <c r="AZ127" i="3" s="1"/>
  <c r="AE127" i="3"/>
  <c r="BA127" i="3"/>
  <c r="AF127" i="3"/>
  <c r="BB127" i="3" s="1"/>
  <c r="AG127" i="3"/>
  <c r="BC127" i="3"/>
  <c r="AH127" i="3"/>
  <c r="BD127" i="3" s="1"/>
  <c r="AI127" i="3"/>
  <c r="BE127" i="3"/>
  <c r="AJ127" i="3"/>
  <c r="AK127" i="3"/>
  <c r="BG127" i="3" s="1"/>
  <c r="AL127" i="3"/>
  <c r="BH127" i="3" s="1"/>
  <c r="AM127" i="3"/>
  <c r="BI127" i="3" s="1"/>
  <c r="AN127" i="3"/>
  <c r="BJ127" i="3"/>
  <c r="AO127" i="3"/>
  <c r="BK127" i="3"/>
  <c r="AP127" i="3"/>
  <c r="BL127" i="3" s="1"/>
  <c r="AQ127" i="3"/>
  <c r="BM127" i="3"/>
  <c r="AR127" i="3"/>
  <c r="BN127" i="3" s="1"/>
  <c r="X128" i="3"/>
  <c r="Y128" i="3"/>
  <c r="AU128" i="3" s="1"/>
  <c r="Z128" i="3"/>
  <c r="AV128" i="3" s="1"/>
  <c r="AA128" i="3"/>
  <c r="AW128" i="3" s="1"/>
  <c r="AB128" i="3"/>
  <c r="AX128" i="3"/>
  <c r="AC128" i="3"/>
  <c r="AD128" i="3"/>
  <c r="AZ128" i="3"/>
  <c r="AE128" i="3"/>
  <c r="AF128" i="3"/>
  <c r="BB128" i="3"/>
  <c r="AG128" i="3"/>
  <c r="AH128" i="3"/>
  <c r="AI128" i="3"/>
  <c r="AJ128" i="3"/>
  <c r="BF128" i="3"/>
  <c r="AK128" i="3"/>
  <c r="AL128" i="3"/>
  <c r="BH128" i="3" s="1"/>
  <c r="AM128" i="3"/>
  <c r="AN128" i="3"/>
  <c r="BJ128" i="3" s="1"/>
  <c r="AO128" i="3"/>
  <c r="BK128" i="3"/>
  <c r="AP128" i="3"/>
  <c r="AQ128" i="3"/>
  <c r="BM128" i="3" s="1"/>
  <c r="AR128" i="3"/>
  <c r="BN128" i="3"/>
  <c r="X129" i="3"/>
  <c r="Y129" i="3"/>
  <c r="Z129" i="3"/>
  <c r="AV129" i="3" s="1"/>
  <c r="AA129" i="3"/>
  <c r="AW129" i="3" s="1"/>
  <c r="AB129" i="3"/>
  <c r="AC129" i="3"/>
  <c r="AY129" i="3" s="1"/>
  <c r="AD129" i="3"/>
  <c r="AZ129" i="3" s="1"/>
  <c r="AE129" i="3"/>
  <c r="BA129" i="3"/>
  <c r="AF129" i="3"/>
  <c r="AG129" i="3"/>
  <c r="AH129" i="3"/>
  <c r="AI129" i="3"/>
  <c r="BE129" i="3"/>
  <c r="AJ129" i="3"/>
  <c r="BF129" i="3" s="1"/>
  <c r="AK129" i="3"/>
  <c r="BG129" i="3" s="1"/>
  <c r="AL129" i="3"/>
  <c r="BH129" i="3" s="1"/>
  <c r="AM129" i="3"/>
  <c r="BI129" i="3"/>
  <c r="AN129" i="3"/>
  <c r="AO129" i="3"/>
  <c r="AP129" i="3"/>
  <c r="AQ129" i="3"/>
  <c r="BM129" i="3" s="1"/>
  <c r="AR129" i="3"/>
  <c r="BN129" i="3"/>
  <c r="X130" i="3"/>
  <c r="AT130" i="3" s="1"/>
  <c r="Y130" i="3"/>
  <c r="AU130" i="3" s="1"/>
  <c r="Z130" i="3"/>
  <c r="AV130" i="3"/>
  <c r="AA130" i="3"/>
  <c r="AW130" i="3" s="1"/>
  <c r="AB130" i="3"/>
  <c r="AC130" i="3"/>
  <c r="AD130" i="3"/>
  <c r="AE130" i="3"/>
  <c r="BA130" i="3" s="1"/>
  <c r="AF130" i="3"/>
  <c r="BB130" i="3"/>
  <c r="AG130" i="3"/>
  <c r="BC130" i="3" s="1"/>
  <c r="AH130" i="3"/>
  <c r="BD130" i="3"/>
  <c r="AI130" i="3"/>
  <c r="BE130" i="3" s="1"/>
  <c r="AJ130" i="3"/>
  <c r="BF130" i="3"/>
  <c r="AK130" i="3"/>
  <c r="AL130" i="3"/>
  <c r="AM130" i="3"/>
  <c r="BI130" i="3" s="1"/>
  <c r="AN130" i="3"/>
  <c r="BJ130" i="3" s="1"/>
  <c r="AO130" i="3"/>
  <c r="BK130" i="3"/>
  <c r="AP130" i="3"/>
  <c r="BL130" i="3"/>
  <c r="AQ130" i="3"/>
  <c r="BM130" i="3" s="1"/>
  <c r="AR130" i="3"/>
  <c r="BN130" i="3"/>
  <c r="X131" i="3"/>
  <c r="AT131" i="3" s="1"/>
  <c r="Y131" i="3"/>
  <c r="AU131" i="3" s="1"/>
  <c r="Z131" i="3"/>
  <c r="AV131" i="3" s="1"/>
  <c r="AA131" i="3"/>
  <c r="AW131" i="3" s="1"/>
  <c r="AB131" i="3"/>
  <c r="AX131" i="3" s="1"/>
  <c r="AC131" i="3"/>
  <c r="AY131" i="3"/>
  <c r="AD131" i="3"/>
  <c r="AE131" i="3"/>
  <c r="BA131" i="3"/>
  <c r="AF131" i="3"/>
  <c r="AG131" i="3"/>
  <c r="BC131" i="3"/>
  <c r="AH131" i="3"/>
  <c r="AI131" i="3"/>
  <c r="AJ131" i="3"/>
  <c r="AK131" i="3"/>
  <c r="BG131" i="3"/>
  <c r="AL131" i="3"/>
  <c r="AM131" i="3"/>
  <c r="BI131" i="3" s="1"/>
  <c r="AN131" i="3"/>
  <c r="AO131" i="3"/>
  <c r="BK131" i="3" s="1"/>
  <c r="AP131" i="3"/>
  <c r="BL131" i="3"/>
  <c r="AQ131" i="3"/>
  <c r="AR131" i="3"/>
  <c r="BN131" i="3" s="1"/>
  <c r="X132" i="3"/>
  <c r="AT132" i="3"/>
  <c r="Y132" i="3"/>
  <c r="Z132" i="3"/>
  <c r="AA132" i="3"/>
  <c r="AW132" i="3" s="1"/>
  <c r="AB132" i="3"/>
  <c r="AX132" i="3" s="1"/>
  <c r="AC132" i="3"/>
  <c r="AD132" i="3"/>
  <c r="AZ132" i="3"/>
  <c r="AE132" i="3"/>
  <c r="BA132" i="3" s="1"/>
  <c r="AF132" i="3"/>
  <c r="BB132" i="3"/>
  <c r="AG132" i="3"/>
  <c r="AH132" i="3"/>
  <c r="AI132" i="3"/>
  <c r="AJ132" i="3"/>
  <c r="BF132" i="3"/>
  <c r="AK132" i="3"/>
  <c r="BG132" i="3" s="1"/>
  <c r="AL132" i="3"/>
  <c r="BH132" i="3" s="1"/>
  <c r="AM132" i="3"/>
  <c r="BI132" i="3" s="1"/>
  <c r="AN132" i="3"/>
  <c r="BJ132" i="3"/>
  <c r="AO132" i="3"/>
  <c r="AP132" i="3"/>
  <c r="BL132" i="3" s="1"/>
  <c r="AQ132" i="3"/>
  <c r="AR132" i="3"/>
  <c r="BN132" i="3" s="1"/>
  <c r="X133" i="3"/>
  <c r="AT133" i="3"/>
  <c r="Y133" i="3"/>
  <c r="AU133" i="3" s="1"/>
  <c r="Z133" i="3"/>
  <c r="AV133" i="3" s="1"/>
  <c r="AA133" i="3"/>
  <c r="AW133" i="3"/>
  <c r="AB133" i="3"/>
  <c r="AX133" i="3" s="1"/>
  <c r="AC133" i="3"/>
  <c r="AD133" i="3"/>
  <c r="AE133" i="3"/>
  <c r="AF133" i="3"/>
  <c r="BB133" i="3" s="1"/>
  <c r="AG133" i="3"/>
  <c r="BC133" i="3"/>
  <c r="AH133" i="3"/>
  <c r="BD133" i="3" s="1"/>
  <c r="AI133" i="3"/>
  <c r="BE133" i="3"/>
  <c r="AJ133" i="3"/>
  <c r="BF133" i="3" s="1"/>
  <c r="AK133" i="3"/>
  <c r="BG133" i="3"/>
  <c r="AL133" i="3"/>
  <c r="AM133" i="3"/>
  <c r="AN133" i="3"/>
  <c r="BJ133" i="3" s="1"/>
  <c r="AO133" i="3"/>
  <c r="BK133" i="3" s="1"/>
  <c r="AP133" i="3"/>
  <c r="BL133" i="3"/>
  <c r="AQ133" i="3"/>
  <c r="BM133" i="3"/>
  <c r="AR133" i="3"/>
  <c r="BN133" i="3" s="1"/>
  <c r="X134" i="3"/>
  <c r="AT134" i="3"/>
  <c r="Y134" i="3"/>
  <c r="AU134" i="3" s="1"/>
  <c r="Z134" i="3"/>
  <c r="AV134" i="3" s="1"/>
  <c r="AA134" i="3"/>
  <c r="AW134" i="3" s="1"/>
  <c r="AB134" i="3"/>
  <c r="AX134" i="3" s="1"/>
  <c r="AC134" i="3"/>
  <c r="AY134" i="3" s="1"/>
  <c r="AD134" i="3"/>
  <c r="AZ134" i="3"/>
  <c r="AE134" i="3"/>
  <c r="AF134" i="3"/>
  <c r="BB134" i="3"/>
  <c r="AG134" i="3"/>
  <c r="AH134" i="3"/>
  <c r="BD134" i="3" s="1"/>
  <c r="AI134" i="3"/>
  <c r="AJ134" i="3"/>
  <c r="BF134" i="3" s="1"/>
  <c r="AK134" i="3"/>
  <c r="BG134" i="3" s="1"/>
  <c r="AL134" i="3"/>
  <c r="BH134" i="3"/>
  <c r="AM134" i="3"/>
  <c r="AN134" i="3"/>
  <c r="BJ134" i="3" s="1"/>
  <c r="AO134" i="3"/>
  <c r="AP134" i="3"/>
  <c r="BL134" i="3" s="1"/>
  <c r="AQ134" i="3"/>
  <c r="BM134" i="3" s="1"/>
  <c r="AR134" i="3"/>
  <c r="X135" i="3"/>
  <c r="AT135" i="3" s="1"/>
  <c r="Y135" i="3"/>
  <c r="AU135" i="3"/>
  <c r="Z135" i="3"/>
  <c r="AA135" i="3"/>
  <c r="AB135" i="3"/>
  <c r="AX135" i="3" s="1"/>
  <c r="AC135" i="3"/>
  <c r="AY135" i="3" s="1"/>
  <c r="AD135" i="3"/>
  <c r="AE135" i="3"/>
  <c r="BA135" i="3" s="1"/>
  <c r="AF135" i="3"/>
  <c r="BB135" i="3" s="1"/>
  <c r="AG135" i="3"/>
  <c r="BC135" i="3"/>
  <c r="AH135" i="3"/>
  <c r="AI135" i="3"/>
  <c r="AJ135" i="3"/>
  <c r="AK135" i="3"/>
  <c r="BG135" i="3"/>
  <c r="AL135" i="3"/>
  <c r="BH135" i="3" s="1"/>
  <c r="AM135" i="3"/>
  <c r="AN135" i="3"/>
  <c r="BJ135" i="3"/>
  <c r="AO135" i="3"/>
  <c r="BK135" i="3"/>
  <c r="AP135" i="3"/>
  <c r="AQ135" i="3"/>
  <c r="AR135" i="3"/>
  <c r="X136" i="3"/>
  <c r="AT136" i="3" s="1"/>
  <c r="Y136" i="3"/>
  <c r="AU136" i="3"/>
  <c r="Z136" i="3"/>
  <c r="AV136" i="3" s="1"/>
  <c r="AA136" i="3"/>
  <c r="AW136" i="3" s="1"/>
  <c r="AB136" i="3"/>
  <c r="AX136" i="3"/>
  <c r="AC136" i="3"/>
  <c r="AY136" i="3" s="1"/>
  <c r="AD136" i="3"/>
  <c r="AE136" i="3"/>
  <c r="AF136" i="3"/>
  <c r="BB136" i="3" s="1"/>
  <c r="AG136" i="3"/>
  <c r="BC136" i="3" s="1"/>
  <c r="AH136" i="3"/>
  <c r="BD137" i="3" s="1"/>
  <c r="BD136" i="3"/>
  <c r="AI136" i="3"/>
  <c r="BE136" i="3" s="1"/>
  <c r="AJ136" i="3"/>
  <c r="BF136" i="3"/>
  <c r="AK136" i="3"/>
  <c r="BG136" i="3" s="1"/>
  <c r="AL136" i="3"/>
  <c r="BH136" i="3" s="1"/>
  <c r="AM136" i="3"/>
  <c r="AN136" i="3"/>
  <c r="AO136" i="3"/>
  <c r="BK136" i="3" s="1"/>
  <c r="AP136" i="3"/>
  <c r="BL136" i="3" s="1"/>
  <c r="AQ136" i="3"/>
  <c r="BM136" i="3"/>
  <c r="AR136" i="3"/>
  <c r="BN136" i="3"/>
  <c r="X137" i="3"/>
  <c r="AT137" i="3" s="1"/>
  <c r="Y137" i="3"/>
  <c r="AU137" i="3"/>
  <c r="Z137" i="3"/>
  <c r="AV137" i="3" s="1"/>
  <c r="AA137" i="3"/>
  <c r="AW137" i="3" s="1"/>
  <c r="AB137" i="3"/>
  <c r="AX137" i="3" s="1"/>
  <c r="AC137" i="3"/>
  <c r="AY137" i="3" s="1"/>
  <c r="AD137" i="3"/>
  <c r="AZ137" i="3" s="1"/>
  <c r="AE137" i="3"/>
  <c r="BA137" i="3"/>
  <c r="AF137" i="3"/>
  <c r="AG137" i="3"/>
  <c r="BC137" i="3"/>
  <c r="AH137" i="3"/>
  <c r="AI137" i="3"/>
  <c r="BE137" i="3"/>
  <c r="AJ137" i="3"/>
  <c r="BF137" i="3" s="1"/>
  <c r="AK137" i="3"/>
  <c r="BG137" i="3" s="1"/>
  <c r="AL137" i="3"/>
  <c r="AM137" i="3"/>
  <c r="BI137" i="3"/>
  <c r="AN137" i="3"/>
  <c r="AO137" i="3"/>
  <c r="BK137" i="3" s="1"/>
  <c r="AP137" i="3"/>
  <c r="AQ137" i="3"/>
  <c r="BM137" i="3" s="1"/>
  <c r="AR137" i="3"/>
  <c r="BN137" i="3"/>
  <c r="X138" i="3"/>
  <c r="Y138" i="3"/>
  <c r="AU138" i="3" s="1"/>
  <c r="Z138" i="3"/>
  <c r="AV138" i="3"/>
  <c r="AA138" i="3"/>
  <c r="AW138" i="3" s="1"/>
  <c r="AB138" i="3"/>
  <c r="AC138" i="3"/>
  <c r="AY138" i="3" s="1"/>
  <c r="AD138" i="3"/>
  <c r="AE138" i="3"/>
  <c r="AF138" i="3"/>
  <c r="BB139" i="3" s="1"/>
  <c r="AG138" i="3"/>
  <c r="BC138" i="3" s="1"/>
  <c r="AH138" i="3"/>
  <c r="BD138" i="3"/>
  <c r="AI138" i="3"/>
  <c r="AJ138" i="3"/>
  <c r="AK138" i="3"/>
  <c r="AL138" i="3"/>
  <c r="BH138" i="3"/>
  <c r="AM138" i="3"/>
  <c r="BI138" i="3" s="1"/>
  <c r="AN138" i="3"/>
  <c r="AO138" i="3"/>
  <c r="BK138" i="3" s="1"/>
  <c r="AP138" i="3"/>
  <c r="BL138" i="3"/>
  <c r="AQ138" i="3"/>
  <c r="AR138" i="3"/>
  <c r="BN138" i="3" s="1"/>
  <c r="X139" i="3"/>
  <c r="Y139" i="3"/>
  <c r="AU139" i="3" s="1"/>
  <c r="Z139" i="3"/>
  <c r="AV139" i="3"/>
  <c r="AA139" i="3"/>
  <c r="AW140" i="3" s="1"/>
  <c r="AB139" i="3"/>
  <c r="AX139" i="3" s="1"/>
  <c r="AC139" i="3"/>
  <c r="AY139" i="3"/>
  <c r="AD139" i="3"/>
  <c r="AZ139" i="3" s="1"/>
  <c r="AE139" i="3"/>
  <c r="AF139" i="3"/>
  <c r="AG139" i="3"/>
  <c r="AH139" i="3"/>
  <c r="BD139" i="3" s="1"/>
  <c r="AI139" i="3"/>
  <c r="BE139" i="3"/>
  <c r="AJ139" i="3"/>
  <c r="BF139" i="3" s="1"/>
  <c r="AK139" i="3"/>
  <c r="BG139" i="3"/>
  <c r="AL139" i="3"/>
  <c r="BH139" i="3" s="1"/>
  <c r="AM139" i="3"/>
  <c r="BI139" i="3" s="1"/>
  <c r="AN139" i="3"/>
  <c r="AO139" i="3"/>
  <c r="AP139" i="3"/>
  <c r="BL139" i="3" s="1"/>
  <c r="AQ139" i="3"/>
  <c r="BM139" i="3" s="1"/>
  <c r="AR139" i="3"/>
  <c r="BN139" i="3"/>
  <c r="X140" i="3"/>
  <c r="AT140" i="3"/>
  <c r="Y140" i="3"/>
  <c r="AU140" i="3" s="1"/>
  <c r="Z140" i="3"/>
  <c r="AV140" i="3"/>
  <c r="AA140" i="3"/>
  <c r="AB140" i="3"/>
  <c r="AC140" i="3"/>
  <c r="AY140" i="3" s="1"/>
  <c r="AD140" i="3"/>
  <c r="AE140" i="3"/>
  <c r="BA140" i="3" s="1"/>
  <c r="AF140" i="3"/>
  <c r="BB140" i="3"/>
  <c r="AG140" i="3"/>
  <c r="AH140" i="3"/>
  <c r="BD140" i="3"/>
  <c r="AI140" i="3"/>
  <c r="AJ140" i="3"/>
  <c r="BF140" i="3"/>
  <c r="AK140" i="3"/>
  <c r="BG140" i="3" s="1"/>
  <c r="AL140" i="3"/>
  <c r="AM140" i="3"/>
  <c r="BI140" i="3" s="1"/>
  <c r="AN140" i="3"/>
  <c r="BJ140" i="3"/>
  <c r="AO140" i="3"/>
  <c r="AP140" i="3"/>
  <c r="BL140" i="3" s="1"/>
  <c r="AQ140" i="3"/>
  <c r="AR140" i="3"/>
  <c r="BN140" i="3" s="1"/>
  <c r="X141" i="3"/>
  <c r="AT141" i="3"/>
  <c r="Y141" i="3"/>
  <c r="AU141" i="3" s="1"/>
  <c r="Z141" i="3"/>
  <c r="AV141" i="3" s="1"/>
  <c r="AA141" i="3"/>
  <c r="AW141" i="3"/>
  <c r="AB141" i="3"/>
  <c r="AX141" i="3" s="1"/>
  <c r="AC141" i="3"/>
  <c r="AD141" i="3"/>
  <c r="AZ141" i="3" s="1"/>
  <c r="AE141" i="3"/>
  <c r="BA141" i="3" s="1"/>
  <c r="AF141" i="3"/>
  <c r="BB141" i="3" s="1"/>
  <c r="AG141" i="3"/>
  <c r="BC141" i="3"/>
  <c r="AH141" i="3"/>
  <c r="BD141" i="3" s="1"/>
  <c r="AI141" i="3"/>
  <c r="BE141" i="3"/>
  <c r="AJ141" i="3"/>
  <c r="AK141" i="3"/>
  <c r="BG141" i="3"/>
  <c r="AL141" i="3"/>
  <c r="AM141" i="3"/>
  <c r="BI141" i="3"/>
  <c r="AN141" i="3"/>
  <c r="BJ141" i="3" s="1"/>
  <c r="AO141" i="3"/>
  <c r="BK141" i="3" s="1"/>
  <c r="AP141" i="3"/>
  <c r="BL141" i="3"/>
  <c r="AQ141" i="3"/>
  <c r="BM141" i="3"/>
  <c r="AR141" i="3"/>
  <c r="BN141" i="3" s="1"/>
  <c r="X142" i="3"/>
  <c r="Y142" i="3"/>
  <c r="Z142" i="3"/>
  <c r="AA142" i="3"/>
  <c r="AW142" i="3"/>
  <c r="AB142" i="3"/>
  <c r="AX142" i="3" s="1"/>
  <c r="AC142" i="3"/>
  <c r="AY142" i="3" s="1"/>
  <c r="AD142" i="3"/>
  <c r="AZ142" i="3"/>
  <c r="AE142" i="3"/>
  <c r="BA142" i="3" s="1"/>
  <c r="AF142" i="3"/>
  <c r="AG142" i="3"/>
  <c r="AH142" i="3"/>
  <c r="AI142" i="3"/>
  <c r="BE142" i="3" s="1"/>
  <c r="AJ142" i="3"/>
  <c r="BF142" i="3"/>
  <c r="AK142" i="3"/>
  <c r="BG142" i="3" s="1"/>
  <c r="AL142" i="3"/>
  <c r="BH142" i="3"/>
  <c r="AM142" i="3"/>
  <c r="BI142" i="3" s="1"/>
  <c r="AN142" i="3"/>
  <c r="BJ142" i="3" s="1"/>
  <c r="AO142" i="3"/>
  <c r="AP142" i="3"/>
  <c r="BL142" i="3" s="1"/>
  <c r="AQ142" i="3"/>
  <c r="BM142" i="3" s="1"/>
  <c r="AR142" i="3"/>
  <c r="BN142" i="3" s="1"/>
  <c r="X143" i="3"/>
  <c r="AT143" i="3"/>
  <c r="Y143" i="3"/>
  <c r="AU143" i="3"/>
  <c r="Z143" i="3"/>
  <c r="AV143" i="3" s="1"/>
  <c r="AA143" i="3"/>
  <c r="AW143" i="3"/>
  <c r="AB143" i="3"/>
  <c r="AX143" i="3" s="1"/>
  <c r="AC143" i="3"/>
  <c r="AD143" i="3"/>
  <c r="AE143" i="3"/>
  <c r="BA143" i="3" s="1"/>
  <c r="AF143" i="3"/>
  <c r="BB143" i="3" s="1"/>
  <c r="AG143" i="3"/>
  <c r="BC143" i="3"/>
  <c r="AH143" i="3"/>
  <c r="AI143" i="3"/>
  <c r="AJ143" i="3"/>
  <c r="AK143" i="3"/>
  <c r="BG143" i="3" s="1"/>
  <c r="AL143" i="3"/>
  <c r="BH143" i="3" s="1"/>
  <c r="AM143" i="3"/>
  <c r="AN143" i="3"/>
  <c r="AO143" i="3"/>
  <c r="BK143" i="3"/>
  <c r="AP143" i="3"/>
  <c r="AQ143" i="3"/>
  <c r="BM143" i="3" s="1"/>
  <c r="AR143" i="3"/>
  <c r="X144" i="3"/>
  <c r="AT144" i="3" s="1"/>
  <c r="Y144" i="3"/>
  <c r="AU144" i="3"/>
  <c r="Z144" i="3"/>
  <c r="AV144" i="3" s="1"/>
  <c r="AA144" i="3"/>
  <c r="AW144" i="3" s="1"/>
  <c r="AB144" i="3"/>
  <c r="AX144" i="3"/>
  <c r="AC144" i="3"/>
  <c r="AD144" i="3"/>
  <c r="AE144" i="3"/>
  <c r="BA144" i="3" s="1"/>
  <c r="AF144" i="3"/>
  <c r="AG144" i="3"/>
  <c r="BC145" i="3" s="1"/>
  <c r="BC144" i="3"/>
  <c r="AH144" i="3"/>
  <c r="BD144" i="3" s="1"/>
  <c r="AI144" i="3"/>
  <c r="BE144" i="3" s="1"/>
  <c r="AJ144" i="3"/>
  <c r="BF144" i="3"/>
  <c r="AK144" i="3"/>
  <c r="AL144" i="3"/>
  <c r="AM144" i="3"/>
  <c r="BI144" i="3" s="1"/>
  <c r="AN144" i="3"/>
  <c r="BJ144" i="3" s="1"/>
  <c r="AO144" i="3"/>
  <c r="BK144" i="3"/>
  <c r="AP144" i="3"/>
  <c r="BL144" i="3" s="1"/>
  <c r="AQ144" i="3"/>
  <c r="AR144" i="3"/>
  <c r="BN144" i="3"/>
  <c r="X145" i="3"/>
  <c r="AT145" i="3" s="1"/>
  <c r="Y145" i="3"/>
  <c r="AU145" i="3"/>
  <c r="Z145" i="3"/>
  <c r="AV145" i="3" s="1"/>
  <c r="AA145" i="3"/>
  <c r="AW145" i="3" s="1"/>
  <c r="AB145" i="3"/>
  <c r="AX145" i="3"/>
  <c r="AC145" i="3"/>
  <c r="AY145" i="3" s="1"/>
  <c r="AD145" i="3"/>
  <c r="AZ145" i="3" s="1"/>
  <c r="AE145" i="3"/>
  <c r="BA145" i="3"/>
  <c r="AF145" i="3"/>
  <c r="BB145" i="3" s="1"/>
  <c r="AG145" i="3"/>
  <c r="AH145" i="3"/>
  <c r="AI145" i="3"/>
  <c r="AJ145" i="3"/>
  <c r="BF145" i="3"/>
  <c r="AK145" i="3"/>
  <c r="BG145" i="3" s="1"/>
  <c r="AL145" i="3"/>
  <c r="BH145" i="3" s="1"/>
  <c r="AM145" i="3"/>
  <c r="BI145" i="3"/>
  <c r="AN145" i="3"/>
  <c r="BJ145" i="3" s="1"/>
  <c r="AO145" i="3"/>
  <c r="BK145" i="3"/>
  <c r="AP145" i="3"/>
  <c r="AQ145" i="3"/>
  <c r="AR145" i="3"/>
  <c r="BN145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X2" i="3"/>
  <c r="X3" i="1"/>
  <c r="Y3" i="1"/>
  <c r="Z3" i="1"/>
  <c r="AA3" i="1"/>
  <c r="AB3" i="1"/>
  <c r="AC3" i="1"/>
  <c r="AD3" i="1"/>
  <c r="AE3" i="1"/>
  <c r="AF3" i="1"/>
  <c r="AG3" i="1"/>
  <c r="AH3" i="1"/>
  <c r="AI3" i="1"/>
  <c r="BE4" i="1" s="1"/>
  <c r="AJ3" i="1"/>
  <c r="AK3" i="1"/>
  <c r="AL3" i="1"/>
  <c r="AM3" i="1"/>
  <c r="AN3" i="1"/>
  <c r="AO3" i="1"/>
  <c r="AP3" i="1"/>
  <c r="AQ3" i="1"/>
  <c r="AR3" i="1"/>
  <c r="X4" i="1"/>
  <c r="Y4" i="1"/>
  <c r="Z4" i="1"/>
  <c r="AA4" i="1"/>
  <c r="AW4" i="1"/>
  <c r="AB4" i="1"/>
  <c r="AC4" i="1"/>
  <c r="AY4" i="1" s="1"/>
  <c r="AD4" i="1"/>
  <c r="AE4" i="1"/>
  <c r="AF4" i="1"/>
  <c r="AG4" i="1"/>
  <c r="BC4" i="1" s="1"/>
  <c r="AH4" i="1"/>
  <c r="AI4" i="1"/>
  <c r="AJ4" i="1"/>
  <c r="AK4" i="1"/>
  <c r="AL4" i="1"/>
  <c r="AM4" i="1"/>
  <c r="AN4" i="1"/>
  <c r="AO4" i="1"/>
  <c r="BK4" i="1" s="1"/>
  <c r="AP4" i="1"/>
  <c r="AQ4" i="1"/>
  <c r="BM4" i="1" s="1"/>
  <c r="AR4" i="1"/>
  <c r="X5" i="1"/>
  <c r="Y5" i="1"/>
  <c r="AU6" i="1" s="1"/>
  <c r="Z5" i="1"/>
  <c r="AA5" i="1"/>
  <c r="AB5" i="1"/>
  <c r="AX5" i="1"/>
  <c r="AC5" i="1"/>
  <c r="AY5" i="1" s="1"/>
  <c r="AD5" i="1"/>
  <c r="AE5" i="1"/>
  <c r="AF5" i="1"/>
  <c r="AG5" i="1"/>
  <c r="AH5" i="1"/>
  <c r="BD5" i="1" s="1"/>
  <c r="AI5" i="1"/>
  <c r="AJ5" i="1"/>
  <c r="AK5" i="1"/>
  <c r="AL5" i="1"/>
  <c r="AM5" i="1"/>
  <c r="BI6" i="1" s="1"/>
  <c r="AN5" i="1"/>
  <c r="AO5" i="1"/>
  <c r="AP5" i="1"/>
  <c r="AQ5" i="1"/>
  <c r="AR5" i="1"/>
  <c r="BN5" i="1" s="1"/>
  <c r="X6" i="1"/>
  <c r="Y6" i="1"/>
  <c r="Z6" i="1"/>
  <c r="AA6" i="1"/>
  <c r="AB6" i="1"/>
  <c r="AC6" i="1"/>
  <c r="AD6" i="1"/>
  <c r="AE6" i="1"/>
  <c r="BA6" i="1" s="1"/>
  <c r="AF6" i="1"/>
  <c r="AG6" i="1"/>
  <c r="AH6" i="1"/>
  <c r="AI6" i="1"/>
  <c r="BE6" i="1" s="1"/>
  <c r="AJ6" i="1"/>
  <c r="AK6" i="1"/>
  <c r="AL6" i="1"/>
  <c r="AM6" i="1"/>
  <c r="AN6" i="1"/>
  <c r="AO6" i="1"/>
  <c r="AP6" i="1"/>
  <c r="AQ6" i="1"/>
  <c r="BM6" i="1" s="1"/>
  <c r="AR6" i="1"/>
  <c r="X7" i="1"/>
  <c r="AT7" i="1"/>
  <c r="Y7" i="1"/>
  <c r="Z7" i="1"/>
  <c r="AA7" i="1"/>
  <c r="AB7" i="1"/>
  <c r="AC7" i="1"/>
  <c r="AD7" i="1"/>
  <c r="AZ7" i="1" s="1"/>
  <c r="AE7" i="1"/>
  <c r="AF7" i="1"/>
  <c r="AG7" i="1"/>
  <c r="AH7" i="1"/>
  <c r="BD7" i="1" s="1"/>
  <c r="AI7" i="1"/>
  <c r="AJ7" i="1"/>
  <c r="AK7" i="1"/>
  <c r="AL7" i="1"/>
  <c r="AM7" i="1"/>
  <c r="AN7" i="1"/>
  <c r="BJ7" i="1" s="1"/>
  <c r="AO7" i="1"/>
  <c r="AP7" i="1"/>
  <c r="AQ7" i="1"/>
  <c r="AR7" i="1"/>
  <c r="X8" i="1"/>
  <c r="Y8" i="1"/>
  <c r="AU8" i="1" s="1"/>
  <c r="Z8" i="1"/>
  <c r="AA8" i="1"/>
  <c r="AB8" i="1"/>
  <c r="AC8" i="1"/>
  <c r="AY8" i="1"/>
  <c r="AD8" i="1"/>
  <c r="AE8" i="1"/>
  <c r="AF8" i="1"/>
  <c r="AG8" i="1"/>
  <c r="AH8" i="1"/>
  <c r="AI8" i="1"/>
  <c r="BE8" i="1" s="1"/>
  <c r="AJ8" i="1"/>
  <c r="AK8" i="1"/>
  <c r="AL8" i="1"/>
  <c r="AM8" i="1"/>
  <c r="AN8" i="1"/>
  <c r="AO8" i="1"/>
  <c r="AP8" i="1"/>
  <c r="AQ8" i="1"/>
  <c r="AR8" i="1"/>
  <c r="X9" i="1"/>
  <c r="AT9" i="1" s="1"/>
  <c r="Y9" i="1"/>
  <c r="AU10" i="1" s="1"/>
  <c r="Z9" i="1"/>
  <c r="AA9" i="1"/>
  <c r="AB9" i="1"/>
  <c r="AC9" i="1"/>
  <c r="AD9" i="1"/>
  <c r="AZ9" i="1"/>
  <c r="AE9" i="1"/>
  <c r="AF9" i="1"/>
  <c r="BB9" i="1" s="1"/>
  <c r="AG9" i="1"/>
  <c r="AH9" i="1"/>
  <c r="AI9" i="1"/>
  <c r="AJ9" i="1"/>
  <c r="BF9" i="1" s="1"/>
  <c r="AK9" i="1"/>
  <c r="BG10" i="1" s="1"/>
  <c r="AL9" i="1"/>
  <c r="BH9" i="1" s="1"/>
  <c r="AM9" i="1"/>
  <c r="AN9" i="1"/>
  <c r="BJ9" i="1" s="1"/>
  <c r="AO9" i="1"/>
  <c r="BK10" i="1" s="1"/>
  <c r="AP9" i="1"/>
  <c r="AQ9" i="1"/>
  <c r="AR9" i="1"/>
  <c r="X10" i="1"/>
  <c r="Y10" i="1"/>
  <c r="Z10" i="1"/>
  <c r="AA10" i="1"/>
  <c r="AB10" i="1"/>
  <c r="AC10" i="1"/>
  <c r="AD10" i="1"/>
  <c r="AE10" i="1"/>
  <c r="AF10" i="1"/>
  <c r="AG10" i="1"/>
  <c r="AH10" i="1"/>
  <c r="AI10" i="1"/>
  <c r="BE10" i="1" s="1"/>
  <c r="AJ10" i="1"/>
  <c r="BF11" i="1" s="1"/>
  <c r="AK10" i="1"/>
  <c r="AL10" i="1"/>
  <c r="AM10" i="1"/>
  <c r="AN10" i="1"/>
  <c r="AO10" i="1"/>
  <c r="AP10" i="1"/>
  <c r="AQ10" i="1"/>
  <c r="AR10" i="1"/>
  <c r="X11" i="1"/>
  <c r="Y11" i="1"/>
  <c r="AU11" i="1" s="1"/>
  <c r="Z11" i="1"/>
  <c r="AA11" i="1"/>
  <c r="AW12" i="1" s="1"/>
  <c r="AB11" i="1"/>
  <c r="AX11" i="1" s="1"/>
  <c r="AC11" i="1"/>
  <c r="AD11" i="1"/>
  <c r="AZ11" i="1" s="1"/>
  <c r="AE11" i="1"/>
  <c r="AF11" i="1"/>
  <c r="AG11" i="1"/>
  <c r="AH11" i="1"/>
  <c r="AI11" i="1"/>
  <c r="AJ11" i="1"/>
  <c r="AK11" i="1"/>
  <c r="AL11" i="1"/>
  <c r="BH11" i="1" s="1"/>
  <c r="AM11" i="1"/>
  <c r="AN11" i="1"/>
  <c r="AO11" i="1"/>
  <c r="AP11" i="1"/>
  <c r="BL11" i="1" s="1"/>
  <c r="AQ11" i="1"/>
  <c r="AR11" i="1"/>
  <c r="X12" i="1"/>
  <c r="Y12" i="1"/>
  <c r="Z12" i="1"/>
  <c r="AA12" i="1"/>
  <c r="AB12" i="1"/>
  <c r="AC12" i="1"/>
  <c r="AD12" i="1"/>
  <c r="AE12" i="1"/>
  <c r="BA12" i="1"/>
  <c r="AF12" i="1"/>
  <c r="AG12" i="1"/>
  <c r="BC12" i="1" s="1"/>
  <c r="AH12" i="1"/>
  <c r="AI12" i="1"/>
  <c r="BE12" i="1" s="1"/>
  <c r="AJ12" i="1"/>
  <c r="AK12" i="1"/>
  <c r="AL12" i="1"/>
  <c r="BH13" i="1" s="1"/>
  <c r="AM12" i="1"/>
  <c r="AN12" i="1"/>
  <c r="AO12" i="1"/>
  <c r="AP12" i="1"/>
  <c r="AQ12" i="1"/>
  <c r="BM12" i="1" s="1"/>
  <c r="AR12" i="1"/>
  <c r="X13" i="1"/>
  <c r="Y13" i="1"/>
  <c r="Z13" i="1"/>
  <c r="AV13" i="1"/>
  <c r="AA13" i="1"/>
  <c r="AB13" i="1"/>
  <c r="AX13" i="1" s="1"/>
  <c r="AC13" i="1"/>
  <c r="AD13" i="1"/>
  <c r="AE13" i="1"/>
  <c r="AF13" i="1"/>
  <c r="AG13" i="1"/>
  <c r="AH13" i="1"/>
  <c r="AI13" i="1"/>
  <c r="AJ13" i="1"/>
  <c r="BF13" i="1" s="1"/>
  <c r="AK13" i="1"/>
  <c r="AL13" i="1"/>
  <c r="AM13" i="1"/>
  <c r="AN13" i="1"/>
  <c r="AO13" i="1"/>
  <c r="AP13" i="1"/>
  <c r="BL13" i="1"/>
  <c r="AQ13" i="1"/>
  <c r="AR13" i="1"/>
  <c r="BN13" i="1" s="1"/>
  <c r="X14" i="1"/>
  <c r="Y14" i="1"/>
  <c r="Z14" i="1"/>
  <c r="AA14" i="1"/>
  <c r="AB14" i="1"/>
  <c r="AX15" i="1" s="1"/>
  <c r="AC14" i="1"/>
  <c r="AD14" i="1"/>
  <c r="AE14" i="1"/>
  <c r="BA14" i="1" s="1"/>
  <c r="AF14" i="1"/>
  <c r="AG14" i="1"/>
  <c r="BC14" i="1" s="1"/>
  <c r="AH14" i="1"/>
  <c r="AI14" i="1"/>
  <c r="AJ14" i="1"/>
  <c r="AK14" i="1"/>
  <c r="AL14" i="1"/>
  <c r="AM14" i="1"/>
  <c r="BI14" i="1" s="1"/>
  <c r="AN14" i="1"/>
  <c r="AO14" i="1"/>
  <c r="AP14" i="1"/>
  <c r="AQ14" i="1"/>
  <c r="AR14" i="1"/>
  <c r="X15" i="1"/>
  <c r="AT15" i="1" s="1"/>
  <c r="Y15" i="1"/>
  <c r="Z15" i="1"/>
  <c r="AA15" i="1"/>
  <c r="AB15" i="1"/>
  <c r="AC15" i="1"/>
  <c r="AD15" i="1"/>
  <c r="AE15" i="1"/>
  <c r="BA15" i="1" s="1"/>
  <c r="AF15" i="1"/>
  <c r="BB15" i="1"/>
  <c r="AG15" i="1"/>
  <c r="AH15" i="1"/>
  <c r="AI15" i="1"/>
  <c r="AJ15" i="1"/>
  <c r="AK15" i="1"/>
  <c r="AL15" i="1"/>
  <c r="AM15" i="1"/>
  <c r="BI16" i="1" s="1"/>
  <c r="AN15" i="1"/>
  <c r="AO15" i="1"/>
  <c r="AP15" i="1"/>
  <c r="BL15" i="1" s="1"/>
  <c r="AQ15" i="1"/>
  <c r="BM16" i="1" s="1"/>
  <c r="AR15" i="1"/>
  <c r="BN15" i="1" s="1"/>
  <c r="X16" i="1"/>
  <c r="Y16" i="1"/>
  <c r="AU16" i="1" s="1"/>
  <c r="Z16" i="1"/>
  <c r="AA16" i="1"/>
  <c r="AW16" i="1" s="1"/>
  <c r="AB16" i="1"/>
  <c r="AC16" i="1"/>
  <c r="AD16" i="1"/>
  <c r="AE16" i="1"/>
  <c r="AF16" i="1"/>
  <c r="AG16" i="1"/>
  <c r="AH16" i="1"/>
  <c r="AI16" i="1"/>
  <c r="BE16" i="1" s="1"/>
  <c r="AJ16" i="1"/>
  <c r="AK16" i="1"/>
  <c r="BG16" i="1" s="1"/>
  <c r="AL16" i="1"/>
  <c r="AM16" i="1"/>
  <c r="AN16" i="1"/>
  <c r="AO16" i="1"/>
  <c r="AP16" i="1"/>
  <c r="AQ16" i="1"/>
  <c r="AR16" i="1"/>
  <c r="X17" i="1"/>
  <c r="Y17" i="1"/>
  <c r="Z17" i="1"/>
  <c r="AA17" i="1"/>
  <c r="AB17" i="1"/>
  <c r="AC17" i="1"/>
  <c r="AY18" i="1" s="1"/>
  <c r="AD17" i="1"/>
  <c r="AZ17" i="1" s="1"/>
  <c r="AE17" i="1"/>
  <c r="AF17" i="1"/>
  <c r="BB17" i="1" s="1"/>
  <c r="AG17" i="1"/>
  <c r="AH17" i="1"/>
  <c r="BD17" i="1" s="1"/>
  <c r="AI17" i="1"/>
  <c r="AJ17" i="1"/>
  <c r="AK17" i="1"/>
  <c r="AL17" i="1"/>
  <c r="AM17" i="1"/>
  <c r="AN17" i="1"/>
  <c r="BJ17" i="1" s="1"/>
  <c r="AO17" i="1"/>
  <c r="AP17" i="1"/>
  <c r="AQ17" i="1"/>
  <c r="AR17" i="1"/>
  <c r="X18" i="1"/>
  <c r="Y18" i="1"/>
  <c r="AU18" i="1" s="1"/>
  <c r="Z18" i="1"/>
  <c r="AA18" i="1"/>
  <c r="AW18" i="1" s="1"/>
  <c r="AB18" i="1"/>
  <c r="AC18" i="1"/>
  <c r="AD18" i="1"/>
  <c r="AE18" i="1"/>
  <c r="AF18" i="1"/>
  <c r="BB18" i="1" s="1"/>
  <c r="AG18" i="1"/>
  <c r="BC18" i="1"/>
  <c r="AH18" i="1"/>
  <c r="AI18" i="1"/>
  <c r="AJ18" i="1"/>
  <c r="AK18" i="1"/>
  <c r="BG18" i="1" s="1"/>
  <c r="AL18" i="1"/>
  <c r="AM18" i="1"/>
  <c r="BI18" i="1" s="1"/>
  <c r="AN18" i="1"/>
  <c r="AO18" i="1"/>
  <c r="BK18" i="1" s="1"/>
  <c r="AP18" i="1"/>
  <c r="AQ18" i="1"/>
  <c r="AR18" i="1"/>
  <c r="BN19" i="1" s="1"/>
  <c r="X19" i="1"/>
  <c r="Y19" i="1"/>
  <c r="Z19" i="1"/>
  <c r="AA19" i="1"/>
  <c r="AB19" i="1"/>
  <c r="AC19" i="1"/>
  <c r="AD19" i="1"/>
  <c r="AZ19" i="1" s="1"/>
  <c r="AE19" i="1"/>
  <c r="AF19" i="1"/>
  <c r="AG19" i="1"/>
  <c r="AH19" i="1"/>
  <c r="AI19" i="1"/>
  <c r="AJ19" i="1"/>
  <c r="BF19" i="1" s="1"/>
  <c r="AK19" i="1"/>
  <c r="AL19" i="1"/>
  <c r="AM19" i="1"/>
  <c r="AN19" i="1"/>
  <c r="AO19" i="1"/>
  <c r="AP19" i="1"/>
  <c r="AQ19" i="1"/>
  <c r="BM19" i="1" s="1"/>
  <c r="AR19" i="1"/>
  <c r="X20" i="1"/>
  <c r="Y20" i="1"/>
  <c r="Z20" i="1"/>
  <c r="AA20" i="1"/>
  <c r="AW20" i="1" s="1"/>
  <c r="AB20" i="1"/>
  <c r="AC20" i="1"/>
  <c r="AY20" i="1" s="1"/>
  <c r="AD20" i="1"/>
  <c r="AE20" i="1"/>
  <c r="BA20" i="1" s="1"/>
  <c r="AF20" i="1"/>
  <c r="AG20" i="1"/>
  <c r="BC20" i="1"/>
  <c r="AH20" i="1"/>
  <c r="AI20" i="1"/>
  <c r="AJ20" i="1"/>
  <c r="AK20" i="1"/>
  <c r="AL20" i="1"/>
  <c r="AM20" i="1"/>
  <c r="BI20" i="1" s="1"/>
  <c r="AN20" i="1"/>
  <c r="AO20" i="1"/>
  <c r="BK20" i="1" s="1"/>
  <c r="AP20" i="1"/>
  <c r="AQ20" i="1"/>
  <c r="AR20" i="1"/>
  <c r="X21" i="1"/>
  <c r="Y21" i="1"/>
  <c r="Z21" i="1"/>
  <c r="AA21" i="1"/>
  <c r="AB21" i="1"/>
  <c r="AC21" i="1"/>
  <c r="AD21" i="1"/>
  <c r="AZ21" i="1" s="1"/>
  <c r="AE21" i="1"/>
  <c r="AF21" i="1"/>
  <c r="BB21" i="1" s="1"/>
  <c r="AG21" i="1"/>
  <c r="AH21" i="1"/>
  <c r="BD21" i="1" s="1"/>
  <c r="AI21" i="1"/>
  <c r="AJ21" i="1"/>
  <c r="AK21" i="1"/>
  <c r="AL21" i="1"/>
  <c r="BH21" i="1" s="1"/>
  <c r="AM21" i="1"/>
  <c r="AN21" i="1"/>
  <c r="AO21" i="1"/>
  <c r="AP21" i="1"/>
  <c r="AQ21" i="1"/>
  <c r="AR21" i="1"/>
  <c r="BN21" i="1" s="1"/>
  <c r="X22" i="1"/>
  <c r="Y22" i="1"/>
  <c r="Z22" i="1"/>
  <c r="AA22" i="1"/>
  <c r="AB22" i="1"/>
  <c r="AX23" i="1" s="1"/>
  <c r="AC22" i="1"/>
  <c r="AD22" i="1"/>
  <c r="AE22" i="1"/>
  <c r="BA22" i="1" s="1"/>
  <c r="AF22" i="1"/>
  <c r="AG22" i="1"/>
  <c r="BC22" i="1" s="1"/>
  <c r="AH22" i="1"/>
  <c r="AI22" i="1"/>
  <c r="BE22" i="1" s="1"/>
  <c r="AJ22" i="1"/>
  <c r="AK22" i="1"/>
  <c r="AL22" i="1"/>
  <c r="AM22" i="1"/>
  <c r="AN22" i="1"/>
  <c r="AO22" i="1"/>
  <c r="BK22" i="1" s="1"/>
  <c r="AP22" i="1"/>
  <c r="AQ22" i="1"/>
  <c r="BM22" i="1" s="1"/>
  <c r="AR22" i="1"/>
  <c r="BN23" i="1" s="1"/>
  <c r="X23" i="1"/>
  <c r="Y23" i="1"/>
  <c r="Z23" i="1"/>
  <c r="AA23" i="1"/>
  <c r="AB23" i="1"/>
  <c r="AC23" i="1"/>
  <c r="AD23" i="1"/>
  <c r="AE23" i="1"/>
  <c r="AF23" i="1"/>
  <c r="AG23" i="1"/>
  <c r="AH23" i="1"/>
  <c r="AI23" i="1"/>
  <c r="BE23" i="1" s="1"/>
  <c r="AJ23" i="1"/>
  <c r="BF23" i="1" s="1"/>
  <c r="AK23" i="1"/>
  <c r="AL23" i="1"/>
  <c r="BH23" i="1" s="1"/>
  <c r="AM23" i="1"/>
  <c r="AN23" i="1"/>
  <c r="AO23" i="1"/>
  <c r="AP23" i="1"/>
  <c r="AQ23" i="1"/>
  <c r="AR23" i="1"/>
  <c r="X24" i="1"/>
  <c r="Y24" i="1"/>
  <c r="Z24" i="1"/>
  <c r="AA24" i="1"/>
  <c r="AB24" i="1"/>
  <c r="AC24" i="1"/>
  <c r="AY24" i="1" s="1"/>
  <c r="AD24" i="1"/>
  <c r="AE24" i="1"/>
  <c r="BA24" i="1" s="1"/>
  <c r="AF24" i="1"/>
  <c r="AG24" i="1"/>
  <c r="BC24" i="1" s="1"/>
  <c r="AH24" i="1"/>
  <c r="BD25" i="1" s="1"/>
  <c r="AI24" i="1"/>
  <c r="AJ24" i="1"/>
  <c r="AK24" i="1"/>
  <c r="AL24" i="1"/>
  <c r="AM24" i="1"/>
  <c r="AN24" i="1"/>
  <c r="AO24" i="1"/>
  <c r="BK24" i="1" s="1"/>
  <c r="AP24" i="1"/>
  <c r="AQ24" i="1"/>
  <c r="AR24" i="1"/>
  <c r="X25" i="1"/>
  <c r="AT25" i="1" s="1"/>
  <c r="Y25" i="1"/>
  <c r="AU25" i="1" s="1"/>
  <c r="Z25" i="1"/>
  <c r="AV25" i="1" s="1"/>
  <c r="AA25" i="1"/>
  <c r="AB25" i="1"/>
  <c r="AX25" i="1" s="1"/>
  <c r="AC25" i="1"/>
  <c r="AD25" i="1"/>
  <c r="AE25" i="1"/>
  <c r="AF25" i="1"/>
  <c r="AG25" i="1"/>
  <c r="AH25" i="1"/>
  <c r="AI25" i="1"/>
  <c r="AJ25" i="1"/>
  <c r="AK25" i="1"/>
  <c r="AL25" i="1"/>
  <c r="AM25" i="1"/>
  <c r="AN25" i="1"/>
  <c r="BJ25" i="1" s="1"/>
  <c r="AO25" i="1"/>
  <c r="AP25" i="1"/>
  <c r="BL25" i="1" s="1"/>
  <c r="AQ25" i="1"/>
  <c r="AR25" i="1"/>
  <c r="X26" i="1"/>
  <c r="Y26" i="1"/>
  <c r="Z26" i="1"/>
  <c r="AA26" i="1"/>
  <c r="AB26" i="1"/>
  <c r="AC26" i="1"/>
  <c r="AY26" i="1"/>
  <c r="AD26" i="1"/>
  <c r="AE26" i="1"/>
  <c r="AF26" i="1"/>
  <c r="AG26" i="1"/>
  <c r="AH26" i="1"/>
  <c r="BD26" i="1" s="1"/>
  <c r="AI26" i="1"/>
  <c r="AJ26" i="1"/>
  <c r="BF26" i="1" s="1"/>
  <c r="AK26" i="1"/>
  <c r="BG26" i="1" s="1"/>
  <c r="AL26" i="1"/>
  <c r="AM26" i="1"/>
  <c r="BI26" i="1" s="1"/>
  <c r="AN26" i="1"/>
  <c r="AO26" i="1"/>
  <c r="AP26" i="1"/>
  <c r="AQ26" i="1"/>
  <c r="AR26" i="1"/>
  <c r="X27" i="1"/>
  <c r="AT27" i="1" s="1"/>
  <c r="Y27" i="1"/>
  <c r="Z27" i="1"/>
  <c r="AV27" i="1" s="1"/>
  <c r="AA27" i="1"/>
  <c r="AB27" i="1"/>
  <c r="AC27" i="1"/>
  <c r="AD27" i="1"/>
  <c r="AZ27" i="1" s="1"/>
  <c r="AE27" i="1"/>
  <c r="AF27" i="1"/>
  <c r="BB27" i="1" s="1"/>
  <c r="AG27" i="1"/>
  <c r="AH27" i="1"/>
  <c r="AI27" i="1"/>
  <c r="AJ27" i="1"/>
  <c r="AK27" i="1"/>
  <c r="AL27" i="1"/>
  <c r="AM27" i="1"/>
  <c r="AN27" i="1"/>
  <c r="BJ27" i="1" s="1"/>
  <c r="AO27" i="1"/>
  <c r="AP27" i="1"/>
  <c r="AQ27" i="1"/>
  <c r="AR27" i="1"/>
  <c r="X28" i="1"/>
  <c r="AT28" i="1" s="1"/>
  <c r="Y28" i="1"/>
  <c r="Z28" i="1"/>
  <c r="AV28" i="1" s="1"/>
  <c r="AA28" i="1"/>
  <c r="AW28" i="1" s="1"/>
  <c r="AB28" i="1"/>
  <c r="AC28" i="1"/>
  <c r="AD28" i="1"/>
  <c r="AE28" i="1"/>
  <c r="AF28" i="1"/>
  <c r="AG28" i="1"/>
  <c r="AH28" i="1"/>
  <c r="AI28" i="1"/>
  <c r="BE28" i="1"/>
  <c r="AJ28" i="1"/>
  <c r="AK28" i="1"/>
  <c r="BG28" i="1" s="1"/>
  <c r="AL28" i="1"/>
  <c r="AM28" i="1"/>
  <c r="AN28" i="1"/>
  <c r="AO28" i="1"/>
  <c r="BK28" i="1" s="1"/>
  <c r="AP28" i="1"/>
  <c r="AQ28" i="1"/>
  <c r="AR28" i="1"/>
  <c r="X29" i="1"/>
  <c r="Y29" i="1"/>
  <c r="Z29" i="1"/>
  <c r="AA29" i="1"/>
  <c r="AB29" i="1"/>
  <c r="AC29" i="1"/>
  <c r="AD29" i="1"/>
  <c r="AZ29" i="1" s="1"/>
  <c r="AE29" i="1"/>
  <c r="AF29" i="1"/>
  <c r="BB29" i="1" s="1"/>
  <c r="AG29" i="1"/>
  <c r="AH29" i="1"/>
  <c r="AI29" i="1"/>
  <c r="BE29" i="1" s="1"/>
  <c r="AJ29" i="1"/>
  <c r="BF29" i="1" s="1"/>
  <c r="AK29" i="1"/>
  <c r="AL29" i="1"/>
  <c r="AM29" i="1"/>
  <c r="AN29" i="1"/>
  <c r="AO29" i="1"/>
  <c r="AP29" i="1"/>
  <c r="AQ29" i="1"/>
  <c r="AR29" i="1"/>
  <c r="X30" i="1"/>
  <c r="Y30" i="1"/>
  <c r="AU30" i="1"/>
  <c r="Z30" i="1"/>
  <c r="AA30" i="1"/>
  <c r="AW30" i="1" s="1"/>
  <c r="AB30" i="1"/>
  <c r="AC30" i="1"/>
  <c r="AD30" i="1"/>
  <c r="AE30" i="1"/>
  <c r="AF30" i="1"/>
  <c r="AG30" i="1"/>
  <c r="AH30" i="1"/>
  <c r="AI30" i="1"/>
  <c r="AJ30" i="1"/>
  <c r="BF31" i="1" s="1"/>
  <c r="AK30" i="1"/>
  <c r="AL30" i="1"/>
  <c r="AM30" i="1"/>
  <c r="AN30" i="1"/>
  <c r="AO30" i="1"/>
  <c r="BK30" i="1" s="1"/>
  <c r="AP30" i="1"/>
  <c r="AQ30" i="1"/>
  <c r="BM30" i="1" s="1"/>
  <c r="AR30" i="1"/>
  <c r="X31" i="1"/>
  <c r="Y31" i="1"/>
  <c r="Z31" i="1"/>
  <c r="AA31" i="1"/>
  <c r="AB31" i="1"/>
  <c r="AC31" i="1"/>
  <c r="AD31" i="1"/>
  <c r="AZ31" i="1" s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X32" i="1"/>
  <c r="Y32" i="1"/>
  <c r="Z32" i="1"/>
  <c r="AA32" i="1"/>
  <c r="AB32" i="1"/>
  <c r="AC32" i="1"/>
  <c r="AD32" i="1"/>
  <c r="AE32" i="1"/>
  <c r="BA32" i="1"/>
  <c r="AF32" i="1"/>
  <c r="BB32" i="1" s="1"/>
  <c r="AG32" i="1"/>
  <c r="AH32" i="1"/>
  <c r="AI32" i="1"/>
  <c r="AJ32" i="1"/>
  <c r="AK32" i="1"/>
  <c r="AL32" i="1"/>
  <c r="AM32" i="1"/>
  <c r="BI32" i="1" s="1"/>
  <c r="AN32" i="1"/>
  <c r="AO32" i="1"/>
  <c r="AP32" i="1"/>
  <c r="AQ32" i="1"/>
  <c r="AR32" i="1"/>
  <c r="X33" i="1"/>
  <c r="Y33" i="1"/>
  <c r="Z33" i="1"/>
  <c r="AV34" i="1" s="1"/>
  <c r="AA33" i="1"/>
  <c r="AB33" i="1"/>
  <c r="AC33" i="1"/>
  <c r="AD33" i="1"/>
  <c r="AE33" i="1"/>
  <c r="AF33" i="1"/>
  <c r="AG33" i="1"/>
  <c r="AH33" i="1"/>
  <c r="AI33" i="1"/>
  <c r="AJ33" i="1"/>
  <c r="BF33" i="1" s="1"/>
  <c r="AK33" i="1"/>
  <c r="AL33" i="1"/>
  <c r="AM33" i="1"/>
  <c r="AN33" i="1"/>
  <c r="AO33" i="1"/>
  <c r="AP33" i="1"/>
  <c r="BL33" i="1" s="1"/>
  <c r="AQ33" i="1"/>
  <c r="AR33" i="1"/>
  <c r="X34" i="1"/>
  <c r="Y34" i="1"/>
  <c r="Z34" i="1"/>
  <c r="AA34" i="1"/>
  <c r="AW34" i="1" s="1"/>
  <c r="AB34" i="1"/>
  <c r="AC34" i="1"/>
  <c r="AD34" i="1"/>
  <c r="AE34" i="1"/>
  <c r="BA34" i="1" s="1"/>
  <c r="AF34" i="1"/>
  <c r="BB35" i="1" s="1"/>
  <c r="AG34" i="1"/>
  <c r="AH34" i="1"/>
  <c r="AI34" i="1"/>
  <c r="AJ34" i="1"/>
  <c r="AK34" i="1"/>
  <c r="BG34" i="1" s="1"/>
  <c r="AL34" i="1"/>
  <c r="AM34" i="1"/>
  <c r="AN34" i="1"/>
  <c r="AO34" i="1"/>
  <c r="AP34" i="1"/>
  <c r="AQ34" i="1"/>
  <c r="AR34" i="1"/>
  <c r="X35" i="1"/>
  <c r="AT35" i="1" s="1"/>
  <c r="Y35" i="1"/>
  <c r="Z35" i="1"/>
  <c r="AV35" i="1" s="1"/>
  <c r="AA35" i="1"/>
  <c r="AB35" i="1"/>
  <c r="AC35" i="1"/>
  <c r="AD35" i="1"/>
  <c r="AE35" i="1"/>
  <c r="AF35" i="1"/>
  <c r="AG35" i="1"/>
  <c r="BC35" i="1" s="1"/>
  <c r="AH35" i="1"/>
  <c r="AI35" i="1"/>
  <c r="AJ35" i="1"/>
  <c r="AK35" i="1"/>
  <c r="AL35" i="1"/>
  <c r="AM35" i="1"/>
  <c r="AN35" i="1"/>
  <c r="BJ35" i="1" s="1"/>
  <c r="AO35" i="1"/>
  <c r="AP35" i="1"/>
  <c r="BL35" i="1" s="1"/>
  <c r="AQ35" i="1"/>
  <c r="AR35" i="1"/>
  <c r="X36" i="1"/>
  <c r="Y36" i="1"/>
  <c r="Z36" i="1"/>
  <c r="AA36" i="1"/>
  <c r="AW36" i="1"/>
  <c r="AB36" i="1"/>
  <c r="AC36" i="1"/>
  <c r="AD36" i="1"/>
  <c r="AE36" i="1"/>
  <c r="AF36" i="1"/>
  <c r="AG36" i="1"/>
  <c r="AH36" i="1"/>
  <c r="AI36" i="1"/>
  <c r="AJ36" i="1"/>
  <c r="AK36" i="1"/>
  <c r="BG36" i="1" s="1"/>
  <c r="AL36" i="1"/>
  <c r="AM36" i="1"/>
  <c r="AN36" i="1"/>
  <c r="AO36" i="1"/>
  <c r="AP36" i="1"/>
  <c r="AQ36" i="1"/>
  <c r="BM36" i="1" s="1"/>
  <c r="AR36" i="1"/>
  <c r="BN36" i="1" s="1"/>
  <c r="X37" i="1"/>
  <c r="Y37" i="1"/>
  <c r="Z37" i="1"/>
  <c r="AA37" i="1"/>
  <c r="AB37" i="1"/>
  <c r="AX37" i="1" s="1"/>
  <c r="AC37" i="1"/>
  <c r="AD37" i="1"/>
  <c r="AE37" i="1"/>
  <c r="AF37" i="1"/>
  <c r="BB37" i="1" s="1"/>
  <c r="AG37" i="1"/>
  <c r="AH37" i="1"/>
  <c r="AI37" i="1"/>
  <c r="AJ37" i="1"/>
  <c r="AK37" i="1"/>
  <c r="AL37" i="1"/>
  <c r="BH37" i="1"/>
  <c r="AM37" i="1"/>
  <c r="AN37" i="1"/>
  <c r="AO37" i="1"/>
  <c r="AP37" i="1"/>
  <c r="AQ37" i="1"/>
  <c r="AR37" i="1"/>
  <c r="X38" i="1"/>
  <c r="Y38" i="1"/>
  <c r="AU38" i="1" s="1"/>
  <c r="Z38" i="1"/>
  <c r="AA38" i="1"/>
  <c r="AW38" i="1" s="1"/>
  <c r="AB38" i="1"/>
  <c r="AC38" i="1"/>
  <c r="AD38" i="1"/>
  <c r="AE38" i="1"/>
  <c r="AF38" i="1"/>
  <c r="AG38" i="1"/>
  <c r="BC38" i="1" s="1"/>
  <c r="AH38" i="1"/>
  <c r="AI38" i="1"/>
  <c r="AJ38" i="1"/>
  <c r="AK38" i="1"/>
  <c r="AL38" i="1"/>
  <c r="AM38" i="1"/>
  <c r="AN38" i="1"/>
  <c r="AO38" i="1"/>
  <c r="BK38" i="1" s="1"/>
  <c r="AP38" i="1"/>
  <c r="AQ38" i="1"/>
  <c r="BM38" i="1" s="1"/>
  <c r="AR38" i="1"/>
  <c r="X39" i="1"/>
  <c r="Y39" i="1"/>
  <c r="Z39" i="1"/>
  <c r="AA39" i="1"/>
  <c r="AB39" i="1"/>
  <c r="AC39" i="1"/>
  <c r="AD39" i="1"/>
  <c r="AZ39" i="1" s="1"/>
  <c r="AE39" i="1"/>
  <c r="AF39" i="1"/>
  <c r="AG39" i="1"/>
  <c r="AH39" i="1"/>
  <c r="BD39" i="1" s="1"/>
  <c r="AI39" i="1"/>
  <c r="AJ39" i="1"/>
  <c r="BF39" i="1" s="1"/>
  <c r="AK39" i="1"/>
  <c r="AL39" i="1"/>
  <c r="AM39" i="1"/>
  <c r="AN39" i="1"/>
  <c r="AO39" i="1"/>
  <c r="AP39" i="1"/>
  <c r="AQ39" i="1"/>
  <c r="AR39" i="1"/>
  <c r="BN39" i="1" s="1"/>
  <c r="X40" i="1"/>
  <c r="Y40" i="1"/>
  <c r="Z40" i="1"/>
  <c r="AA40" i="1"/>
  <c r="AB40" i="1"/>
  <c r="AC40" i="1"/>
  <c r="AY40" i="1" s="1"/>
  <c r="AD40" i="1"/>
  <c r="AE40" i="1"/>
  <c r="BA40" i="1" s="1"/>
  <c r="AF40" i="1"/>
  <c r="AG40" i="1"/>
  <c r="AH40" i="1"/>
  <c r="AI40" i="1"/>
  <c r="AJ40" i="1"/>
  <c r="AK40" i="1"/>
  <c r="AL40" i="1"/>
  <c r="AM40" i="1"/>
  <c r="BI40" i="1"/>
  <c r="AN40" i="1"/>
  <c r="AO40" i="1"/>
  <c r="BK40" i="1" s="1"/>
  <c r="AP40" i="1"/>
  <c r="AQ40" i="1"/>
  <c r="AR40" i="1"/>
  <c r="X41" i="1"/>
  <c r="AT41" i="1" s="1"/>
  <c r="Y41" i="1"/>
  <c r="Z41" i="1"/>
  <c r="AA41" i="1"/>
  <c r="AB41" i="1"/>
  <c r="AX41" i="1" s="1"/>
  <c r="AC41" i="1"/>
  <c r="AD41" i="1"/>
  <c r="AE41" i="1"/>
  <c r="AF41" i="1"/>
  <c r="AG41" i="1"/>
  <c r="AH41" i="1"/>
  <c r="AI41" i="1"/>
  <c r="AJ41" i="1"/>
  <c r="AK41" i="1"/>
  <c r="AL41" i="1"/>
  <c r="AM41" i="1"/>
  <c r="AN41" i="1"/>
  <c r="BJ41" i="1" s="1"/>
  <c r="AO41" i="1"/>
  <c r="AP41" i="1"/>
  <c r="AQ41" i="1"/>
  <c r="AR41" i="1"/>
  <c r="X42" i="1"/>
  <c r="Y42" i="1"/>
  <c r="AU43" i="1" s="1"/>
  <c r="Z42" i="1"/>
  <c r="AA42" i="1"/>
  <c r="AB42" i="1"/>
  <c r="AC42" i="1"/>
  <c r="AY42" i="1"/>
  <c r="AD42" i="1"/>
  <c r="AE42" i="1"/>
  <c r="AF42" i="1"/>
  <c r="AG42" i="1"/>
  <c r="AH42" i="1"/>
  <c r="AI42" i="1"/>
  <c r="AJ42" i="1"/>
  <c r="AK42" i="1"/>
  <c r="AL42" i="1"/>
  <c r="AM42" i="1"/>
  <c r="BI42" i="1" s="1"/>
  <c r="AN42" i="1"/>
  <c r="AO42" i="1"/>
  <c r="AP42" i="1"/>
  <c r="AQ42" i="1"/>
  <c r="AR42" i="1"/>
  <c r="X43" i="1"/>
  <c r="AT43" i="1" s="1"/>
  <c r="Y43" i="1"/>
  <c r="Z43" i="1"/>
  <c r="AV43" i="1" s="1"/>
  <c r="AA43" i="1"/>
  <c r="AB43" i="1"/>
  <c r="AC43" i="1"/>
  <c r="AD43" i="1"/>
  <c r="AE43" i="1"/>
  <c r="AF43" i="1"/>
  <c r="AG43" i="1"/>
  <c r="AH43" i="1"/>
  <c r="BD43" i="1" s="1"/>
  <c r="AI43" i="1"/>
  <c r="AJ43" i="1"/>
  <c r="AK43" i="1"/>
  <c r="AL43" i="1"/>
  <c r="AM43" i="1"/>
  <c r="AN43" i="1"/>
  <c r="AO43" i="1"/>
  <c r="AP43" i="1"/>
  <c r="BL43" i="1" s="1"/>
  <c r="AQ43" i="1"/>
  <c r="AR43" i="1"/>
  <c r="X44" i="1"/>
  <c r="Y44" i="1"/>
  <c r="Z44" i="1"/>
  <c r="AA44" i="1"/>
  <c r="AW44" i="1" s="1"/>
  <c r="AB44" i="1"/>
  <c r="AC44" i="1"/>
  <c r="AD44" i="1"/>
  <c r="AE44" i="1"/>
  <c r="AF44" i="1"/>
  <c r="AG44" i="1"/>
  <c r="BC44" i="1" s="1"/>
  <c r="AH44" i="1"/>
  <c r="AI44" i="1"/>
  <c r="BE44" i="1" s="1"/>
  <c r="AJ44" i="1"/>
  <c r="AK44" i="1"/>
  <c r="AL44" i="1"/>
  <c r="AM44" i="1"/>
  <c r="BI44" i="1"/>
  <c r="AN44" i="1"/>
  <c r="AO44" i="1"/>
  <c r="AP44" i="1"/>
  <c r="BL44" i="1" s="1"/>
  <c r="AQ44" i="1"/>
  <c r="AR44" i="1"/>
  <c r="X45" i="1"/>
  <c r="Y45" i="1"/>
  <c r="AU46" i="1" s="1"/>
  <c r="Z45" i="1"/>
  <c r="AV45" i="1" s="1"/>
  <c r="AA45" i="1"/>
  <c r="AB45" i="1"/>
  <c r="AX45" i="1" s="1"/>
  <c r="AC45" i="1"/>
  <c r="AD45" i="1"/>
  <c r="AZ45" i="1" s="1"/>
  <c r="AE45" i="1"/>
  <c r="AF45" i="1"/>
  <c r="AG45" i="1"/>
  <c r="AH45" i="1"/>
  <c r="BD45" i="1"/>
  <c r="AI45" i="1"/>
  <c r="AJ45" i="1"/>
  <c r="AK45" i="1"/>
  <c r="AL45" i="1"/>
  <c r="AM45" i="1"/>
  <c r="AN45" i="1"/>
  <c r="BJ45" i="1" s="1"/>
  <c r="AO45" i="1"/>
  <c r="AP45" i="1"/>
  <c r="AQ45" i="1"/>
  <c r="AR45" i="1"/>
  <c r="BN45" i="1" s="1"/>
  <c r="X46" i="1"/>
  <c r="Y46" i="1"/>
  <c r="Z46" i="1"/>
  <c r="AA46" i="1"/>
  <c r="AB46" i="1"/>
  <c r="AC46" i="1"/>
  <c r="AY46" i="1" s="1"/>
  <c r="AD46" i="1"/>
  <c r="AE46" i="1"/>
  <c r="AF46" i="1"/>
  <c r="AG46" i="1"/>
  <c r="AH46" i="1"/>
  <c r="AI46" i="1"/>
  <c r="AJ46" i="1"/>
  <c r="BF47" i="1" s="1"/>
  <c r="AK46" i="1"/>
  <c r="BG46" i="1" s="1"/>
  <c r="AL46" i="1"/>
  <c r="AM46" i="1"/>
  <c r="BI46" i="1" s="1"/>
  <c r="AN46" i="1"/>
  <c r="AO46" i="1"/>
  <c r="BK46" i="1" s="1"/>
  <c r="AP46" i="1"/>
  <c r="AQ46" i="1"/>
  <c r="AR46" i="1"/>
  <c r="BN46" i="1" s="1"/>
  <c r="X47" i="1"/>
  <c r="AT47" i="1" s="1"/>
  <c r="Y47" i="1"/>
  <c r="Z47" i="1"/>
  <c r="AV47" i="1" s="1"/>
  <c r="AA47" i="1"/>
  <c r="AB47" i="1"/>
  <c r="AC47" i="1"/>
  <c r="AD47" i="1"/>
  <c r="AZ47" i="1" s="1"/>
  <c r="AE47" i="1"/>
  <c r="AF47" i="1"/>
  <c r="BB47" i="1" s="1"/>
  <c r="AG47" i="1"/>
  <c r="AH47" i="1"/>
  <c r="AI47" i="1"/>
  <c r="AJ47" i="1"/>
  <c r="AK47" i="1"/>
  <c r="AL47" i="1"/>
  <c r="AM47" i="1"/>
  <c r="AN47" i="1"/>
  <c r="BJ47" i="1"/>
  <c r="AO47" i="1"/>
  <c r="AP47" i="1"/>
  <c r="BL47" i="1" s="1"/>
  <c r="AQ47" i="1"/>
  <c r="AR47" i="1"/>
  <c r="X48" i="1"/>
  <c r="Y48" i="1"/>
  <c r="Z48" i="1"/>
  <c r="AV49" i="1" s="1"/>
  <c r="AA48" i="1"/>
  <c r="AB48" i="1"/>
  <c r="AC48" i="1"/>
  <c r="AY48" i="1" s="1"/>
  <c r="AD48" i="1"/>
  <c r="AE48" i="1"/>
  <c r="AF48" i="1"/>
  <c r="AG48" i="1"/>
  <c r="AH48" i="1"/>
  <c r="AI48" i="1"/>
  <c r="BE48" i="1"/>
  <c r="AJ48" i="1"/>
  <c r="AK48" i="1"/>
  <c r="AL48" i="1"/>
  <c r="AM48" i="1"/>
  <c r="AN48" i="1"/>
  <c r="AO48" i="1"/>
  <c r="AP48" i="1"/>
  <c r="AQ48" i="1"/>
  <c r="BM48" i="1" s="1"/>
  <c r="AR48" i="1"/>
  <c r="X49" i="1"/>
  <c r="AT49" i="1" s="1"/>
  <c r="Y49" i="1"/>
  <c r="Z49" i="1"/>
  <c r="AA49" i="1"/>
  <c r="AB49" i="1"/>
  <c r="AC49" i="1"/>
  <c r="AD49" i="1"/>
  <c r="AZ49" i="1" s="1"/>
  <c r="AE49" i="1"/>
  <c r="AF49" i="1"/>
  <c r="BB49" i="1" s="1"/>
  <c r="AG49" i="1"/>
  <c r="AH49" i="1"/>
  <c r="AI49" i="1"/>
  <c r="AJ49" i="1"/>
  <c r="AK49" i="1"/>
  <c r="BG50" i="1" s="1"/>
  <c r="AL49" i="1"/>
  <c r="AM49" i="1"/>
  <c r="AN49" i="1"/>
  <c r="AO49" i="1"/>
  <c r="AP49" i="1"/>
  <c r="AQ49" i="1"/>
  <c r="AR49" i="1"/>
  <c r="BN50" i="1" s="1"/>
  <c r="X50" i="1"/>
  <c r="Y50" i="1"/>
  <c r="AU50" i="1" s="1"/>
  <c r="Z50" i="1"/>
  <c r="AA50" i="1"/>
  <c r="AW50" i="1" s="1"/>
  <c r="AB50" i="1"/>
  <c r="AC50" i="1"/>
  <c r="AD50" i="1"/>
  <c r="AE50" i="1"/>
  <c r="AF50" i="1"/>
  <c r="AG50" i="1"/>
  <c r="BC50" i="1" s="1"/>
  <c r="AH50" i="1"/>
  <c r="AI50" i="1"/>
  <c r="AJ50" i="1"/>
  <c r="BF50" i="1" s="1"/>
  <c r="AK50" i="1"/>
  <c r="AL50" i="1"/>
  <c r="BH50" i="1" s="1"/>
  <c r="AM50" i="1"/>
  <c r="AN50" i="1"/>
  <c r="AO50" i="1"/>
  <c r="BK50" i="1"/>
  <c r="AP50" i="1"/>
  <c r="AQ50" i="1"/>
  <c r="AR50" i="1"/>
  <c r="X51" i="1"/>
  <c r="Y51" i="1"/>
  <c r="Z51" i="1"/>
  <c r="AV51" i="1" s="1"/>
  <c r="AA51" i="1"/>
  <c r="AB51" i="1"/>
  <c r="AX51" i="1" s="1"/>
  <c r="AC51" i="1"/>
  <c r="AD51" i="1"/>
  <c r="AZ51" i="1" s="1"/>
  <c r="AE51" i="1"/>
  <c r="BA51" i="1" s="1"/>
  <c r="AF51" i="1"/>
  <c r="AG51" i="1"/>
  <c r="AH51" i="1"/>
  <c r="BD51" i="1" s="1"/>
  <c r="AI51" i="1"/>
  <c r="AJ51" i="1"/>
  <c r="AK51" i="1"/>
  <c r="AL51" i="1"/>
  <c r="AM51" i="1"/>
  <c r="AN51" i="1"/>
  <c r="AO51" i="1"/>
  <c r="AP51" i="1"/>
  <c r="BL51" i="1" s="1"/>
  <c r="AQ51" i="1"/>
  <c r="AR51" i="1"/>
  <c r="BN51" i="1" s="1"/>
  <c r="X52" i="1"/>
  <c r="AT53" i="1" s="1"/>
  <c r="Y52" i="1"/>
  <c r="AU52" i="1" s="1"/>
  <c r="Z52" i="1"/>
  <c r="AV52" i="1" s="1"/>
  <c r="AA52" i="1"/>
  <c r="AW53" i="1" s="1"/>
  <c r="AB52" i="1"/>
  <c r="AC52" i="1"/>
  <c r="AY52" i="1" s="1"/>
  <c r="AD52" i="1"/>
  <c r="AE52" i="1"/>
  <c r="AF52" i="1"/>
  <c r="AG52" i="1"/>
  <c r="AH52" i="1"/>
  <c r="AI52" i="1"/>
  <c r="AJ52" i="1"/>
  <c r="AK52" i="1"/>
  <c r="BG52" i="1" s="1"/>
  <c r="AL52" i="1"/>
  <c r="AM52" i="1"/>
  <c r="AN52" i="1"/>
  <c r="BJ53" i="1" s="1"/>
  <c r="AO52" i="1"/>
  <c r="BK53" i="1" s="1"/>
  <c r="AP52" i="1"/>
  <c r="BL52" i="1" s="1"/>
  <c r="AQ52" i="1"/>
  <c r="AR52" i="1"/>
  <c r="X53" i="1"/>
  <c r="Y53" i="1"/>
  <c r="Z53" i="1"/>
  <c r="AA53" i="1"/>
  <c r="AB53" i="1"/>
  <c r="AC53" i="1"/>
  <c r="AD53" i="1"/>
  <c r="AE53" i="1"/>
  <c r="AF53" i="1"/>
  <c r="BB53" i="1" s="1"/>
  <c r="AG53" i="1"/>
  <c r="AH53" i="1"/>
  <c r="BD53" i="1" s="1"/>
  <c r="AI53" i="1"/>
  <c r="AJ53" i="1"/>
  <c r="BF54" i="1" s="1"/>
  <c r="AK53" i="1"/>
  <c r="BG53" i="1" s="1"/>
  <c r="AL53" i="1"/>
  <c r="BH54" i="1" s="1"/>
  <c r="AM53" i="1"/>
  <c r="AN53" i="1"/>
  <c r="AO53" i="1"/>
  <c r="AP53" i="1"/>
  <c r="AQ53" i="1"/>
  <c r="AR53" i="1"/>
  <c r="X54" i="1"/>
  <c r="Y54" i="1"/>
  <c r="AU54" i="1" s="1"/>
  <c r="Z54" i="1"/>
  <c r="AA54" i="1"/>
  <c r="AB54" i="1"/>
  <c r="AC54" i="1"/>
  <c r="AD54" i="1"/>
  <c r="AZ55" i="1" s="1"/>
  <c r="AE54" i="1"/>
  <c r="BA55" i="1" s="1"/>
  <c r="AF54" i="1"/>
  <c r="BB54" i="1" s="1"/>
  <c r="AG54" i="1"/>
  <c r="AH54" i="1"/>
  <c r="AI54" i="1"/>
  <c r="AJ54" i="1"/>
  <c r="AK54" i="1"/>
  <c r="AL54" i="1"/>
  <c r="AM54" i="1"/>
  <c r="AN54" i="1"/>
  <c r="AO54" i="1"/>
  <c r="BK54" i="1" s="1"/>
  <c r="AP54" i="1"/>
  <c r="AQ54" i="1"/>
  <c r="AR54" i="1"/>
  <c r="X55" i="1"/>
  <c r="AT55" i="1" s="1"/>
  <c r="Y55" i="1"/>
  <c r="AU56" i="1" s="1"/>
  <c r="Z55" i="1"/>
  <c r="AV56" i="1" s="1"/>
  <c r="AA55" i="1"/>
  <c r="AB55" i="1"/>
  <c r="AC55" i="1"/>
  <c r="AD55" i="1"/>
  <c r="AE55" i="1"/>
  <c r="AF55" i="1"/>
  <c r="AG55" i="1"/>
  <c r="AH55" i="1"/>
  <c r="AI55" i="1"/>
  <c r="AJ55" i="1"/>
  <c r="BF55" i="1" s="1"/>
  <c r="AK55" i="1"/>
  <c r="AL55" i="1"/>
  <c r="BH55" i="1" s="1"/>
  <c r="AM55" i="1"/>
  <c r="AN55" i="1"/>
  <c r="AO55" i="1"/>
  <c r="AP55" i="1"/>
  <c r="AQ55" i="1"/>
  <c r="AR55" i="1"/>
  <c r="X56" i="1"/>
  <c r="Y56" i="1"/>
  <c r="Z56" i="1"/>
  <c r="AA56" i="1"/>
  <c r="AW56" i="1" s="1"/>
  <c r="AB56" i="1"/>
  <c r="AC56" i="1"/>
  <c r="AD56" i="1"/>
  <c r="AE56" i="1"/>
  <c r="AF56" i="1"/>
  <c r="AG56" i="1"/>
  <c r="BC56" i="1" s="1"/>
  <c r="AH56" i="1"/>
  <c r="BD56" i="1" s="1"/>
  <c r="AI56" i="1"/>
  <c r="BE56" i="1" s="1"/>
  <c r="AJ56" i="1"/>
  <c r="AK56" i="1"/>
  <c r="AL56" i="1"/>
  <c r="AM56" i="1"/>
  <c r="AN56" i="1"/>
  <c r="AO56" i="1"/>
  <c r="AP56" i="1"/>
  <c r="AQ56" i="1"/>
  <c r="BM56" i="1" s="1"/>
  <c r="AR56" i="1"/>
  <c r="X57" i="1"/>
  <c r="Y57" i="1"/>
  <c r="Z57" i="1"/>
  <c r="AV57" i="1" s="1"/>
  <c r="AA57" i="1"/>
  <c r="AB57" i="1"/>
  <c r="AC57" i="1"/>
  <c r="AD57" i="1"/>
  <c r="AE57" i="1"/>
  <c r="AF57" i="1"/>
  <c r="AG57" i="1"/>
  <c r="AH57" i="1"/>
  <c r="AI57" i="1"/>
  <c r="AJ57" i="1"/>
  <c r="BF57" i="1"/>
  <c r="AK57" i="1"/>
  <c r="AL57" i="1"/>
  <c r="AM57" i="1"/>
  <c r="AN57" i="1"/>
  <c r="AO57" i="1"/>
  <c r="AP57" i="1"/>
  <c r="BL57" i="1" s="1"/>
  <c r="AQ57" i="1"/>
  <c r="AR57" i="1"/>
  <c r="BN57" i="1" s="1"/>
  <c r="X58" i="1"/>
  <c r="Y58" i="1"/>
  <c r="Z58" i="1"/>
  <c r="AA58" i="1"/>
  <c r="AB58" i="1"/>
  <c r="AC58" i="1"/>
  <c r="AD58" i="1"/>
  <c r="AE58" i="1"/>
  <c r="BA58" i="1"/>
  <c r="AF58" i="1"/>
  <c r="AG58" i="1"/>
  <c r="BC58" i="1" s="1"/>
  <c r="AH58" i="1"/>
  <c r="AI58" i="1"/>
  <c r="AJ58" i="1"/>
  <c r="AK58" i="1"/>
  <c r="BG58" i="1" s="1"/>
  <c r="AL58" i="1"/>
  <c r="AM58" i="1"/>
  <c r="AN58" i="1"/>
  <c r="AO58" i="1"/>
  <c r="AP58" i="1"/>
  <c r="AQ58" i="1"/>
  <c r="AR58" i="1"/>
  <c r="X59" i="1"/>
  <c r="Y59" i="1"/>
  <c r="Z59" i="1"/>
  <c r="AA59" i="1"/>
  <c r="AB59" i="1"/>
  <c r="AX59" i="1" s="1"/>
  <c r="AC59" i="1"/>
  <c r="AD59" i="1"/>
  <c r="AE59" i="1"/>
  <c r="AF59" i="1"/>
  <c r="BB59" i="1" s="1"/>
  <c r="AG59" i="1"/>
  <c r="AH59" i="1"/>
  <c r="AI59" i="1"/>
  <c r="BE59" i="1" s="1"/>
  <c r="AJ59" i="1"/>
  <c r="AK59" i="1"/>
  <c r="AL59" i="1"/>
  <c r="AM59" i="1"/>
  <c r="AN59" i="1"/>
  <c r="AO59" i="1"/>
  <c r="AP59" i="1"/>
  <c r="BL59" i="1"/>
  <c r="AQ59" i="1"/>
  <c r="AR59" i="1"/>
  <c r="BN59" i="1" s="1"/>
  <c r="X60" i="1"/>
  <c r="Y60" i="1"/>
  <c r="Z60" i="1"/>
  <c r="AV60" i="1" s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BI60" i="1" s="1"/>
  <c r="AN60" i="1"/>
  <c r="AO60" i="1"/>
  <c r="AP60" i="1"/>
  <c r="AQ60" i="1"/>
  <c r="AR60" i="1"/>
  <c r="X61" i="1"/>
  <c r="AT61" i="1" s="1"/>
  <c r="Y61" i="1"/>
  <c r="Z61" i="1"/>
  <c r="AA61" i="1"/>
  <c r="AB61" i="1"/>
  <c r="AC61" i="1"/>
  <c r="AD61" i="1"/>
  <c r="AE61" i="1"/>
  <c r="AF61" i="1"/>
  <c r="BB61" i="1"/>
  <c r="AG61" i="1"/>
  <c r="AH61" i="1"/>
  <c r="BD61" i="1" s="1"/>
  <c r="AI61" i="1"/>
  <c r="AJ61" i="1"/>
  <c r="BF62" i="1" s="1"/>
  <c r="AK61" i="1"/>
  <c r="AL61" i="1"/>
  <c r="AM61" i="1"/>
  <c r="AN61" i="1"/>
  <c r="AO61" i="1"/>
  <c r="AP61" i="1"/>
  <c r="AQ61" i="1"/>
  <c r="AR61" i="1"/>
  <c r="X62" i="1"/>
  <c r="Y62" i="1"/>
  <c r="Z62" i="1"/>
  <c r="AA62" i="1"/>
  <c r="AW62" i="1" s="1"/>
  <c r="AB62" i="1"/>
  <c r="AC62" i="1"/>
  <c r="AD62" i="1"/>
  <c r="AE62" i="1"/>
  <c r="AF62" i="1"/>
  <c r="AG62" i="1"/>
  <c r="BC62" i="1" s="1"/>
  <c r="AH62" i="1"/>
  <c r="AI62" i="1"/>
  <c r="AJ62" i="1"/>
  <c r="AK62" i="1"/>
  <c r="BG62" i="1" s="1"/>
  <c r="AL62" i="1"/>
  <c r="AM62" i="1"/>
  <c r="AN62" i="1"/>
  <c r="AO62" i="1"/>
  <c r="AP62" i="1"/>
  <c r="BL63" i="1" s="1"/>
  <c r="AQ62" i="1"/>
  <c r="BM62" i="1" s="1"/>
  <c r="AR62" i="1"/>
  <c r="X63" i="1"/>
  <c r="AT63" i="1" s="1"/>
  <c r="Y63" i="1"/>
  <c r="Z63" i="1"/>
  <c r="AA63" i="1"/>
  <c r="AW63" i="1" s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BJ63" i="1" s="1"/>
  <c r="AO63" i="1"/>
  <c r="AP63" i="1"/>
  <c r="AQ63" i="1"/>
  <c r="BM63" i="1" s="1"/>
  <c r="AR63" i="1"/>
  <c r="X64" i="1"/>
  <c r="Y64" i="1"/>
  <c r="AU64" i="1" s="1"/>
  <c r="Z64" i="1"/>
  <c r="AA64" i="1"/>
  <c r="AB64" i="1"/>
  <c r="AC64" i="1"/>
  <c r="AD64" i="1"/>
  <c r="AE64" i="1"/>
  <c r="AF64" i="1"/>
  <c r="AG64" i="1"/>
  <c r="BC64" i="1"/>
  <c r="AH64" i="1"/>
  <c r="AI64" i="1"/>
  <c r="AJ64" i="1"/>
  <c r="AK64" i="1"/>
  <c r="BG65" i="1" s="1"/>
  <c r="AL64" i="1"/>
  <c r="AM64" i="1"/>
  <c r="AN64" i="1"/>
  <c r="AO64" i="1"/>
  <c r="BK64" i="1" s="1"/>
  <c r="AP64" i="1"/>
  <c r="AQ64" i="1"/>
  <c r="AR64" i="1"/>
  <c r="X65" i="1"/>
  <c r="Y65" i="1"/>
  <c r="Z65" i="1"/>
  <c r="AA65" i="1"/>
  <c r="AB65" i="1"/>
  <c r="AX65" i="1"/>
  <c r="AC65" i="1"/>
  <c r="AD65" i="1"/>
  <c r="AE65" i="1"/>
  <c r="AF65" i="1"/>
  <c r="AG65" i="1"/>
  <c r="AH65" i="1"/>
  <c r="AI65" i="1"/>
  <c r="AJ65" i="1"/>
  <c r="AK65" i="1"/>
  <c r="AL65" i="1"/>
  <c r="BH65" i="1" s="1"/>
  <c r="AM65" i="1"/>
  <c r="BI66" i="1" s="1"/>
  <c r="AN65" i="1"/>
  <c r="AO65" i="1"/>
  <c r="AP65" i="1"/>
  <c r="AQ65" i="1"/>
  <c r="BM66" i="1" s="1"/>
  <c r="AR65" i="1"/>
  <c r="BN65" i="1" s="1"/>
  <c r="X66" i="1"/>
  <c r="Y66" i="1"/>
  <c r="AU66" i="1" s="1"/>
  <c r="Z66" i="1"/>
  <c r="AA66" i="1"/>
  <c r="AB66" i="1"/>
  <c r="AC66" i="1"/>
  <c r="AY66" i="1" s="1"/>
  <c r="AD66" i="1"/>
  <c r="AE66" i="1"/>
  <c r="AF66" i="1"/>
  <c r="AG66" i="1"/>
  <c r="AH66" i="1"/>
  <c r="BD67" i="1" s="1"/>
  <c r="AI66" i="1"/>
  <c r="AJ66" i="1"/>
  <c r="AK66" i="1"/>
  <c r="AL66" i="1"/>
  <c r="AM66" i="1"/>
  <c r="AN66" i="1"/>
  <c r="AO66" i="1"/>
  <c r="BK66" i="1" s="1"/>
  <c r="AP66" i="1"/>
  <c r="AQ66" i="1"/>
  <c r="AR66" i="1"/>
  <c r="X67" i="1"/>
  <c r="Y67" i="1"/>
  <c r="Z67" i="1"/>
  <c r="AV67" i="1" s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BL67" i="1" s="1"/>
  <c r="AQ67" i="1"/>
  <c r="AR67" i="1"/>
  <c r="BN67" i="1" s="1"/>
  <c r="X68" i="1"/>
  <c r="Y68" i="1"/>
  <c r="AU68" i="1" s="1"/>
  <c r="Z68" i="1"/>
  <c r="AA68" i="1"/>
  <c r="AB68" i="1"/>
  <c r="AC68" i="1"/>
  <c r="AD68" i="1"/>
  <c r="AZ69" i="1" s="1"/>
  <c r="AE68" i="1"/>
  <c r="BA68" i="1" s="1"/>
  <c r="AF68" i="1"/>
  <c r="AG68" i="1"/>
  <c r="AH68" i="1"/>
  <c r="AI68" i="1"/>
  <c r="AJ68" i="1"/>
  <c r="BF69" i="1" s="1"/>
  <c r="AK68" i="1"/>
  <c r="AL68" i="1"/>
  <c r="AM68" i="1"/>
  <c r="BI68" i="1" s="1"/>
  <c r="AN68" i="1"/>
  <c r="AO68" i="1"/>
  <c r="BK68" i="1" s="1"/>
  <c r="AP68" i="1"/>
  <c r="AQ68" i="1"/>
  <c r="BM68" i="1" s="1"/>
  <c r="AR68" i="1"/>
  <c r="X69" i="1"/>
  <c r="AT69" i="1" s="1"/>
  <c r="Y69" i="1"/>
  <c r="Z69" i="1"/>
  <c r="AA69" i="1"/>
  <c r="AB69" i="1"/>
  <c r="AC69" i="1"/>
  <c r="AD69" i="1"/>
  <c r="AE69" i="1"/>
  <c r="AF69" i="1"/>
  <c r="BB69" i="1" s="1"/>
  <c r="AG69" i="1"/>
  <c r="AH69" i="1"/>
  <c r="BD69" i="1" s="1"/>
  <c r="AI69" i="1"/>
  <c r="AJ69" i="1"/>
  <c r="AK69" i="1"/>
  <c r="AL69" i="1"/>
  <c r="AM69" i="1"/>
  <c r="AN69" i="1"/>
  <c r="AO69" i="1"/>
  <c r="AP69" i="1"/>
  <c r="AQ69" i="1"/>
  <c r="AR69" i="1"/>
  <c r="BN69" i="1" s="1"/>
  <c r="X70" i="1"/>
  <c r="Y70" i="1"/>
  <c r="AU70" i="1" s="1"/>
  <c r="Z70" i="1"/>
  <c r="AA70" i="1"/>
  <c r="AB70" i="1"/>
  <c r="AC70" i="1"/>
  <c r="AY70" i="1" s="1"/>
  <c r="AD70" i="1"/>
  <c r="AE70" i="1"/>
  <c r="AF70" i="1"/>
  <c r="BB70" i="1" s="1"/>
  <c r="AG70" i="1"/>
  <c r="AH70" i="1"/>
  <c r="AI70" i="1"/>
  <c r="BE70" i="1"/>
  <c r="AJ70" i="1"/>
  <c r="AK70" i="1"/>
  <c r="BG70" i="1" s="1"/>
  <c r="AL70" i="1"/>
  <c r="AM70" i="1"/>
  <c r="AN70" i="1"/>
  <c r="AO70" i="1"/>
  <c r="BK70" i="1" s="1"/>
  <c r="AP70" i="1"/>
  <c r="AQ70" i="1"/>
  <c r="BM70" i="1"/>
  <c r="AR70" i="1"/>
  <c r="X71" i="1"/>
  <c r="Y71" i="1"/>
  <c r="Z71" i="1"/>
  <c r="AV71" i="1" s="1"/>
  <c r="AA71" i="1"/>
  <c r="AB71" i="1"/>
  <c r="AX71" i="1" s="1"/>
  <c r="AC71" i="1"/>
  <c r="AD71" i="1"/>
  <c r="AZ71" i="1" s="1"/>
  <c r="AE71" i="1"/>
  <c r="AF71" i="1"/>
  <c r="AG71" i="1"/>
  <c r="AH71" i="1"/>
  <c r="BD71" i="1" s="1"/>
  <c r="AI71" i="1"/>
  <c r="AJ71" i="1"/>
  <c r="AK71" i="1"/>
  <c r="AL71" i="1"/>
  <c r="AM71" i="1"/>
  <c r="AN71" i="1"/>
  <c r="AO71" i="1"/>
  <c r="AP71" i="1"/>
  <c r="BL71" i="1" s="1"/>
  <c r="AQ71" i="1"/>
  <c r="AR71" i="1"/>
  <c r="X72" i="1"/>
  <c r="Y72" i="1"/>
  <c r="Z72" i="1"/>
  <c r="AA72" i="1"/>
  <c r="AB72" i="1"/>
  <c r="AC72" i="1"/>
  <c r="AD72" i="1"/>
  <c r="AE72" i="1"/>
  <c r="BA72" i="1" s="1"/>
  <c r="AF72" i="1"/>
  <c r="AG72" i="1"/>
  <c r="BC72" i="1" s="1"/>
  <c r="AH72" i="1"/>
  <c r="AI72" i="1"/>
  <c r="AJ72" i="1"/>
  <c r="AK72" i="1"/>
  <c r="BG72" i="1" s="1"/>
  <c r="AL72" i="1"/>
  <c r="AM72" i="1"/>
  <c r="BI72" i="1" s="1"/>
  <c r="AN72" i="1"/>
  <c r="AO72" i="1"/>
  <c r="AP72" i="1"/>
  <c r="AQ72" i="1"/>
  <c r="BM72" i="1" s="1"/>
  <c r="AR72" i="1"/>
  <c r="X73" i="1"/>
  <c r="Y73" i="1"/>
  <c r="Z73" i="1"/>
  <c r="AV73" i="1"/>
  <c r="AA73" i="1"/>
  <c r="AB73" i="1"/>
  <c r="AC73" i="1"/>
  <c r="AD73" i="1"/>
  <c r="AZ73" i="1" s="1"/>
  <c r="AE73" i="1"/>
  <c r="AF73" i="1"/>
  <c r="BB73" i="1" s="1"/>
  <c r="AG73" i="1"/>
  <c r="AH73" i="1"/>
  <c r="BD73" i="1" s="1"/>
  <c r="AI73" i="1"/>
  <c r="BE73" i="1" s="1"/>
  <c r="AJ73" i="1"/>
  <c r="BF73" i="1" s="1"/>
  <c r="AK73" i="1"/>
  <c r="AL73" i="1"/>
  <c r="BH73" i="1" s="1"/>
  <c r="AM73" i="1"/>
  <c r="AN73" i="1"/>
  <c r="AO73" i="1"/>
  <c r="AP73" i="1"/>
  <c r="BL73" i="1"/>
  <c r="AQ73" i="1"/>
  <c r="AR73" i="1"/>
  <c r="BN73" i="1" s="1"/>
  <c r="X74" i="1"/>
  <c r="Y74" i="1"/>
  <c r="AU74" i="1" s="1"/>
  <c r="Z74" i="1"/>
  <c r="AV74" i="1" s="1"/>
  <c r="AA74" i="1"/>
  <c r="AB74" i="1"/>
  <c r="AX74" i="1" s="1"/>
  <c r="AC74" i="1"/>
  <c r="AY74" i="1"/>
  <c r="AD74" i="1"/>
  <c r="AE74" i="1"/>
  <c r="BA74" i="1" s="1"/>
  <c r="AF74" i="1"/>
  <c r="AG74" i="1"/>
  <c r="AH74" i="1"/>
  <c r="BD74" i="1" s="1"/>
  <c r="AI74" i="1"/>
  <c r="AJ74" i="1"/>
  <c r="BF74" i="1" s="1"/>
  <c r="AK74" i="1"/>
  <c r="BG74" i="1" s="1"/>
  <c r="AL74" i="1"/>
  <c r="AM74" i="1"/>
  <c r="BI74" i="1" s="1"/>
  <c r="AN74" i="1"/>
  <c r="BJ74" i="1" s="1"/>
  <c r="AO74" i="1"/>
  <c r="AP74" i="1"/>
  <c r="AQ74" i="1"/>
  <c r="AR74" i="1"/>
  <c r="BN74" i="1" s="1"/>
  <c r="X75" i="1"/>
  <c r="AT75" i="1"/>
  <c r="Y75" i="1"/>
  <c r="Z75" i="1"/>
  <c r="AA75" i="1"/>
  <c r="AB75" i="1"/>
  <c r="AX75" i="1" s="1"/>
  <c r="AC75" i="1"/>
  <c r="AY75" i="1" s="1"/>
  <c r="AD75" i="1"/>
  <c r="AE75" i="1"/>
  <c r="AF75" i="1"/>
  <c r="BB75" i="1"/>
  <c r="AG75" i="1"/>
  <c r="AH75" i="1"/>
  <c r="AI75" i="1"/>
  <c r="AJ75" i="1"/>
  <c r="AK75" i="1"/>
  <c r="AL75" i="1"/>
  <c r="AM75" i="1"/>
  <c r="BI75" i="1" s="1"/>
  <c r="AN75" i="1"/>
  <c r="BJ75" i="1" s="1"/>
  <c r="AO75" i="1"/>
  <c r="AP75" i="1"/>
  <c r="BL75" i="1" s="1"/>
  <c r="AQ75" i="1"/>
  <c r="AR75" i="1"/>
  <c r="BN75" i="1" s="1"/>
  <c r="X76" i="1"/>
  <c r="AT76" i="1" s="1"/>
  <c r="Y76" i="1"/>
  <c r="Z76" i="1"/>
  <c r="AV76" i="1" s="1"/>
  <c r="AA76" i="1"/>
  <c r="AB76" i="1"/>
  <c r="AC76" i="1"/>
  <c r="AD76" i="1"/>
  <c r="AE76" i="1"/>
  <c r="AF76" i="1"/>
  <c r="BB76" i="1" s="1"/>
  <c r="AG76" i="1"/>
  <c r="BC76" i="1" s="1"/>
  <c r="AH76" i="1"/>
  <c r="AI76" i="1"/>
  <c r="BE76" i="1"/>
  <c r="AJ76" i="1"/>
  <c r="AK76" i="1"/>
  <c r="BG76" i="1" s="1"/>
  <c r="AL76" i="1"/>
  <c r="AM76" i="1"/>
  <c r="AN76" i="1"/>
  <c r="AO76" i="1"/>
  <c r="AP76" i="1"/>
  <c r="AQ76" i="1"/>
  <c r="AR76" i="1"/>
  <c r="X77" i="1"/>
  <c r="Y77" i="1"/>
  <c r="AU77" i="1" s="1"/>
  <c r="Z77" i="1"/>
  <c r="AV77" i="1" s="1"/>
  <c r="AA77" i="1"/>
  <c r="AB77" i="1"/>
  <c r="AC77" i="1"/>
  <c r="AY77" i="1" s="1"/>
  <c r="AD77" i="1"/>
  <c r="AZ77" i="1"/>
  <c r="AE77" i="1"/>
  <c r="AF77" i="1"/>
  <c r="AG77" i="1"/>
  <c r="AH77" i="1"/>
  <c r="BD77" i="1" s="1"/>
  <c r="AI77" i="1"/>
  <c r="AJ77" i="1"/>
  <c r="AK77" i="1"/>
  <c r="AL77" i="1"/>
  <c r="AM77" i="1"/>
  <c r="AN77" i="1"/>
  <c r="BJ77" i="1" s="1"/>
  <c r="AO77" i="1"/>
  <c r="AP77" i="1"/>
  <c r="BL77" i="1" s="1"/>
  <c r="AQ77" i="1"/>
  <c r="AR77" i="1"/>
  <c r="BN77" i="1" s="1"/>
  <c r="X78" i="1"/>
  <c r="AT78" i="1" s="1"/>
  <c r="Y78" i="1"/>
  <c r="AU78" i="1"/>
  <c r="Z78" i="1"/>
  <c r="AA78" i="1"/>
  <c r="AW78" i="1" s="1"/>
  <c r="AB78" i="1"/>
  <c r="AC78" i="1"/>
  <c r="AD78" i="1"/>
  <c r="AE78" i="1"/>
  <c r="AF78" i="1"/>
  <c r="AG78" i="1"/>
  <c r="BC78" i="1"/>
  <c r="AH78" i="1"/>
  <c r="AI78" i="1"/>
  <c r="BE78" i="1" s="1"/>
  <c r="AJ78" i="1"/>
  <c r="AK78" i="1"/>
  <c r="AL78" i="1"/>
  <c r="AM78" i="1"/>
  <c r="BI78" i="1" s="1"/>
  <c r="AN78" i="1"/>
  <c r="AO78" i="1"/>
  <c r="BK78" i="1" s="1"/>
  <c r="AP78" i="1"/>
  <c r="AQ78" i="1"/>
  <c r="AR78" i="1"/>
  <c r="X79" i="1"/>
  <c r="Y79" i="1"/>
  <c r="Z79" i="1"/>
  <c r="AV79" i="1" s="1"/>
  <c r="AA79" i="1"/>
  <c r="AB79" i="1"/>
  <c r="AC79" i="1"/>
  <c r="AD79" i="1"/>
  <c r="AE79" i="1"/>
  <c r="BA79" i="1" s="1"/>
  <c r="AF79" i="1"/>
  <c r="AG79" i="1"/>
  <c r="BC79" i="1" s="1"/>
  <c r="AH79" i="1"/>
  <c r="BD79" i="1" s="1"/>
  <c r="AI79" i="1"/>
  <c r="AJ79" i="1"/>
  <c r="AK79" i="1"/>
  <c r="AL79" i="1"/>
  <c r="AM79" i="1"/>
  <c r="AN79" i="1"/>
  <c r="AO79" i="1"/>
  <c r="AP79" i="1"/>
  <c r="AQ79" i="1"/>
  <c r="BM79" i="1" s="1"/>
  <c r="AR79" i="1"/>
  <c r="X80" i="1"/>
  <c r="Y80" i="1"/>
  <c r="Z80" i="1"/>
  <c r="AV80" i="1" s="1"/>
  <c r="AA80" i="1"/>
  <c r="AB80" i="1"/>
  <c r="AC80" i="1"/>
  <c r="AD80" i="1"/>
  <c r="AE80" i="1"/>
  <c r="AF80" i="1"/>
  <c r="AG80" i="1"/>
  <c r="AH80" i="1"/>
  <c r="AI80" i="1"/>
  <c r="AJ80" i="1"/>
  <c r="AK80" i="1"/>
  <c r="AL80" i="1"/>
  <c r="BH80" i="1" s="1"/>
  <c r="AM80" i="1"/>
  <c r="AN80" i="1"/>
  <c r="AO80" i="1"/>
  <c r="AP80" i="1"/>
  <c r="BL80" i="1" s="1"/>
  <c r="AQ80" i="1"/>
  <c r="AR80" i="1"/>
  <c r="X81" i="1"/>
  <c r="Y81" i="1"/>
  <c r="Z81" i="1"/>
  <c r="AA81" i="1"/>
  <c r="AB81" i="1"/>
  <c r="AC81" i="1"/>
  <c r="AD81" i="1"/>
  <c r="AE81" i="1"/>
  <c r="AF81" i="1"/>
  <c r="AG81" i="1"/>
  <c r="BC81" i="1" s="1"/>
  <c r="AH81" i="1"/>
  <c r="AI81" i="1"/>
  <c r="AJ81" i="1"/>
  <c r="AK81" i="1"/>
  <c r="BG81" i="1" s="1"/>
  <c r="AL81" i="1"/>
  <c r="AM81" i="1"/>
  <c r="BI81" i="1" s="1"/>
  <c r="AN81" i="1"/>
  <c r="AO81" i="1"/>
  <c r="AP81" i="1"/>
  <c r="AQ81" i="1"/>
  <c r="AR81" i="1"/>
  <c r="X82" i="1"/>
  <c r="Y82" i="1"/>
  <c r="Z82" i="1"/>
  <c r="AA82" i="1"/>
  <c r="AW82" i="1" s="1"/>
  <c r="AB82" i="1"/>
  <c r="AX82" i="1" s="1"/>
  <c r="AC82" i="1"/>
  <c r="AD82" i="1"/>
  <c r="AZ82" i="1" s="1"/>
  <c r="AE82" i="1"/>
  <c r="BA82" i="1" s="1"/>
  <c r="AF82" i="1"/>
  <c r="AG82" i="1"/>
  <c r="AH82" i="1"/>
  <c r="AI82" i="1"/>
  <c r="AJ82" i="1"/>
  <c r="AK82" i="1"/>
  <c r="AL82" i="1"/>
  <c r="AM82" i="1"/>
  <c r="AN82" i="1"/>
  <c r="AO82" i="1"/>
  <c r="BK82" i="1" s="1"/>
  <c r="AP82" i="1"/>
  <c r="AQ82" i="1"/>
  <c r="AR82" i="1"/>
  <c r="BN82" i="1" s="1"/>
  <c r="X83" i="1"/>
  <c r="Y83" i="1"/>
  <c r="AU83" i="1" s="1"/>
  <c r="Z83" i="1"/>
  <c r="AV83" i="1"/>
  <c r="AA83" i="1"/>
  <c r="AB83" i="1"/>
  <c r="AC83" i="1"/>
  <c r="AY83" i="1" s="1"/>
  <c r="AD83" i="1"/>
  <c r="AE83" i="1"/>
  <c r="AF83" i="1"/>
  <c r="AG83" i="1"/>
  <c r="AH83" i="1"/>
  <c r="BD83" i="1"/>
  <c r="AI83" i="1"/>
  <c r="AJ83" i="1"/>
  <c r="AK83" i="1"/>
  <c r="AL83" i="1"/>
  <c r="BH83" i="1" s="1"/>
  <c r="AM83" i="1"/>
  <c r="BI83" i="1" s="1"/>
  <c r="AN83" i="1"/>
  <c r="AO83" i="1"/>
  <c r="AP83" i="1"/>
  <c r="BL83" i="1" s="1"/>
  <c r="AQ83" i="1"/>
  <c r="AR83" i="1"/>
  <c r="X84" i="1"/>
  <c r="Y84" i="1"/>
  <c r="Z84" i="1"/>
  <c r="AA84" i="1"/>
  <c r="AW84" i="1" s="1"/>
  <c r="AB84" i="1"/>
  <c r="AX84" i="1" s="1"/>
  <c r="AC84" i="1"/>
  <c r="AY84" i="1" s="1"/>
  <c r="AD84" i="1"/>
  <c r="AE84" i="1"/>
  <c r="BA84" i="1" s="1"/>
  <c r="AF84" i="1"/>
  <c r="AG84" i="1"/>
  <c r="BC84" i="1" s="1"/>
  <c r="AH84" i="1"/>
  <c r="BD84" i="1" s="1"/>
  <c r="AI84" i="1"/>
  <c r="AJ84" i="1"/>
  <c r="AK84" i="1"/>
  <c r="BG84" i="1" s="1"/>
  <c r="AL84" i="1"/>
  <c r="AM84" i="1"/>
  <c r="AN84" i="1"/>
  <c r="AO84" i="1"/>
  <c r="AP84" i="1"/>
  <c r="BL84" i="1" s="1"/>
  <c r="AQ84" i="1"/>
  <c r="BM84" i="1" s="1"/>
  <c r="AR84" i="1"/>
  <c r="X85" i="1"/>
  <c r="AT85" i="1"/>
  <c r="Y85" i="1"/>
  <c r="Z85" i="1"/>
  <c r="AV85" i="1" s="1"/>
  <c r="AA85" i="1"/>
  <c r="AW86" i="1" s="1"/>
  <c r="AB85" i="1"/>
  <c r="AC85" i="1"/>
  <c r="AD85" i="1"/>
  <c r="AE85" i="1"/>
  <c r="AF85" i="1"/>
  <c r="BB85" i="1" s="1"/>
  <c r="AG85" i="1"/>
  <c r="AH85" i="1"/>
  <c r="AI85" i="1"/>
  <c r="BE85" i="1" s="1"/>
  <c r="AJ85" i="1"/>
  <c r="BF85" i="1" s="1"/>
  <c r="AK85" i="1"/>
  <c r="AL85" i="1"/>
  <c r="AM85" i="1"/>
  <c r="BI85" i="1" s="1"/>
  <c r="AN85" i="1"/>
  <c r="BJ85" i="1"/>
  <c r="AO85" i="1"/>
  <c r="AP85" i="1"/>
  <c r="AQ85" i="1"/>
  <c r="AR85" i="1"/>
  <c r="BN85" i="1" s="1"/>
  <c r="X86" i="1"/>
  <c r="Y86" i="1"/>
  <c r="Z86" i="1"/>
  <c r="AA86" i="1"/>
  <c r="AB86" i="1"/>
  <c r="AC86" i="1"/>
  <c r="AY86" i="1" s="1"/>
  <c r="AD86" i="1"/>
  <c r="AE86" i="1"/>
  <c r="BA86" i="1" s="1"/>
  <c r="AF86" i="1"/>
  <c r="BB86" i="1" s="1"/>
  <c r="AG86" i="1"/>
  <c r="BC86" i="1" s="1"/>
  <c r="AH86" i="1"/>
  <c r="AI86" i="1"/>
  <c r="BE86" i="1" s="1"/>
  <c r="AJ86" i="1"/>
  <c r="AK86" i="1"/>
  <c r="BG86" i="1" s="1"/>
  <c r="AL86" i="1"/>
  <c r="AM86" i="1"/>
  <c r="AN86" i="1"/>
  <c r="AO86" i="1"/>
  <c r="AP86" i="1"/>
  <c r="AQ86" i="1"/>
  <c r="BM86" i="1" s="1"/>
  <c r="AR86" i="1"/>
  <c r="X87" i="1"/>
  <c r="AT87" i="1" s="1"/>
  <c r="Y87" i="1"/>
  <c r="Z87" i="1"/>
  <c r="AV87" i="1" s="1"/>
  <c r="AA87" i="1"/>
  <c r="AW87" i="1" s="1"/>
  <c r="AB87" i="1"/>
  <c r="AX87" i="1" s="1"/>
  <c r="AC87" i="1"/>
  <c r="AD87" i="1"/>
  <c r="AZ87" i="1"/>
  <c r="AE87" i="1"/>
  <c r="AF87" i="1"/>
  <c r="AG87" i="1"/>
  <c r="AH87" i="1"/>
  <c r="AI87" i="1"/>
  <c r="AJ87" i="1"/>
  <c r="AK87" i="1"/>
  <c r="BG87" i="1" s="1"/>
  <c r="AL87" i="1"/>
  <c r="BH87" i="1"/>
  <c r="AM87" i="1"/>
  <c r="AN87" i="1"/>
  <c r="BJ87" i="1" s="1"/>
  <c r="AO87" i="1"/>
  <c r="BK87" i="1" s="1"/>
  <c r="AP87" i="1"/>
  <c r="BL87" i="1" s="1"/>
  <c r="AQ87" i="1"/>
  <c r="AR87" i="1"/>
  <c r="X88" i="1"/>
  <c r="Y88" i="1"/>
  <c r="Z88" i="1"/>
  <c r="AA88" i="1"/>
  <c r="AB88" i="1"/>
  <c r="AC88" i="1"/>
  <c r="AY88" i="1" s="1"/>
  <c r="AD88" i="1"/>
  <c r="AZ88" i="1" s="1"/>
  <c r="AE88" i="1"/>
  <c r="AF88" i="1"/>
  <c r="AG88" i="1"/>
  <c r="BC88" i="1" s="1"/>
  <c r="AH88" i="1"/>
  <c r="AI88" i="1"/>
  <c r="BE88" i="1" s="1"/>
  <c r="AJ88" i="1"/>
  <c r="BF88" i="1" s="1"/>
  <c r="AK88" i="1"/>
  <c r="AL88" i="1"/>
  <c r="AM88" i="1"/>
  <c r="AN88" i="1"/>
  <c r="AO88" i="1"/>
  <c r="BK88" i="1" s="1"/>
  <c r="AP88" i="1"/>
  <c r="AQ88" i="1"/>
  <c r="AR88" i="1"/>
  <c r="X89" i="1"/>
  <c r="AT89" i="1" s="1"/>
  <c r="Y89" i="1"/>
  <c r="AU89" i="1" s="1"/>
  <c r="Z89" i="1"/>
  <c r="AA89" i="1"/>
  <c r="AW89" i="1" s="1"/>
  <c r="AB89" i="1"/>
  <c r="AX89" i="1" s="1"/>
  <c r="AC89" i="1"/>
  <c r="AD89" i="1"/>
  <c r="AE89" i="1"/>
  <c r="AF89" i="1"/>
  <c r="AG89" i="1"/>
  <c r="AH89" i="1"/>
  <c r="AI89" i="1"/>
  <c r="AJ89" i="1"/>
  <c r="AK89" i="1"/>
  <c r="BG89" i="1" s="1"/>
  <c r="AL89" i="1"/>
  <c r="BH89" i="1" s="1"/>
  <c r="AM89" i="1"/>
  <c r="AN89" i="1"/>
  <c r="BJ89" i="1"/>
  <c r="AO89" i="1"/>
  <c r="BK89" i="1" s="1"/>
  <c r="AP89" i="1"/>
  <c r="AQ89" i="1"/>
  <c r="AR89" i="1"/>
  <c r="BN89" i="1" s="1"/>
  <c r="X90" i="1"/>
  <c r="Y90" i="1"/>
  <c r="Z90" i="1"/>
  <c r="AA90" i="1"/>
  <c r="AB90" i="1"/>
  <c r="AC90" i="1"/>
  <c r="AD90" i="1"/>
  <c r="AZ90" i="1" s="1"/>
  <c r="AE90" i="1"/>
  <c r="AF90" i="1"/>
  <c r="AG90" i="1"/>
  <c r="BC90" i="1" s="1"/>
  <c r="AH90" i="1"/>
  <c r="AI90" i="1"/>
  <c r="BE90" i="1" s="1"/>
  <c r="AJ90" i="1"/>
  <c r="BF90" i="1" s="1"/>
  <c r="AK90" i="1"/>
  <c r="AL90" i="1"/>
  <c r="AM90" i="1"/>
  <c r="BI90" i="1" s="1"/>
  <c r="AN90" i="1"/>
  <c r="AO90" i="1"/>
  <c r="AP90" i="1"/>
  <c r="BL91" i="1" s="1"/>
  <c r="AQ90" i="1"/>
  <c r="AR90" i="1"/>
  <c r="X91" i="1"/>
  <c r="AT91" i="1" s="1"/>
  <c r="Y91" i="1"/>
  <c r="AU91" i="1" s="1"/>
  <c r="Z91" i="1"/>
  <c r="AV91" i="1" s="1"/>
  <c r="AA91" i="1"/>
  <c r="AB91" i="1"/>
  <c r="AC91" i="1"/>
  <c r="AD91" i="1"/>
  <c r="AZ91" i="1" s="1"/>
  <c r="AE91" i="1"/>
  <c r="BA91" i="1" s="1"/>
  <c r="AF91" i="1"/>
  <c r="AG91" i="1"/>
  <c r="AH91" i="1"/>
  <c r="AI91" i="1"/>
  <c r="AJ91" i="1"/>
  <c r="AK91" i="1"/>
  <c r="AL91" i="1"/>
  <c r="AM91" i="1"/>
  <c r="BI91" i="1" s="1"/>
  <c r="AN91" i="1"/>
  <c r="BJ91" i="1" s="1"/>
  <c r="AO91" i="1"/>
  <c r="BK91" i="1" s="1"/>
  <c r="AP91" i="1"/>
  <c r="AQ91" i="1"/>
  <c r="BM91" i="1" s="1"/>
  <c r="AR91" i="1"/>
  <c r="X92" i="1"/>
  <c r="Y92" i="1"/>
  <c r="AU92" i="1" s="1"/>
  <c r="Z92" i="1"/>
  <c r="AA92" i="1"/>
  <c r="AB92" i="1"/>
  <c r="AC92" i="1"/>
  <c r="AD92" i="1"/>
  <c r="AE92" i="1"/>
  <c r="AF92" i="1"/>
  <c r="BB92" i="1" s="1"/>
  <c r="AG92" i="1"/>
  <c r="AH92" i="1"/>
  <c r="AI92" i="1"/>
  <c r="BE92" i="1" s="1"/>
  <c r="AJ92" i="1"/>
  <c r="AK92" i="1"/>
  <c r="AL92" i="1"/>
  <c r="BH92" i="1" s="1"/>
  <c r="AM92" i="1"/>
  <c r="BI92" i="1" s="1"/>
  <c r="AN92" i="1"/>
  <c r="BJ93" i="1" s="1"/>
  <c r="AO92" i="1"/>
  <c r="BK92" i="1" s="1"/>
  <c r="AP92" i="1"/>
  <c r="BL92" i="1" s="1"/>
  <c r="AQ92" i="1"/>
  <c r="AR92" i="1"/>
  <c r="X93" i="1"/>
  <c r="Y93" i="1"/>
  <c r="Z93" i="1"/>
  <c r="AA93" i="1"/>
  <c r="AW93" i="1" s="1"/>
  <c r="AB93" i="1"/>
  <c r="AX93" i="1" s="1"/>
  <c r="AC93" i="1"/>
  <c r="AD93" i="1"/>
  <c r="AZ93" i="1" s="1"/>
  <c r="AE93" i="1"/>
  <c r="BA93" i="1" s="1"/>
  <c r="AF93" i="1"/>
  <c r="AG93" i="1"/>
  <c r="AH93" i="1"/>
  <c r="AI93" i="1"/>
  <c r="AJ93" i="1"/>
  <c r="AK93" i="1"/>
  <c r="AL93" i="1"/>
  <c r="AM93" i="1"/>
  <c r="AN93" i="1"/>
  <c r="AO93" i="1"/>
  <c r="AP93" i="1"/>
  <c r="AQ93" i="1"/>
  <c r="BM93" i="1" s="1"/>
  <c r="AR93" i="1"/>
  <c r="X94" i="1"/>
  <c r="AT94" i="1" s="1"/>
  <c r="Y94" i="1"/>
  <c r="AU94" i="1" s="1"/>
  <c r="Z94" i="1"/>
  <c r="AV94" i="1" s="1"/>
  <c r="AA94" i="1"/>
  <c r="AW94" i="1" s="1"/>
  <c r="AB94" i="1"/>
  <c r="AC94" i="1"/>
  <c r="AD94" i="1"/>
  <c r="AE94" i="1"/>
  <c r="AF94" i="1"/>
  <c r="AG94" i="1"/>
  <c r="AH94" i="1"/>
  <c r="BD94" i="1" s="1"/>
  <c r="AI94" i="1"/>
  <c r="BE94" i="1" s="1"/>
  <c r="AJ94" i="1"/>
  <c r="AK94" i="1"/>
  <c r="BG94" i="1" s="1"/>
  <c r="AL94" i="1"/>
  <c r="AM94" i="1"/>
  <c r="AN94" i="1"/>
  <c r="BJ94" i="1" s="1"/>
  <c r="AO94" i="1"/>
  <c r="BK94" i="1" s="1"/>
  <c r="AP94" i="1"/>
  <c r="AQ94" i="1"/>
  <c r="BM94" i="1" s="1"/>
  <c r="AR94" i="1"/>
  <c r="X95" i="1"/>
  <c r="Y95" i="1"/>
  <c r="Z95" i="1"/>
  <c r="AV95" i="1" s="1"/>
  <c r="AA95" i="1"/>
  <c r="AB95" i="1"/>
  <c r="AC95" i="1"/>
  <c r="AY95" i="1" s="1"/>
  <c r="AD95" i="1"/>
  <c r="AZ95" i="1" s="1"/>
  <c r="AE95" i="1"/>
  <c r="AF95" i="1"/>
  <c r="BB95" i="1" s="1"/>
  <c r="AG95" i="1"/>
  <c r="BC95" i="1" s="1"/>
  <c r="AH95" i="1"/>
  <c r="AI95" i="1"/>
  <c r="AJ95" i="1"/>
  <c r="AK95" i="1"/>
  <c r="AL95" i="1"/>
  <c r="AM95" i="1"/>
  <c r="AN95" i="1"/>
  <c r="AO95" i="1"/>
  <c r="AP95" i="1"/>
  <c r="AQ95" i="1"/>
  <c r="BM95" i="1" s="1"/>
  <c r="AR95" i="1"/>
  <c r="X96" i="1"/>
  <c r="Y96" i="1"/>
  <c r="AU96" i="1"/>
  <c r="Z96" i="1"/>
  <c r="AA96" i="1"/>
  <c r="AB96" i="1"/>
  <c r="AX96" i="1" s="1"/>
  <c r="AC96" i="1"/>
  <c r="AD96" i="1"/>
  <c r="AE96" i="1"/>
  <c r="AF96" i="1"/>
  <c r="AG96" i="1"/>
  <c r="AH96" i="1"/>
  <c r="AI96" i="1"/>
  <c r="AJ96" i="1"/>
  <c r="AK96" i="1"/>
  <c r="BG96" i="1" s="1"/>
  <c r="AL96" i="1"/>
  <c r="BH96" i="1" s="1"/>
  <c r="AM96" i="1"/>
  <c r="AN96" i="1"/>
  <c r="AO96" i="1"/>
  <c r="BK96" i="1"/>
  <c r="AP96" i="1"/>
  <c r="AQ96" i="1"/>
  <c r="AR96" i="1"/>
  <c r="X97" i="1"/>
  <c r="Y97" i="1"/>
  <c r="Z97" i="1"/>
  <c r="AA97" i="1"/>
  <c r="AB97" i="1"/>
  <c r="AX97" i="1" s="1"/>
  <c r="AC97" i="1"/>
  <c r="AD97" i="1"/>
  <c r="AE97" i="1"/>
  <c r="AF97" i="1"/>
  <c r="BB97" i="1" s="1"/>
  <c r="AG97" i="1"/>
  <c r="AH97" i="1"/>
  <c r="AI97" i="1"/>
  <c r="BE97" i="1" s="1"/>
  <c r="AJ97" i="1"/>
  <c r="BF97" i="1" s="1"/>
  <c r="AK97" i="1"/>
  <c r="AL97" i="1"/>
  <c r="AM97" i="1"/>
  <c r="AN97" i="1"/>
  <c r="AO97" i="1"/>
  <c r="AP97" i="1"/>
  <c r="AQ97" i="1"/>
  <c r="AR97" i="1"/>
  <c r="BN97" i="1"/>
  <c r="X98" i="1"/>
  <c r="AT98" i="1" s="1"/>
  <c r="Y98" i="1"/>
  <c r="Z98" i="1"/>
  <c r="AA98" i="1"/>
  <c r="AW98" i="1"/>
  <c r="AB98" i="1"/>
  <c r="AX98" i="1" s="1"/>
  <c r="AC98" i="1"/>
  <c r="AD98" i="1"/>
  <c r="AE98" i="1"/>
  <c r="AF98" i="1"/>
  <c r="AG98" i="1"/>
  <c r="AH98" i="1"/>
  <c r="AI98" i="1"/>
  <c r="AJ98" i="1"/>
  <c r="AK98" i="1"/>
  <c r="AL98" i="1"/>
  <c r="BH98" i="1" s="1"/>
  <c r="AM98" i="1"/>
  <c r="AN98" i="1"/>
  <c r="BJ98" i="1" s="1"/>
  <c r="AO98" i="1"/>
  <c r="BK98" i="1" s="1"/>
  <c r="AP98" i="1"/>
  <c r="AQ98" i="1"/>
  <c r="BM98" i="1" s="1"/>
  <c r="AR98" i="1"/>
  <c r="BN98" i="1" s="1"/>
  <c r="X99" i="1"/>
  <c r="Y99" i="1"/>
  <c r="Z99" i="1"/>
  <c r="AV99" i="1"/>
  <c r="AA99" i="1"/>
  <c r="AB99" i="1"/>
  <c r="AC99" i="1"/>
  <c r="AD99" i="1"/>
  <c r="AE99" i="1"/>
  <c r="AF99" i="1"/>
  <c r="BB99" i="1" s="1"/>
  <c r="AG99" i="1"/>
  <c r="BC99" i="1" s="1"/>
  <c r="AH99" i="1"/>
  <c r="AI99" i="1"/>
  <c r="AJ99" i="1"/>
  <c r="BF99" i="1" s="1"/>
  <c r="AK99" i="1"/>
  <c r="AL99" i="1"/>
  <c r="BH99" i="1" s="1"/>
  <c r="AM99" i="1"/>
  <c r="AN99" i="1"/>
  <c r="AO99" i="1"/>
  <c r="AP99" i="1"/>
  <c r="BL99" i="1" s="1"/>
  <c r="AQ99" i="1"/>
  <c r="AR99" i="1"/>
  <c r="X100" i="1"/>
  <c r="Y100" i="1"/>
  <c r="AU100" i="1" s="1"/>
  <c r="Z100" i="1"/>
  <c r="AV100" i="1" s="1"/>
  <c r="AA100" i="1"/>
  <c r="AW100" i="1" s="1"/>
  <c r="AB100" i="1"/>
  <c r="AC100" i="1"/>
  <c r="AY100" i="1"/>
  <c r="AD100" i="1"/>
  <c r="AE100" i="1"/>
  <c r="AF100" i="1"/>
  <c r="AG100" i="1"/>
  <c r="AH100" i="1"/>
  <c r="AI100" i="1"/>
  <c r="AJ100" i="1"/>
  <c r="AK100" i="1"/>
  <c r="AL100" i="1"/>
  <c r="AM100" i="1"/>
  <c r="AN100" i="1"/>
  <c r="BJ100" i="1" s="1"/>
  <c r="AO100" i="1"/>
  <c r="AP100" i="1"/>
  <c r="BL100" i="1" s="1"/>
  <c r="AQ100" i="1"/>
  <c r="AR100" i="1"/>
  <c r="BN100" i="1" s="1"/>
  <c r="X101" i="1"/>
  <c r="AT101" i="1"/>
  <c r="Y101" i="1"/>
  <c r="AU101" i="1" s="1"/>
  <c r="Z101" i="1"/>
  <c r="AA101" i="1"/>
  <c r="AB101" i="1"/>
  <c r="AX101" i="1"/>
  <c r="AC101" i="1"/>
  <c r="AD101" i="1"/>
  <c r="AE101" i="1"/>
  <c r="AF101" i="1"/>
  <c r="AG101" i="1"/>
  <c r="AH101" i="1"/>
  <c r="BD101" i="1" s="1"/>
  <c r="AI101" i="1"/>
  <c r="BE101" i="1" s="1"/>
  <c r="AJ101" i="1"/>
  <c r="AK101" i="1"/>
  <c r="AL101" i="1"/>
  <c r="BH101" i="1" s="1"/>
  <c r="AM101" i="1"/>
  <c r="BI101" i="1" s="1"/>
  <c r="AN101" i="1"/>
  <c r="AO101" i="1"/>
  <c r="AP101" i="1"/>
  <c r="AQ101" i="1"/>
  <c r="AR101" i="1"/>
  <c r="BN101" i="1" s="1"/>
  <c r="X102" i="1"/>
  <c r="Y102" i="1"/>
  <c r="Z102" i="1"/>
  <c r="AA102" i="1"/>
  <c r="AW102" i="1"/>
  <c r="AB102" i="1"/>
  <c r="AC102" i="1"/>
  <c r="AD102" i="1"/>
  <c r="AE102" i="1"/>
  <c r="BA102" i="1" s="1"/>
  <c r="AF102" i="1"/>
  <c r="AG102" i="1"/>
  <c r="BC102" i="1" s="1"/>
  <c r="AH102" i="1"/>
  <c r="AI102" i="1"/>
  <c r="AJ102" i="1"/>
  <c r="AK102" i="1"/>
  <c r="AL102" i="1"/>
  <c r="AM102" i="1"/>
  <c r="AN102" i="1"/>
  <c r="AO102" i="1"/>
  <c r="AP102" i="1"/>
  <c r="AQ102" i="1"/>
  <c r="BM102" i="1" s="1"/>
  <c r="AR102" i="1"/>
  <c r="X103" i="1"/>
  <c r="Y103" i="1"/>
  <c r="AU103" i="1" s="1"/>
  <c r="Z103" i="1"/>
  <c r="AV103" i="1" s="1"/>
  <c r="AA103" i="1"/>
  <c r="AW103" i="1" s="1"/>
  <c r="AB103" i="1"/>
  <c r="AX103" i="1" s="1"/>
  <c r="AC103" i="1"/>
  <c r="AD103" i="1"/>
  <c r="AE103" i="1"/>
  <c r="AF103" i="1"/>
  <c r="AG103" i="1"/>
  <c r="AH103" i="1"/>
  <c r="AI103" i="1"/>
  <c r="BE103" i="1" s="1"/>
  <c r="AJ103" i="1"/>
  <c r="AK103" i="1"/>
  <c r="BG103" i="1" s="1"/>
  <c r="AL103" i="1"/>
  <c r="BH103" i="1" s="1"/>
  <c r="AM103" i="1"/>
  <c r="AN103" i="1"/>
  <c r="BJ103" i="1" s="1"/>
  <c r="AO103" i="1"/>
  <c r="BK103" i="1" s="1"/>
  <c r="AP103" i="1"/>
  <c r="AQ103" i="1"/>
  <c r="AR103" i="1"/>
  <c r="X104" i="1"/>
  <c r="Y104" i="1"/>
  <c r="Z104" i="1"/>
  <c r="AA104" i="1"/>
  <c r="AB104" i="1"/>
  <c r="AC104" i="1"/>
  <c r="AY104" i="1"/>
  <c r="AD104" i="1"/>
  <c r="AZ104" i="1" s="1"/>
  <c r="AE104" i="1"/>
  <c r="AF104" i="1"/>
  <c r="AG104" i="1"/>
  <c r="BC104" i="1" s="1"/>
  <c r="AH104" i="1"/>
  <c r="AI104" i="1"/>
  <c r="BE104" i="1" s="1"/>
  <c r="AJ104" i="1"/>
  <c r="AK104" i="1"/>
  <c r="AL104" i="1"/>
  <c r="AM104" i="1"/>
  <c r="AN104" i="1"/>
  <c r="AO104" i="1"/>
  <c r="AP104" i="1"/>
  <c r="AQ104" i="1"/>
  <c r="AR104" i="1"/>
  <c r="X105" i="1"/>
  <c r="AT105" i="1" s="1"/>
  <c r="Y105" i="1"/>
  <c r="AU105" i="1" s="1"/>
  <c r="Z105" i="1"/>
  <c r="AA105" i="1"/>
  <c r="AB105" i="1"/>
  <c r="AX105" i="1"/>
  <c r="AC105" i="1"/>
  <c r="AD105" i="1"/>
  <c r="AE105" i="1"/>
  <c r="AF105" i="1"/>
  <c r="AG105" i="1"/>
  <c r="AH105" i="1"/>
  <c r="AI105" i="1"/>
  <c r="AJ105" i="1"/>
  <c r="AK105" i="1"/>
  <c r="AL105" i="1"/>
  <c r="BH105" i="1" s="1"/>
  <c r="AM105" i="1"/>
  <c r="AN105" i="1"/>
  <c r="BJ105" i="1" s="1"/>
  <c r="AO105" i="1"/>
  <c r="AP105" i="1"/>
  <c r="AQ105" i="1"/>
  <c r="AR105" i="1"/>
  <c r="BN105" i="1"/>
  <c r="X106" i="1"/>
  <c r="Y106" i="1"/>
  <c r="Z106" i="1"/>
  <c r="AA106" i="1"/>
  <c r="AB106" i="1"/>
  <c r="AC106" i="1"/>
  <c r="AD106" i="1"/>
  <c r="AE106" i="1"/>
  <c r="BA106" i="1"/>
  <c r="AF106" i="1"/>
  <c r="BB107" i="1" s="1"/>
  <c r="AG106" i="1"/>
  <c r="AH106" i="1"/>
  <c r="AI106" i="1"/>
  <c r="BE107" i="1" s="1"/>
  <c r="AJ106" i="1"/>
  <c r="BF106" i="1" s="1"/>
  <c r="AK106" i="1"/>
  <c r="BG107" i="1" s="1"/>
  <c r="AL106" i="1"/>
  <c r="BH106" i="1" s="1"/>
  <c r="AM106" i="1"/>
  <c r="AN106" i="1"/>
  <c r="AO106" i="1"/>
  <c r="BK106" i="1" s="1"/>
  <c r="AP106" i="1"/>
  <c r="AQ106" i="1"/>
  <c r="AR106" i="1"/>
  <c r="X107" i="1"/>
  <c r="Y107" i="1"/>
  <c r="AU107" i="1" s="1"/>
  <c r="Z107" i="1"/>
  <c r="AV107" i="1" s="1"/>
  <c r="AA107" i="1"/>
  <c r="AW107" i="1" s="1"/>
  <c r="AB107" i="1"/>
  <c r="AC107" i="1"/>
  <c r="AD107" i="1"/>
  <c r="AZ108" i="1" s="1"/>
  <c r="AZ107" i="1"/>
  <c r="AE107" i="1"/>
  <c r="BA107" i="1" s="1"/>
  <c r="AF107" i="1"/>
  <c r="AG107" i="1"/>
  <c r="BC107" i="1" s="1"/>
  <c r="AH107" i="1"/>
  <c r="AI107" i="1"/>
  <c r="AJ107" i="1"/>
  <c r="AK107" i="1"/>
  <c r="BG108" i="1" s="1"/>
  <c r="AL107" i="1"/>
  <c r="AM107" i="1"/>
  <c r="BI107" i="1"/>
  <c r="AN107" i="1"/>
  <c r="BJ107" i="1" s="1"/>
  <c r="AO107" i="1"/>
  <c r="AP107" i="1"/>
  <c r="BL108" i="1" s="1"/>
  <c r="AQ107" i="1"/>
  <c r="AR107" i="1"/>
  <c r="X108" i="1"/>
  <c r="AT108" i="1" s="1"/>
  <c r="Y108" i="1"/>
  <c r="Z108" i="1"/>
  <c r="AA108" i="1"/>
  <c r="AB108" i="1"/>
  <c r="AX108" i="1"/>
  <c r="AC108" i="1"/>
  <c r="AD108" i="1"/>
  <c r="AE108" i="1"/>
  <c r="BA109" i="1" s="1"/>
  <c r="AF108" i="1"/>
  <c r="BB108" i="1" s="1"/>
  <c r="AG108" i="1"/>
  <c r="AH108" i="1"/>
  <c r="AI108" i="1"/>
  <c r="BE108" i="1" s="1"/>
  <c r="AJ108" i="1"/>
  <c r="BF108" i="1"/>
  <c r="AK108" i="1"/>
  <c r="AL108" i="1"/>
  <c r="BH108" i="1" s="1"/>
  <c r="AM108" i="1"/>
  <c r="BI108" i="1"/>
  <c r="AN108" i="1"/>
  <c r="BJ108" i="1" s="1"/>
  <c r="AO108" i="1"/>
  <c r="BK108" i="1"/>
  <c r="AP108" i="1"/>
  <c r="AQ108" i="1"/>
  <c r="BM108" i="1" s="1"/>
  <c r="AR108" i="1"/>
  <c r="X109" i="1"/>
  <c r="AT109" i="1" s="1"/>
  <c r="Y109" i="1"/>
  <c r="AU109" i="1"/>
  <c r="Z109" i="1"/>
  <c r="AV109" i="1" s="1"/>
  <c r="AA109" i="1"/>
  <c r="AB109" i="1"/>
  <c r="AX109" i="1"/>
  <c r="AC109" i="1"/>
  <c r="AD109" i="1"/>
  <c r="AZ109" i="1" s="1"/>
  <c r="AE109" i="1"/>
  <c r="AF109" i="1"/>
  <c r="AG109" i="1"/>
  <c r="BC110" i="1" s="1"/>
  <c r="AH109" i="1"/>
  <c r="BD109" i="1" s="1"/>
  <c r="AI109" i="1"/>
  <c r="BE109" i="1" s="1"/>
  <c r="AJ109" i="1"/>
  <c r="BF109" i="1" s="1"/>
  <c r="AK109" i="1"/>
  <c r="BG109" i="1" s="1"/>
  <c r="AL109" i="1"/>
  <c r="BH109" i="1"/>
  <c r="AM109" i="1"/>
  <c r="BI109" i="1" s="1"/>
  <c r="AN109" i="1"/>
  <c r="BJ109" i="1"/>
  <c r="AO109" i="1"/>
  <c r="AP109" i="1"/>
  <c r="BL109" i="1"/>
  <c r="AQ109" i="1"/>
  <c r="AR109" i="1"/>
  <c r="BN109" i="1"/>
  <c r="X110" i="1"/>
  <c r="Y110" i="1"/>
  <c r="AU110" i="1"/>
  <c r="Z110" i="1"/>
  <c r="AV110" i="1" s="1"/>
  <c r="AA110" i="1"/>
  <c r="AW110" i="1" s="1"/>
  <c r="AB110" i="1"/>
  <c r="AX110" i="1" s="1"/>
  <c r="AC110" i="1"/>
  <c r="AY110" i="1"/>
  <c r="AD110" i="1"/>
  <c r="AZ110" i="1" s="1"/>
  <c r="AE110" i="1"/>
  <c r="BA110" i="1"/>
  <c r="AF110" i="1"/>
  <c r="BB110" i="1" s="1"/>
  <c r="AG110" i="1"/>
  <c r="AH110" i="1"/>
  <c r="BD110" i="1" s="1"/>
  <c r="AI110" i="1"/>
  <c r="BE110" i="1"/>
  <c r="AJ110" i="1"/>
  <c r="AK110" i="1"/>
  <c r="BG110" i="1" s="1"/>
  <c r="AL110" i="1"/>
  <c r="BH110" i="1" s="1"/>
  <c r="AM110" i="1"/>
  <c r="BI110" i="1" s="1"/>
  <c r="AN110" i="1"/>
  <c r="AO110" i="1"/>
  <c r="BK110" i="1" s="1"/>
  <c r="AP110" i="1"/>
  <c r="BL110" i="1" s="1"/>
  <c r="AQ110" i="1"/>
  <c r="BM110" i="1" s="1"/>
  <c r="AR110" i="1"/>
  <c r="BN110" i="1" s="1"/>
  <c r="X111" i="1"/>
  <c r="AT111" i="1" s="1"/>
  <c r="Y111" i="1"/>
  <c r="AU111" i="1" s="1"/>
  <c r="Z111" i="1"/>
  <c r="AV111" i="1" s="1"/>
  <c r="AA111" i="1"/>
  <c r="AW111" i="1" s="1"/>
  <c r="AB111" i="1"/>
  <c r="AC111" i="1"/>
  <c r="AD111" i="1"/>
  <c r="AE111" i="1"/>
  <c r="BA111" i="1" s="1"/>
  <c r="AF111" i="1"/>
  <c r="BB111" i="1"/>
  <c r="AG111" i="1"/>
  <c r="BC111" i="1" s="1"/>
  <c r="AH111" i="1"/>
  <c r="BD111" i="1"/>
  <c r="AI111" i="1"/>
  <c r="BE111" i="1" s="1"/>
  <c r="AJ111" i="1"/>
  <c r="BF111" i="1"/>
  <c r="AK111" i="1"/>
  <c r="BG111" i="1" s="1"/>
  <c r="AL111" i="1"/>
  <c r="BH111" i="1" s="1"/>
  <c r="AM111" i="1"/>
  <c r="AN111" i="1"/>
  <c r="BJ111" i="1" s="1"/>
  <c r="AO111" i="1"/>
  <c r="AP111" i="1"/>
  <c r="BL111" i="1"/>
  <c r="AQ111" i="1"/>
  <c r="BM111" i="1" s="1"/>
  <c r="AR111" i="1"/>
  <c r="BN111" i="1"/>
  <c r="X112" i="1"/>
  <c r="AT112" i="1" s="1"/>
  <c r="Y112" i="1"/>
  <c r="Z112" i="1"/>
  <c r="AA112" i="1"/>
  <c r="AW112" i="1" s="1"/>
  <c r="AB112" i="1"/>
  <c r="AX112" i="1" s="1"/>
  <c r="AC112" i="1"/>
  <c r="AD112" i="1"/>
  <c r="AE112" i="1"/>
  <c r="BA112" i="1" s="1"/>
  <c r="AF112" i="1"/>
  <c r="BB112" i="1" s="1"/>
  <c r="AG112" i="1"/>
  <c r="BC112" i="1" s="1"/>
  <c r="AH112" i="1"/>
  <c r="AI112" i="1"/>
  <c r="BE112" i="1" s="1"/>
  <c r="AJ112" i="1"/>
  <c r="AK112" i="1"/>
  <c r="AL112" i="1"/>
  <c r="AM112" i="1"/>
  <c r="BI112" i="1"/>
  <c r="AN112" i="1"/>
  <c r="AO112" i="1"/>
  <c r="AP112" i="1"/>
  <c r="BL112" i="1" s="1"/>
  <c r="AQ112" i="1"/>
  <c r="BM112" i="1" s="1"/>
  <c r="AR112" i="1"/>
  <c r="BN112" i="1" s="1"/>
  <c r="X113" i="1"/>
  <c r="AT113" i="1" s="1"/>
  <c r="Y113" i="1"/>
  <c r="AU113" i="1" s="1"/>
  <c r="Z113" i="1"/>
  <c r="AV113" i="1"/>
  <c r="AA113" i="1"/>
  <c r="AB113" i="1"/>
  <c r="AC113" i="1"/>
  <c r="AY113" i="1" s="1"/>
  <c r="AD113" i="1"/>
  <c r="AE113" i="1"/>
  <c r="BA113" i="1" s="1"/>
  <c r="AF113" i="1"/>
  <c r="AG113" i="1"/>
  <c r="BC113" i="1" s="1"/>
  <c r="AH113" i="1"/>
  <c r="BD113" i="1"/>
  <c r="AI113" i="1"/>
  <c r="BE113" i="1" s="1"/>
  <c r="AJ113" i="1"/>
  <c r="BF113" i="1" s="1"/>
  <c r="AK113" i="1"/>
  <c r="BG113" i="1" s="1"/>
  <c r="AL113" i="1"/>
  <c r="BH113" i="1"/>
  <c r="AM113" i="1"/>
  <c r="BI113" i="1" s="1"/>
  <c r="AN113" i="1"/>
  <c r="AO113" i="1"/>
  <c r="AP113" i="1"/>
  <c r="BL113" i="1" s="1"/>
  <c r="AQ113" i="1"/>
  <c r="AR113" i="1"/>
  <c r="BN113" i="1" s="1"/>
  <c r="X114" i="1"/>
  <c r="Y114" i="1"/>
  <c r="AU114" i="1" s="1"/>
  <c r="Z114" i="1"/>
  <c r="AV114" i="1" s="1"/>
  <c r="AA114" i="1"/>
  <c r="AW114" i="1" s="1"/>
  <c r="AB114" i="1"/>
  <c r="AX114" i="1" s="1"/>
  <c r="AC114" i="1"/>
  <c r="AY114" i="1" s="1"/>
  <c r="AD114" i="1"/>
  <c r="AZ114" i="1" s="1"/>
  <c r="AE114" i="1"/>
  <c r="AF114" i="1"/>
  <c r="AG114" i="1"/>
  <c r="BC114" i="1"/>
  <c r="AH114" i="1"/>
  <c r="AI114" i="1"/>
  <c r="AJ114" i="1"/>
  <c r="BF114" i="1" s="1"/>
  <c r="AK114" i="1"/>
  <c r="AL114" i="1"/>
  <c r="BH114" i="1" s="1"/>
  <c r="AM114" i="1"/>
  <c r="BI114" i="1" s="1"/>
  <c r="AN114" i="1"/>
  <c r="BJ114" i="1" s="1"/>
  <c r="AO114" i="1"/>
  <c r="BK114" i="1" s="1"/>
  <c r="AP114" i="1"/>
  <c r="AQ114" i="1"/>
  <c r="AR114" i="1"/>
  <c r="X115" i="1"/>
  <c r="Y115" i="1"/>
  <c r="AU115" i="1" s="1"/>
  <c r="Z115" i="1"/>
  <c r="AA115" i="1"/>
  <c r="AB115" i="1"/>
  <c r="AX115" i="1"/>
  <c r="AC115" i="1"/>
  <c r="AD115" i="1"/>
  <c r="AZ115" i="1" s="1"/>
  <c r="AE115" i="1"/>
  <c r="AF115" i="1"/>
  <c r="BB115" i="1"/>
  <c r="AG115" i="1"/>
  <c r="BC115" i="1" s="1"/>
  <c r="AH115" i="1"/>
  <c r="BD115" i="1" s="1"/>
  <c r="AI115" i="1"/>
  <c r="AJ115" i="1"/>
  <c r="BF115" i="1" s="1"/>
  <c r="AK115" i="1"/>
  <c r="AL115" i="1"/>
  <c r="BH115" i="1" s="1"/>
  <c r="AM115" i="1"/>
  <c r="AN115" i="1"/>
  <c r="AO115" i="1"/>
  <c r="AP115" i="1"/>
  <c r="BL115" i="1" s="1"/>
  <c r="AQ115" i="1"/>
  <c r="BM115" i="1" s="1"/>
  <c r="AR115" i="1"/>
  <c r="BN115" i="1"/>
  <c r="X116" i="1"/>
  <c r="AT116" i="1" s="1"/>
  <c r="Y116" i="1"/>
  <c r="AU116" i="1" s="1"/>
  <c r="Z116" i="1"/>
  <c r="AV116" i="1" s="1"/>
  <c r="AA116" i="1"/>
  <c r="AW116" i="1"/>
  <c r="AB116" i="1"/>
  <c r="AC116" i="1"/>
  <c r="AD116" i="1"/>
  <c r="AZ116" i="1" s="1"/>
  <c r="AE116" i="1"/>
  <c r="AF116" i="1"/>
  <c r="AG116" i="1"/>
  <c r="AH116" i="1"/>
  <c r="BD116" i="1" s="1"/>
  <c r="AI116" i="1"/>
  <c r="BE116" i="1"/>
  <c r="AJ116" i="1"/>
  <c r="BF116" i="1" s="1"/>
  <c r="AK116" i="1"/>
  <c r="BG116" i="1" s="1"/>
  <c r="AL116" i="1"/>
  <c r="BH116" i="1" s="1"/>
  <c r="AM116" i="1"/>
  <c r="BI116" i="1"/>
  <c r="AN116" i="1"/>
  <c r="BJ116" i="1" s="1"/>
  <c r="AO116" i="1"/>
  <c r="AP116" i="1"/>
  <c r="AQ116" i="1"/>
  <c r="BM116" i="1" s="1"/>
  <c r="AR116" i="1"/>
  <c r="X117" i="1"/>
  <c r="Y117" i="1"/>
  <c r="Z117" i="1"/>
  <c r="AV117" i="1" s="1"/>
  <c r="AA117" i="1"/>
  <c r="AW117" i="1" s="1"/>
  <c r="AB117" i="1"/>
  <c r="AX117" i="1" s="1"/>
  <c r="AC117" i="1"/>
  <c r="AY117" i="1" s="1"/>
  <c r="AD117" i="1"/>
  <c r="AZ117" i="1" s="1"/>
  <c r="AE117" i="1"/>
  <c r="BA117" i="1" s="1"/>
  <c r="AF117" i="1"/>
  <c r="AG117" i="1"/>
  <c r="AH117" i="1"/>
  <c r="BD117" i="1"/>
  <c r="AI117" i="1"/>
  <c r="AJ117" i="1"/>
  <c r="AK117" i="1"/>
  <c r="AL117" i="1"/>
  <c r="AM117" i="1"/>
  <c r="BI117" i="1" s="1"/>
  <c r="AN117" i="1"/>
  <c r="BJ117" i="1" s="1"/>
  <c r="AO117" i="1"/>
  <c r="BK117" i="1" s="1"/>
  <c r="AP117" i="1"/>
  <c r="BL117" i="1"/>
  <c r="AQ117" i="1"/>
  <c r="AR117" i="1"/>
  <c r="X118" i="1"/>
  <c r="Y118" i="1"/>
  <c r="Z118" i="1"/>
  <c r="AV118" i="1" s="1"/>
  <c r="AA118" i="1"/>
  <c r="AB118" i="1"/>
  <c r="AC118" i="1"/>
  <c r="AY118" i="1"/>
  <c r="AD118" i="1"/>
  <c r="AE118" i="1"/>
  <c r="BA118" i="1" s="1"/>
  <c r="AF118" i="1"/>
  <c r="AG118" i="1"/>
  <c r="BC118" i="1"/>
  <c r="AH118" i="1"/>
  <c r="BD118" i="1" s="1"/>
  <c r="AI118" i="1"/>
  <c r="BE118" i="1" s="1"/>
  <c r="AJ118" i="1"/>
  <c r="AK118" i="1"/>
  <c r="BG118" i="1" s="1"/>
  <c r="AL118" i="1"/>
  <c r="AM118" i="1"/>
  <c r="BI118" i="1" s="1"/>
  <c r="AN118" i="1"/>
  <c r="AO118" i="1"/>
  <c r="AP118" i="1"/>
  <c r="AQ118" i="1"/>
  <c r="BM118" i="1" s="1"/>
  <c r="AR118" i="1"/>
  <c r="BN118" i="1" s="1"/>
  <c r="X119" i="1"/>
  <c r="AT119" i="1" s="1"/>
  <c r="Y119" i="1"/>
  <c r="AU119" i="1" s="1"/>
  <c r="Z119" i="1"/>
  <c r="AV119" i="1" s="1"/>
  <c r="AA119" i="1"/>
  <c r="AW119" i="1" s="1"/>
  <c r="AB119" i="1"/>
  <c r="AX119" i="1"/>
  <c r="AC119" i="1"/>
  <c r="AD119" i="1"/>
  <c r="AE119" i="1"/>
  <c r="BA119" i="1" s="1"/>
  <c r="AF119" i="1"/>
  <c r="AG119" i="1"/>
  <c r="BC119" i="1" s="1"/>
  <c r="AH119" i="1"/>
  <c r="AI119" i="1"/>
  <c r="BE119" i="1" s="1"/>
  <c r="AJ119" i="1"/>
  <c r="BF119" i="1"/>
  <c r="AK119" i="1"/>
  <c r="BG119" i="1" s="1"/>
  <c r="AL119" i="1"/>
  <c r="BH119" i="1" s="1"/>
  <c r="AM119" i="1"/>
  <c r="BI119" i="1" s="1"/>
  <c r="AN119" i="1"/>
  <c r="BJ119" i="1"/>
  <c r="AO119" i="1"/>
  <c r="BK119" i="1" s="1"/>
  <c r="AP119" i="1"/>
  <c r="AQ119" i="1"/>
  <c r="AR119" i="1"/>
  <c r="BN119" i="1" s="1"/>
  <c r="X120" i="1"/>
  <c r="Y120" i="1"/>
  <c r="AU120" i="1" s="1"/>
  <c r="Z120" i="1"/>
  <c r="AA120" i="1"/>
  <c r="AW120" i="1" s="1"/>
  <c r="AB120" i="1"/>
  <c r="AX120" i="1" s="1"/>
  <c r="AC120" i="1"/>
  <c r="AY120" i="1" s="1"/>
  <c r="AD120" i="1"/>
  <c r="AZ120" i="1" s="1"/>
  <c r="AE120" i="1"/>
  <c r="BA120" i="1" s="1"/>
  <c r="AF120" i="1"/>
  <c r="BB120" i="1" s="1"/>
  <c r="AG120" i="1"/>
  <c r="AH120" i="1"/>
  <c r="AI120" i="1"/>
  <c r="BE120" i="1"/>
  <c r="AJ120" i="1"/>
  <c r="AK120" i="1"/>
  <c r="AL120" i="1"/>
  <c r="BH120" i="1" s="1"/>
  <c r="AM120" i="1"/>
  <c r="BI120" i="1" s="1"/>
  <c r="AN120" i="1"/>
  <c r="BJ120" i="1" s="1"/>
  <c r="AO120" i="1"/>
  <c r="BK120" i="1" s="1"/>
  <c r="AP120" i="1"/>
  <c r="BL120" i="1" s="1"/>
  <c r="AQ120" i="1"/>
  <c r="BM120" i="1"/>
  <c r="AR120" i="1"/>
  <c r="X121" i="1"/>
  <c r="Y121" i="1"/>
  <c r="Z121" i="1"/>
  <c r="AA121" i="1"/>
  <c r="AW121" i="1" s="1"/>
  <c r="AB121" i="1"/>
  <c r="AC121" i="1"/>
  <c r="AD121" i="1"/>
  <c r="AZ121" i="1" s="1"/>
  <c r="AE121" i="1"/>
  <c r="AF121" i="1"/>
  <c r="BB121" i="1" s="1"/>
  <c r="AG121" i="1"/>
  <c r="AH121" i="1"/>
  <c r="BD121" i="1" s="1"/>
  <c r="AI121" i="1"/>
  <c r="BE121" i="1" s="1"/>
  <c r="AJ121" i="1"/>
  <c r="BF121" i="1" s="1"/>
  <c r="AK121" i="1"/>
  <c r="AL121" i="1"/>
  <c r="AM121" i="1"/>
  <c r="AN121" i="1"/>
  <c r="BJ121" i="1" s="1"/>
  <c r="AO121" i="1"/>
  <c r="AP121" i="1"/>
  <c r="BL121" i="1"/>
  <c r="AQ121" i="1"/>
  <c r="BM121" i="1" s="1"/>
  <c r="AR121" i="1"/>
  <c r="BN121" i="1" s="1"/>
  <c r="X122" i="1"/>
  <c r="AT122" i="1" s="1"/>
  <c r="Y122" i="1"/>
  <c r="AU122" i="1"/>
  <c r="Z122" i="1"/>
  <c r="AV122" i="1" s="1"/>
  <c r="AA122" i="1"/>
  <c r="AW122" i="1" s="1"/>
  <c r="AB122" i="1"/>
  <c r="AX122" i="1" s="1"/>
  <c r="AC122" i="1"/>
  <c r="AY122" i="1"/>
  <c r="AD122" i="1"/>
  <c r="AE122" i="1"/>
  <c r="AF122" i="1"/>
  <c r="BB122" i="1" s="1"/>
  <c r="AG122" i="1"/>
  <c r="AH122" i="1"/>
  <c r="AI122" i="1"/>
  <c r="BE122" i="1" s="1"/>
  <c r="AJ122" i="1"/>
  <c r="BF122" i="1" s="1"/>
  <c r="AK122" i="1"/>
  <c r="BG122" i="1"/>
  <c r="AL122" i="1"/>
  <c r="BH122" i="1" s="1"/>
  <c r="AM122" i="1"/>
  <c r="BI122" i="1" s="1"/>
  <c r="AN122" i="1"/>
  <c r="BJ122" i="1" s="1"/>
  <c r="AO122" i="1"/>
  <c r="BK122" i="1"/>
  <c r="AP122" i="1"/>
  <c r="BL122" i="1" s="1"/>
  <c r="AQ122" i="1"/>
  <c r="AR122" i="1"/>
  <c r="X123" i="1"/>
  <c r="AT123" i="1" s="1"/>
  <c r="Y123" i="1"/>
  <c r="Z123" i="1"/>
  <c r="AA123" i="1"/>
  <c r="AB123" i="1"/>
  <c r="AX123" i="1" s="1"/>
  <c r="AC123" i="1"/>
  <c r="AY123" i="1" s="1"/>
  <c r="AD123" i="1"/>
  <c r="AZ123" i="1" s="1"/>
  <c r="AE123" i="1"/>
  <c r="BA123" i="1" s="1"/>
  <c r="AF123" i="1"/>
  <c r="BB123" i="1" s="1"/>
  <c r="AG123" i="1"/>
  <c r="BC123" i="1" s="1"/>
  <c r="AH123" i="1"/>
  <c r="BD123" i="1" s="1"/>
  <c r="AI123" i="1"/>
  <c r="AJ123" i="1"/>
  <c r="BF123" i="1"/>
  <c r="AK123" i="1"/>
  <c r="AL123" i="1"/>
  <c r="AM123" i="1"/>
  <c r="AN123" i="1"/>
  <c r="AO123" i="1"/>
  <c r="BK123" i="1" s="1"/>
  <c r="AP123" i="1"/>
  <c r="BL123" i="1" s="1"/>
  <c r="AQ123" i="1"/>
  <c r="BM123" i="1" s="1"/>
  <c r="AR123" i="1"/>
  <c r="BN123" i="1" s="1"/>
  <c r="X124" i="1"/>
  <c r="Y124" i="1"/>
  <c r="Z124" i="1"/>
  <c r="AV124" i="1" s="1"/>
  <c r="AA124" i="1"/>
  <c r="AB124" i="1"/>
  <c r="AX124" i="1" s="1"/>
  <c r="AC124" i="1"/>
  <c r="AD124" i="1"/>
  <c r="AE124" i="1"/>
  <c r="AF124" i="1"/>
  <c r="AG124" i="1"/>
  <c r="BC124" i="1" s="1"/>
  <c r="AH124" i="1"/>
  <c r="AI124" i="1"/>
  <c r="BE124" i="1"/>
  <c r="AJ124" i="1"/>
  <c r="BF124" i="1" s="1"/>
  <c r="AK124" i="1"/>
  <c r="BG124" i="1" s="1"/>
  <c r="AL124" i="1"/>
  <c r="AM124" i="1"/>
  <c r="BI124" i="1" s="1"/>
  <c r="AN124" i="1"/>
  <c r="AO124" i="1"/>
  <c r="BK124" i="1" s="1"/>
  <c r="AP124" i="1"/>
  <c r="AQ124" i="1"/>
  <c r="AR124" i="1"/>
  <c r="X125" i="1"/>
  <c r="AT125" i="1" s="1"/>
  <c r="Y125" i="1"/>
  <c r="AU125" i="1" s="1"/>
  <c r="Z125" i="1"/>
  <c r="AA125" i="1"/>
  <c r="AW125" i="1" s="1"/>
  <c r="AB125" i="1"/>
  <c r="AX125" i="1" s="1"/>
  <c r="AC125" i="1"/>
  <c r="AY125" i="1" s="1"/>
  <c r="AD125" i="1"/>
  <c r="AZ125" i="1"/>
  <c r="AE125" i="1"/>
  <c r="AF125" i="1"/>
  <c r="AG125" i="1"/>
  <c r="BC125" i="1" s="1"/>
  <c r="AH125" i="1"/>
  <c r="AI125" i="1"/>
  <c r="AJ125" i="1"/>
  <c r="BF125" i="1" s="1"/>
  <c r="AK125" i="1"/>
  <c r="BG125" i="1" s="1"/>
  <c r="AL125" i="1"/>
  <c r="BH125" i="1"/>
  <c r="AM125" i="1"/>
  <c r="AN125" i="1"/>
  <c r="BJ125" i="1" s="1"/>
  <c r="AO125" i="1"/>
  <c r="AP125" i="1"/>
  <c r="BL125" i="1"/>
  <c r="AQ125" i="1"/>
  <c r="BM125" i="1" s="1"/>
  <c r="AR125" i="1"/>
  <c r="X126" i="1"/>
  <c r="Y126" i="1"/>
  <c r="AU126" i="1" s="1"/>
  <c r="Z126" i="1"/>
  <c r="AA126" i="1"/>
  <c r="AB126" i="1"/>
  <c r="AC126" i="1"/>
  <c r="AY126" i="1" s="1"/>
  <c r="AD126" i="1"/>
  <c r="AZ126" i="1" s="1"/>
  <c r="AE126" i="1"/>
  <c r="BA126" i="1" s="1"/>
  <c r="AF126" i="1"/>
  <c r="BB126" i="1" s="1"/>
  <c r="AG126" i="1"/>
  <c r="AH126" i="1"/>
  <c r="BD126" i="1" s="1"/>
  <c r="AI126" i="1"/>
  <c r="BE126" i="1" s="1"/>
  <c r="AJ126" i="1"/>
  <c r="AK126" i="1"/>
  <c r="BG126" i="1"/>
  <c r="AL126" i="1"/>
  <c r="AM126" i="1"/>
  <c r="AN126" i="1"/>
  <c r="BJ126" i="1" s="1"/>
  <c r="AO126" i="1"/>
  <c r="BK126" i="1" s="1"/>
  <c r="AP126" i="1"/>
  <c r="BL126" i="1" s="1"/>
  <c r="AQ126" i="1"/>
  <c r="BM126" i="1" s="1"/>
  <c r="AR126" i="1"/>
  <c r="BN126" i="1" s="1"/>
  <c r="X127" i="1"/>
  <c r="AT127" i="1" s="1"/>
  <c r="Y127" i="1"/>
  <c r="Z127" i="1"/>
  <c r="AA127" i="1"/>
  <c r="AW127" i="1" s="1"/>
  <c r="AB127" i="1"/>
  <c r="AC127" i="1"/>
  <c r="AD127" i="1"/>
  <c r="AE127" i="1"/>
  <c r="AF127" i="1"/>
  <c r="BB127" i="1"/>
  <c r="AG127" i="1"/>
  <c r="BC127" i="1" s="1"/>
  <c r="AH127" i="1"/>
  <c r="BD127" i="1" s="1"/>
  <c r="AI127" i="1"/>
  <c r="AJ127" i="1"/>
  <c r="BF127" i="1" s="1"/>
  <c r="AK127" i="1"/>
  <c r="BG127" i="1" s="1"/>
  <c r="AL127" i="1"/>
  <c r="BH127" i="1" s="1"/>
  <c r="AM127" i="1"/>
  <c r="AN127" i="1"/>
  <c r="AO127" i="1"/>
  <c r="AP127" i="1"/>
  <c r="BL127" i="1" s="1"/>
  <c r="AQ127" i="1"/>
  <c r="AR127" i="1"/>
  <c r="BN127" i="1"/>
  <c r="X128" i="1"/>
  <c r="AT128" i="1" s="1"/>
  <c r="Y128" i="1"/>
  <c r="AU128" i="1" s="1"/>
  <c r="Z128" i="1"/>
  <c r="AV128" i="1" s="1"/>
  <c r="AA128" i="1"/>
  <c r="AB128" i="1"/>
  <c r="AX128" i="1" s="1"/>
  <c r="AC128" i="1"/>
  <c r="AD128" i="1"/>
  <c r="AZ128" i="1" s="1"/>
  <c r="AE128" i="1"/>
  <c r="BA128" i="1"/>
  <c r="AF128" i="1"/>
  <c r="AG128" i="1"/>
  <c r="AH128" i="1"/>
  <c r="BD128" i="1" s="1"/>
  <c r="AI128" i="1"/>
  <c r="AJ128" i="1"/>
  <c r="AK128" i="1"/>
  <c r="BG128" i="1" s="1"/>
  <c r="AL128" i="1"/>
  <c r="BH128" i="1" s="1"/>
  <c r="AM128" i="1"/>
  <c r="BI128" i="1"/>
  <c r="AN128" i="1"/>
  <c r="AO128" i="1"/>
  <c r="BK128" i="1" s="1"/>
  <c r="AP128" i="1"/>
  <c r="AQ128" i="1"/>
  <c r="BM128" i="1"/>
  <c r="AR128" i="1"/>
  <c r="BN128" i="1" s="1"/>
  <c r="X129" i="1"/>
  <c r="Y129" i="1"/>
  <c r="Z129" i="1"/>
  <c r="AA129" i="1"/>
  <c r="AB129" i="1"/>
  <c r="AC129" i="1"/>
  <c r="AD129" i="1"/>
  <c r="AZ129" i="1"/>
  <c r="AE129" i="1"/>
  <c r="BA129" i="1" s="1"/>
  <c r="AF129" i="1"/>
  <c r="BB129" i="1" s="1"/>
  <c r="AG129" i="1"/>
  <c r="BC129" i="1" s="1"/>
  <c r="AH129" i="1"/>
  <c r="AI129" i="1"/>
  <c r="BE129" i="1" s="1"/>
  <c r="AJ129" i="1"/>
  <c r="AK129" i="1"/>
  <c r="AL129" i="1"/>
  <c r="AM129" i="1"/>
  <c r="AN129" i="1"/>
  <c r="AO129" i="1"/>
  <c r="BK129" i="1" s="1"/>
  <c r="AP129" i="1"/>
  <c r="BL129" i="1" s="1"/>
  <c r="AQ129" i="1"/>
  <c r="BM129" i="1" s="1"/>
  <c r="AR129" i="1"/>
  <c r="BN129" i="1" s="1"/>
  <c r="X130" i="1"/>
  <c r="AT130" i="1" s="1"/>
  <c r="Y130" i="1"/>
  <c r="AU130" i="1" s="1"/>
  <c r="Z130" i="1"/>
  <c r="AA130" i="1"/>
  <c r="AB130" i="1"/>
  <c r="AC130" i="1"/>
  <c r="AD130" i="1"/>
  <c r="AE130" i="1"/>
  <c r="AF130" i="1"/>
  <c r="AG130" i="1"/>
  <c r="BC130" i="1"/>
  <c r="AH130" i="1"/>
  <c r="BD130" i="1" s="1"/>
  <c r="AI130" i="1"/>
  <c r="BE130" i="1" s="1"/>
  <c r="AJ130" i="1"/>
  <c r="AK130" i="1"/>
  <c r="BG130" i="1"/>
  <c r="AL130" i="1"/>
  <c r="BH130" i="1" s="1"/>
  <c r="AM130" i="1"/>
  <c r="BI130" i="1" s="1"/>
  <c r="AN130" i="1"/>
  <c r="AO130" i="1"/>
  <c r="AP130" i="1"/>
  <c r="AQ130" i="1"/>
  <c r="AR130" i="1"/>
  <c r="X131" i="1"/>
  <c r="Y131" i="1"/>
  <c r="Z131" i="1"/>
  <c r="AV131" i="1" s="1"/>
  <c r="AA131" i="1"/>
  <c r="AW131" i="1" s="1"/>
  <c r="AB131" i="1"/>
  <c r="AX131" i="1"/>
  <c r="AC131" i="1"/>
  <c r="AY131" i="1" s="1"/>
  <c r="AD131" i="1"/>
  <c r="AZ131" i="1" s="1"/>
  <c r="AE131" i="1"/>
  <c r="BA131" i="1" s="1"/>
  <c r="AF131" i="1"/>
  <c r="BB131" i="1"/>
  <c r="AG131" i="1"/>
  <c r="AH131" i="1"/>
  <c r="AI131" i="1"/>
  <c r="BE131" i="1" s="1"/>
  <c r="AJ131" i="1"/>
  <c r="AK131" i="1"/>
  <c r="AL131" i="1"/>
  <c r="AM131" i="1"/>
  <c r="BI131" i="1" s="1"/>
  <c r="AN131" i="1"/>
  <c r="BJ131" i="1" s="1"/>
  <c r="AO131" i="1"/>
  <c r="AP131" i="1"/>
  <c r="BL131" i="1" s="1"/>
  <c r="AQ131" i="1"/>
  <c r="BM131" i="1" s="1"/>
  <c r="AR131" i="1"/>
  <c r="BN131" i="1"/>
  <c r="X132" i="1"/>
  <c r="AT132" i="1" s="1"/>
  <c r="Y132" i="1"/>
  <c r="Z132" i="1"/>
  <c r="AA132" i="1"/>
  <c r="AB132" i="1"/>
  <c r="AC132" i="1"/>
  <c r="AD132" i="1"/>
  <c r="AE132" i="1"/>
  <c r="BA132" i="1"/>
  <c r="AF132" i="1"/>
  <c r="BB132" i="1" s="1"/>
  <c r="AG132" i="1"/>
  <c r="BC132" i="1" s="1"/>
  <c r="AH132" i="1"/>
  <c r="BD132" i="1" s="1"/>
  <c r="AI132" i="1"/>
  <c r="BE132" i="1" s="1"/>
  <c r="AJ132" i="1"/>
  <c r="BF132" i="1" s="1"/>
  <c r="AK132" i="1"/>
  <c r="BG132" i="1" s="1"/>
  <c r="AL132" i="1"/>
  <c r="AM132" i="1"/>
  <c r="AN132" i="1"/>
  <c r="AO132" i="1"/>
  <c r="AP132" i="1"/>
  <c r="AQ132" i="1"/>
  <c r="BM132" i="1" s="1"/>
  <c r="AR132" i="1"/>
  <c r="X133" i="1"/>
  <c r="AT133" i="1" s="1"/>
  <c r="Y133" i="1"/>
  <c r="AU133" i="1" s="1"/>
  <c r="Z133" i="1"/>
  <c r="AV133" i="1" s="1"/>
  <c r="AA133" i="1"/>
  <c r="AB133" i="1"/>
  <c r="AC133" i="1"/>
  <c r="AY133" i="1" s="1"/>
  <c r="AD133" i="1"/>
  <c r="AE133" i="1"/>
  <c r="AF133" i="1"/>
  <c r="AG133" i="1"/>
  <c r="AH133" i="1"/>
  <c r="BD133" i="1"/>
  <c r="AI133" i="1"/>
  <c r="AJ133" i="1"/>
  <c r="AK133" i="1"/>
  <c r="AL133" i="1"/>
  <c r="BH134" i="1" s="1"/>
  <c r="BH133" i="1"/>
  <c r="AM133" i="1"/>
  <c r="AN133" i="1"/>
  <c r="BJ133" i="1" s="1"/>
  <c r="AO133" i="1"/>
  <c r="AP133" i="1"/>
  <c r="BL133" i="1" s="1"/>
  <c r="AQ133" i="1"/>
  <c r="BM133" i="1"/>
  <c r="AR133" i="1"/>
  <c r="X134" i="1"/>
  <c r="Y134" i="1"/>
  <c r="Z134" i="1"/>
  <c r="AV135" i="1" s="1"/>
  <c r="AA134" i="1"/>
  <c r="AW134" i="1"/>
  <c r="AB134" i="1"/>
  <c r="AX134" i="1"/>
  <c r="AC134" i="1"/>
  <c r="AD134" i="1"/>
  <c r="AZ134" i="1"/>
  <c r="AE134" i="1"/>
  <c r="AF134" i="1"/>
  <c r="BB134" i="1" s="1"/>
  <c r="AG134" i="1"/>
  <c r="BC135" i="1" s="1"/>
  <c r="BC134" i="1"/>
  <c r="AH134" i="1"/>
  <c r="BD135" i="1" s="1"/>
  <c r="BD134" i="1"/>
  <c r="AI134" i="1"/>
  <c r="BE134" i="1" s="1"/>
  <c r="AJ134" i="1"/>
  <c r="AK134" i="1"/>
  <c r="BG134" i="1" s="1"/>
  <c r="AL134" i="1"/>
  <c r="AM134" i="1"/>
  <c r="AN134" i="1"/>
  <c r="BJ134" i="1"/>
  <c r="AO134" i="1"/>
  <c r="BK135" i="1" s="1"/>
  <c r="BK134" i="1"/>
  <c r="AP134" i="1"/>
  <c r="BL135" i="1" s="1"/>
  <c r="AQ134" i="1"/>
  <c r="BM134" i="1" s="1"/>
  <c r="AR134" i="1"/>
  <c r="BN134" i="1"/>
  <c r="X135" i="1"/>
  <c r="Y135" i="1"/>
  <c r="AU135" i="1"/>
  <c r="Z135" i="1"/>
  <c r="AA135" i="1"/>
  <c r="AW135" i="1" s="1"/>
  <c r="AB135" i="1"/>
  <c r="AX136" i="1" s="1"/>
  <c r="AX135" i="1"/>
  <c r="AC135" i="1"/>
  <c r="AY136" i="1" s="1"/>
  <c r="AY135" i="1"/>
  <c r="AD135" i="1"/>
  <c r="AZ135" i="1"/>
  <c r="AE135" i="1"/>
  <c r="BA135" i="1"/>
  <c r="AF135" i="1"/>
  <c r="AG135" i="1"/>
  <c r="AH135" i="1"/>
  <c r="AI135" i="1"/>
  <c r="BE135" i="1"/>
  <c r="AJ135" i="1"/>
  <c r="BF136" i="1" s="1"/>
  <c r="AK135" i="1"/>
  <c r="BG136" i="1" s="1"/>
  <c r="BG135" i="1"/>
  <c r="AL135" i="1"/>
  <c r="BH135" i="1"/>
  <c r="AM135" i="1"/>
  <c r="BI135" i="1"/>
  <c r="AN135" i="1"/>
  <c r="BJ136" i="1" s="1"/>
  <c r="AO135" i="1"/>
  <c r="AP135" i="1"/>
  <c r="AQ135" i="1"/>
  <c r="AR135" i="1"/>
  <c r="BN135" i="1"/>
  <c r="X136" i="1"/>
  <c r="AT137" i="1" s="1"/>
  <c r="Y136" i="1"/>
  <c r="AU137" i="1" s="1"/>
  <c r="AU136" i="1"/>
  <c r="Z136" i="1"/>
  <c r="AV136" i="1"/>
  <c r="AA136" i="1"/>
  <c r="AB136" i="1"/>
  <c r="AC136" i="1"/>
  <c r="AD136" i="1"/>
  <c r="AZ136" i="1" s="1"/>
  <c r="AE136" i="1"/>
  <c r="BA136" i="1"/>
  <c r="AF136" i="1"/>
  <c r="BB137" i="1" s="1"/>
  <c r="BB136" i="1"/>
  <c r="AG136" i="1"/>
  <c r="BC136" i="1" s="1"/>
  <c r="AH136" i="1"/>
  <c r="BD136" i="1"/>
  <c r="AI136" i="1"/>
  <c r="BE136" i="1" s="1"/>
  <c r="AJ136" i="1"/>
  <c r="AK136" i="1"/>
  <c r="AL136" i="1"/>
  <c r="BH136" i="1" s="1"/>
  <c r="AM136" i="1"/>
  <c r="BI136" i="1" s="1"/>
  <c r="AN136" i="1"/>
  <c r="BJ137" i="1" s="1"/>
  <c r="AO136" i="1"/>
  <c r="BK136" i="1"/>
  <c r="AP136" i="1"/>
  <c r="BL136" i="1"/>
  <c r="AQ136" i="1"/>
  <c r="BM136" i="1" s="1"/>
  <c r="AR136" i="1"/>
  <c r="BN136" i="1"/>
  <c r="X137" i="1"/>
  <c r="Y137" i="1"/>
  <c r="Z137" i="1"/>
  <c r="AV137" i="1" s="1"/>
  <c r="AA137" i="1"/>
  <c r="AW138" i="1" s="1"/>
  <c r="AB137" i="1"/>
  <c r="AX137" i="1"/>
  <c r="AC137" i="1"/>
  <c r="AY137" i="1"/>
  <c r="AD137" i="1"/>
  <c r="AZ137" i="1" s="1"/>
  <c r="AE137" i="1"/>
  <c r="BA137" i="1"/>
  <c r="AF137" i="1"/>
  <c r="AG137" i="1"/>
  <c r="BC137" i="1"/>
  <c r="AH137" i="1"/>
  <c r="BD138" i="1" s="1"/>
  <c r="BD137" i="1"/>
  <c r="AI137" i="1"/>
  <c r="BE138" i="1" s="1"/>
  <c r="AJ137" i="1"/>
  <c r="BF137" i="1" s="1"/>
  <c r="AK137" i="1"/>
  <c r="BG137" i="1"/>
  <c r="AL137" i="1"/>
  <c r="BH137" i="1" s="1"/>
  <c r="AM137" i="1"/>
  <c r="BI137" i="1"/>
  <c r="AN137" i="1"/>
  <c r="AO137" i="1"/>
  <c r="BK137" i="1"/>
  <c r="AP137" i="1"/>
  <c r="BL138" i="1" s="1"/>
  <c r="BL137" i="1"/>
  <c r="AQ137" i="1"/>
  <c r="BM138" i="1" s="1"/>
  <c r="AR137" i="1"/>
  <c r="BN137" i="1" s="1"/>
  <c r="X138" i="1"/>
  <c r="AT138" i="1"/>
  <c r="Y138" i="1"/>
  <c r="Z138" i="1"/>
  <c r="AV138" i="1"/>
  <c r="AA138" i="1"/>
  <c r="AB138" i="1"/>
  <c r="AX138" i="1" s="1"/>
  <c r="AC138" i="1"/>
  <c r="AY139" i="1" s="1"/>
  <c r="AY138" i="1"/>
  <c r="AD138" i="1"/>
  <c r="AZ139" i="1" s="1"/>
  <c r="AZ138" i="1"/>
  <c r="AE138" i="1"/>
  <c r="BA138" i="1" s="1"/>
  <c r="AF138" i="1"/>
  <c r="BB138" i="1"/>
  <c r="AG138" i="1"/>
  <c r="AH138" i="1"/>
  <c r="AI138" i="1"/>
  <c r="AJ138" i="1"/>
  <c r="BF138" i="1"/>
  <c r="AK138" i="1"/>
  <c r="BG138" i="1" s="1"/>
  <c r="AL138" i="1"/>
  <c r="BH139" i="1" s="1"/>
  <c r="BH138" i="1"/>
  <c r="AM138" i="1"/>
  <c r="BI138" i="1"/>
  <c r="AN138" i="1"/>
  <c r="BJ138" i="1"/>
  <c r="AO138" i="1"/>
  <c r="BK139" i="1" s="1"/>
  <c r="AP138" i="1"/>
  <c r="AQ138" i="1"/>
  <c r="AR138" i="1"/>
  <c r="X139" i="1"/>
  <c r="AT139" i="1"/>
  <c r="Y139" i="1"/>
  <c r="AU140" i="1" s="1"/>
  <c r="Z139" i="1"/>
  <c r="AV139" i="1"/>
  <c r="AA139" i="1"/>
  <c r="AW139" i="1"/>
  <c r="AB139" i="1"/>
  <c r="AX139" i="1" s="1"/>
  <c r="AC139" i="1"/>
  <c r="AD139" i="1"/>
  <c r="AE139" i="1"/>
  <c r="BA139" i="1" s="1"/>
  <c r="AF139" i="1"/>
  <c r="BB139" i="1"/>
  <c r="AG139" i="1"/>
  <c r="BC140" i="1" s="1"/>
  <c r="BC139" i="1"/>
  <c r="AH139" i="1"/>
  <c r="BD139" i="1" s="1"/>
  <c r="AI139" i="1"/>
  <c r="BE139" i="1"/>
  <c r="AJ139" i="1"/>
  <c r="BF139" i="1" s="1"/>
  <c r="AK139" i="1"/>
  <c r="BG139" i="1"/>
  <c r="AL139" i="1"/>
  <c r="AM139" i="1"/>
  <c r="BI139" i="1" s="1"/>
  <c r="AN139" i="1"/>
  <c r="BJ139" i="1" s="1"/>
  <c r="AO139" i="1"/>
  <c r="AP139" i="1"/>
  <c r="BL139" i="1"/>
  <c r="AQ139" i="1"/>
  <c r="BM139" i="1"/>
  <c r="AR139" i="1"/>
  <c r="BN139" i="1" s="1"/>
  <c r="X140" i="1"/>
  <c r="AT140" i="1"/>
  <c r="Y140" i="1"/>
  <c r="Z140" i="1"/>
  <c r="AV140" i="1" s="1"/>
  <c r="AA140" i="1"/>
  <c r="AW140" i="1" s="1"/>
  <c r="AB140" i="1"/>
  <c r="AX141" i="1" s="1"/>
  <c r="AC140" i="1"/>
  <c r="AY140" i="1"/>
  <c r="AD140" i="1"/>
  <c r="AZ140" i="1"/>
  <c r="AE140" i="1"/>
  <c r="BA140" i="1" s="1"/>
  <c r="AF140" i="1"/>
  <c r="BB140" i="1"/>
  <c r="AG140" i="1"/>
  <c r="AH140" i="1"/>
  <c r="BD140" i="1"/>
  <c r="AI140" i="1"/>
  <c r="BE140" i="1" s="1"/>
  <c r="AJ140" i="1"/>
  <c r="BF141" i="1" s="1"/>
  <c r="AK140" i="1"/>
  <c r="BG140" i="1" s="1"/>
  <c r="AL140" i="1"/>
  <c r="BH140" i="1"/>
  <c r="AM140" i="1"/>
  <c r="BI140" i="1" s="1"/>
  <c r="AN140" i="1"/>
  <c r="BJ140" i="1"/>
  <c r="AO140" i="1"/>
  <c r="BK140" i="1"/>
  <c r="AP140" i="1"/>
  <c r="BL140" i="1"/>
  <c r="AQ140" i="1"/>
  <c r="BM140" i="1" s="1"/>
  <c r="AR140" i="1"/>
  <c r="BN141" i="1" s="1"/>
  <c r="X141" i="1"/>
  <c r="AT141" i="1"/>
  <c r="Y141" i="1"/>
  <c r="AU141" i="1"/>
  <c r="Z141" i="1"/>
  <c r="AA141" i="1"/>
  <c r="AW141" i="1"/>
  <c r="AB141" i="1"/>
  <c r="AC141" i="1"/>
  <c r="AY141" i="1"/>
  <c r="AD141" i="1"/>
  <c r="AZ142" i="1" s="1"/>
  <c r="AZ141" i="1"/>
  <c r="AE141" i="1"/>
  <c r="BA142" i="1" s="1"/>
  <c r="AF141" i="1"/>
  <c r="BB141" i="1"/>
  <c r="AG141" i="1"/>
  <c r="BC141" i="1"/>
  <c r="AH141" i="1"/>
  <c r="AI141" i="1"/>
  <c r="AJ141" i="1"/>
  <c r="AK141" i="1"/>
  <c r="BG141" i="1" s="1"/>
  <c r="AL141" i="1"/>
  <c r="BH142" i="1" s="1"/>
  <c r="BH141" i="1"/>
  <c r="AM141" i="1"/>
  <c r="BI142" i="1" s="1"/>
  <c r="BI141" i="1"/>
  <c r="AN141" i="1"/>
  <c r="BJ141" i="1" s="1"/>
  <c r="AO141" i="1"/>
  <c r="BK141" i="1"/>
  <c r="AP141" i="1"/>
  <c r="AQ141" i="1"/>
  <c r="AR141" i="1"/>
  <c r="X142" i="1"/>
  <c r="AT142" i="1"/>
  <c r="Y142" i="1"/>
  <c r="AU142" i="1" s="1"/>
  <c r="Z142" i="1"/>
  <c r="AV143" i="1" s="1"/>
  <c r="AV142" i="1"/>
  <c r="AA142" i="1"/>
  <c r="AW143" i="1" s="1"/>
  <c r="AW142" i="1"/>
  <c r="AB142" i="1"/>
  <c r="AX142" i="1"/>
  <c r="AC142" i="1"/>
  <c r="AD142" i="1"/>
  <c r="AE142" i="1"/>
  <c r="AF142" i="1"/>
  <c r="BB142" i="1" s="1"/>
  <c r="AG142" i="1"/>
  <c r="BC142" i="1"/>
  <c r="AH142" i="1"/>
  <c r="BD142" i="1" s="1"/>
  <c r="AI142" i="1"/>
  <c r="BE142" i="1"/>
  <c r="AJ142" i="1"/>
  <c r="BF142" i="1"/>
  <c r="AK142" i="1"/>
  <c r="BG142" i="1" s="1"/>
  <c r="AL142" i="1"/>
  <c r="AM142" i="1"/>
  <c r="AN142" i="1"/>
  <c r="AO142" i="1"/>
  <c r="BK142" i="1" s="1"/>
  <c r="AP142" i="1"/>
  <c r="BL142" i="1"/>
  <c r="AQ142" i="1"/>
  <c r="BM142" i="1" s="1"/>
  <c r="AR142" i="1"/>
  <c r="BN142" i="1"/>
  <c r="X143" i="1"/>
  <c r="AT143" i="1" s="1"/>
  <c r="Y143" i="1"/>
  <c r="AU143" i="1"/>
  <c r="Z143" i="1"/>
  <c r="AA143" i="1"/>
  <c r="AB143" i="1"/>
  <c r="AX143" i="1"/>
  <c r="AC143" i="1"/>
  <c r="AY143" i="1" s="1"/>
  <c r="AD143" i="1"/>
  <c r="AZ143" i="1"/>
  <c r="AE143" i="1"/>
  <c r="BA143" i="1"/>
  <c r="AF143" i="1"/>
  <c r="BB143" i="1" s="1"/>
  <c r="AG143" i="1"/>
  <c r="BC143" i="1"/>
  <c r="AH143" i="1"/>
  <c r="BD143" i="1"/>
  <c r="AI143" i="1"/>
  <c r="BE143" i="1" s="1"/>
  <c r="AJ143" i="1"/>
  <c r="BF143" i="1" s="1"/>
  <c r="AK143" i="1"/>
  <c r="BG143" i="1" s="1"/>
  <c r="AL143" i="1"/>
  <c r="BH143" i="1"/>
  <c r="AM143" i="1"/>
  <c r="BI143" i="1"/>
  <c r="AN143" i="1"/>
  <c r="BJ143" i="1" s="1"/>
  <c r="AO143" i="1"/>
  <c r="BK143" i="1"/>
  <c r="AP143" i="1"/>
  <c r="BL143" i="1"/>
  <c r="AQ143" i="1"/>
  <c r="BM143" i="1" s="1"/>
  <c r="AR143" i="1"/>
  <c r="BN143" i="1"/>
  <c r="X144" i="1"/>
  <c r="Y144" i="1"/>
  <c r="AU144" i="1" s="1"/>
  <c r="Z144" i="1"/>
  <c r="AV144" i="1"/>
  <c r="AA144" i="1"/>
  <c r="AW144" i="1" s="1"/>
  <c r="AB144" i="1"/>
  <c r="AX144" i="1"/>
  <c r="AC144" i="1"/>
  <c r="AY144" i="1"/>
  <c r="AD144" i="1"/>
  <c r="AZ144" i="1"/>
  <c r="AE144" i="1"/>
  <c r="BA144" i="1" s="1"/>
  <c r="AF144" i="1"/>
  <c r="BB144" i="1" s="1"/>
  <c r="AG144" i="1"/>
  <c r="BC144" i="1" s="1"/>
  <c r="AH144" i="1"/>
  <c r="BD144" i="1"/>
  <c r="AI144" i="1"/>
  <c r="AJ144" i="1"/>
  <c r="BF144" i="1"/>
  <c r="AK144" i="1"/>
  <c r="BG144" i="1"/>
  <c r="AL144" i="1"/>
  <c r="BH144" i="1"/>
  <c r="AM144" i="1"/>
  <c r="BI144" i="1" s="1"/>
  <c r="AN144" i="1"/>
  <c r="AO144" i="1"/>
  <c r="BK144" i="1"/>
  <c r="AP144" i="1"/>
  <c r="BL144" i="1"/>
  <c r="AQ144" i="1"/>
  <c r="AR144" i="1"/>
  <c r="BN144" i="1"/>
  <c r="X145" i="1"/>
  <c r="AT145" i="1"/>
  <c r="Y145" i="1"/>
  <c r="AU145" i="1"/>
  <c r="Z145" i="1"/>
  <c r="AV145" i="1"/>
  <c r="AA145" i="1"/>
  <c r="AW145" i="1" s="1"/>
  <c r="AB145" i="1"/>
  <c r="AX145" i="1" s="1"/>
  <c r="AC145" i="1"/>
  <c r="AY145" i="1"/>
  <c r="AD145" i="1"/>
  <c r="AE145" i="1"/>
  <c r="AF145" i="1"/>
  <c r="BB145" i="1"/>
  <c r="AG145" i="1"/>
  <c r="BC145" i="1"/>
  <c r="AH145" i="1"/>
  <c r="BD145" i="1"/>
  <c r="AI145" i="1"/>
  <c r="BE145" i="1" s="1"/>
  <c r="AJ145" i="1"/>
  <c r="BF145" i="1"/>
  <c r="AK145" i="1"/>
  <c r="BG145" i="1"/>
  <c r="AL145" i="1"/>
  <c r="AM145" i="1"/>
  <c r="AN145" i="1"/>
  <c r="BJ145" i="1"/>
  <c r="AO145" i="1"/>
  <c r="BK145" i="1" s="1"/>
  <c r="AP145" i="1"/>
  <c r="BL145" i="1"/>
  <c r="AQ145" i="1"/>
  <c r="BM145" i="1"/>
  <c r="AR145" i="1"/>
  <c r="BN145" i="1" s="1"/>
  <c r="Y2" i="1"/>
  <c r="Z2" i="1"/>
  <c r="AV3" i="1" s="1"/>
  <c r="AA2" i="1"/>
  <c r="AW3" i="1" s="1"/>
  <c r="AB2" i="1"/>
  <c r="AC2" i="1"/>
  <c r="AD2" i="1"/>
  <c r="AZ3" i="1" s="1"/>
  <c r="AE2" i="1"/>
  <c r="AF2" i="1"/>
  <c r="BB3" i="1" s="1"/>
  <c r="AG2" i="1"/>
  <c r="BC3" i="1" s="1"/>
  <c r="AH2" i="1"/>
  <c r="BD3" i="1" s="1"/>
  <c r="AI2" i="1"/>
  <c r="AJ2" i="1"/>
  <c r="BF3" i="1" s="1"/>
  <c r="AK2" i="1"/>
  <c r="AL2" i="1"/>
  <c r="BH3" i="1" s="1"/>
  <c r="AM2" i="1"/>
  <c r="AN2" i="1"/>
  <c r="BJ3" i="1" s="1"/>
  <c r="AO2" i="1"/>
  <c r="AP2" i="1"/>
  <c r="BL3" i="1" s="1"/>
  <c r="AQ2" i="1"/>
  <c r="AR2" i="1"/>
  <c r="X2" i="1"/>
  <c r="AT3" i="1" s="1"/>
  <c r="BN3" i="1"/>
  <c r="AX3" i="1"/>
  <c r="AU73" i="1"/>
  <c r="BN72" i="1"/>
  <c r="BL72" i="1"/>
  <c r="BJ72" i="1"/>
  <c r="BH72" i="1"/>
  <c r="BF72" i="1"/>
  <c r="BD72" i="1"/>
  <c r="BB72" i="1"/>
  <c r="AZ72" i="1"/>
  <c r="AX72" i="1"/>
  <c r="AV72" i="1"/>
  <c r="AT72" i="1"/>
  <c r="BM71" i="1"/>
  <c r="BK71" i="1"/>
  <c r="BI71" i="1"/>
  <c r="BG71" i="1"/>
  <c r="BE71" i="1"/>
  <c r="BC71" i="1"/>
  <c r="BA71" i="1"/>
  <c r="AY71" i="1"/>
  <c r="AW71" i="1"/>
  <c r="AU71" i="1"/>
  <c r="BN70" i="1"/>
  <c r="BL70" i="1"/>
  <c r="BJ70" i="1"/>
  <c r="BF70" i="1"/>
  <c r="AZ70" i="1"/>
  <c r="AX70" i="1"/>
  <c r="AV70" i="1"/>
  <c r="BM69" i="1"/>
  <c r="BK69" i="1"/>
  <c r="BI69" i="1"/>
  <c r="BG69" i="1"/>
  <c r="BE69" i="1"/>
  <c r="BC69" i="1"/>
  <c r="BA69" i="1"/>
  <c r="AW69" i="1"/>
  <c r="AU69" i="1"/>
  <c r="BN68" i="1"/>
  <c r="BL68" i="1"/>
  <c r="BJ68" i="1"/>
  <c r="BH68" i="1"/>
  <c r="BF68" i="1"/>
  <c r="BD68" i="1"/>
  <c r="BB68" i="1"/>
  <c r="AZ68" i="1"/>
  <c r="AX68" i="1"/>
  <c r="AV68" i="1"/>
  <c r="AT68" i="1"/>
  <c r="BM67" i="1"/>
  <c r="BK67" i="1"/>
  <c r="BI67" i="1"/>
  <c r="BE67" i="1"/>
  <c r="BC67" i="1"/>
  <c r="BA67" i="1"/>
  <c r="AY67" i="1"/>
  <c r="AW67" i="1"/>
  <c r="BN66" i="1"/>
  <c r="BL66" i="1"/>
  <c r="BJ66" i="1"/>
  <c r="BH66" i="1"/>
  <c r="BF66" i="1"/>
  <c r="BD66" i="1"/>
  <c r="BB66" i="1"/>
  <c r="AZ66" i="1"/>
  <c r="AX66" i="1"/>
  <c r="AV66" i="1"/>
  <c r="AT66" i="1"/>
  <c r="BM65" i="1"/>
  <c r="BK65" i="1"/>
  <c r="BI65" i="1"/>
  <c r="BE65" i="1"/>
  <c r="BC65" i="1"/>
  <c r="BA65" i="1"/>
  <c r="AY65" i="1"/>
  <c r="AW65" i="1"/>
  <c r="AU65" i="1"/>
  <c r="BN64" i="1"/>
  <c r="BL64" i="1"/>
  <c r="BJ64" i="1"/>
  <c r="BH64" i="1"/>
  <c r="BF64" i="1"/>
  <c r="BD64" i="1"/>
  <c r="BB64" i="1"/>
  <c r="AZ64" i="1"/>
  <c r="AX64" i="1"/>
  <c r="AV64" i="1"/>
  <c r="AT64" i="1"/>
  <c r="BK63" i="1"/>
  <c r="BI63" i="1"/>
  <c r="BG63" i="1"/>
  <c r="BE63" i="1"/>
  <c r="BC63" i="1"/>
  <c r="BA63" i="1"/>
  <c r="AY63" i="1"/>
  <c r="AU63" i="1"/>
  <c r="BN62" i="1"/>
  <c r="BJ62" i="1"/>
  <c r="BH62" i="1"/>
  <c r="BD62" i="1"/>
  <c r="BB62" i="1"/>
  <c r="AZ62" i="1"/>
  <c r="AX62" i="1"/>
  <c r="AV62" i="1"/>
  <c r="BM61" i="1"/>
  <c r="BK61" i="1"/>
  <c r="BI61" i="1"/>
  <c r="BG61" i="1"/>
  <c r="BE61" i="1"/>
  <c r="BC61" i="1"/>
  <c r="BA61" i="1"/>
  <c r="AW61" i="1"/>
  <c r="AU61" i="1"/>
  <c r="BN60" i="1"/>
  <c r="BL60" i="1"/>
  <c r="BJ60" i="1"/>
  <c r="BH60" i="1"/>
  <c r="BF60" i="1"/>
  <c r="BD60" i="1"/>
  <c r="BB60" i="1"/>
  <c r="AZ60" i="1"/>
  <c r="AX60" i="1"/>
  <c r="AT60" i="1"/>
  <c r="BM59" i="1"/>
  <c r="BK59" i="1"/>
  <c r="BI59" i="1"/>
  <c r="BG59" i="1"/>
  <c r="BC59" i="1"/>
  <c r="BA59" i="1"/>
  <c r="AY59" i="1"/>
  <c r="AW59" i="1"/>
  <c r="AU59" i="1"/>
  <c r="BN58" i="1"/>
  <c r="BL58" i="1"/>
  <c r="BJ58" i="1"/>
  <c r="BH58" i="1"/>
  <c r="BF58" i="1"/>
  <c r="BD58" i="1"/>
  <c r="BB58" i="1"/>
  <c r="AZ58" i="1"/>
  <c r="AV58" i="1"/>
  <c r="AT58" i="1"/>
  <c r="BM57" i="1"/>
  <c r="BK57" i="1"/>
  <c r="BI57" i="1"/>
  <c r="BG57" i="1"/>
  <c r="BE57" i="1"/>
  <c r="BC57" i="1"/>
  <c r="BA57" i="1"/>
  <c r="AY57" i="1"/>
  <c r="AW57" i="1"/>
  <c r="AU57" i="1"/>
  <c r="BN56" i="1"/>
  <c r="BL56" i="1"/>
  <c r="BH56" i="1"/>
  <c r="BF56" i="1"/>
  <c r="BB56" i="1"/>
  <c r="AZ56" i="1"/>
  <c r="AX56" i="1"/>
  <c r="AT56" i="1"/>
  <c r="BM55" i="1"/>
  <c r="BK55" i="1"/>
  <c r="BI55" i="1"/>
  <c r="BG55" i="1"/>
  <c r="BE55" i="1"/>
  <c r="BC55" i="1"/>
  <c r="AW55" i="1"/>
  <c r="BN54" i="1"/>
  <c r="BL54" i="1"/>
  <c r="BJ54" i="1"/>
  <c r="BD54" i="1"/>
  <c r="AZ54" i="1"/>
  <c r="AX54" i="1"/>
  <c r="AV54" i="1"/>
  <c r="AT54" i="1"/>
  <c r="BI53" i="1"/>
  <c r="BE53" i="1"/>
  <c r="BC53" i="1"/>
  <c r="BA53" i="1"/>
  <c r="AY53" i="1"/>
  <c r="BN52" i="1"/>
  <c r="BJ52" i="1"/>
  <c r="BH52" i="1"/>
  <c r="BF52" i="1"/>
  <c r="BD52" i="1"/>
  <c r="AZ52" i="1"/>
  <c r="AX52" i="1"/>
  <c r="AT52" i="1"/>
  <c r="BM51" i="1"/>
  <c r="BK51" i="1"/>
  <c r="BI51" i="1"/>
  <c r="BG51" i="1"/>
  <c r="BE51" i="1"/>
  <c r="BC51" i="1"/>
  <c r="AY51" i="1"/>
  <c r="AW51" i="1"/>
  <c r="AU51" i="1"/>
  <c r="BJ50" i="1"/>
  <c r="BD50" i="1"/>
  <c r="BB50" i="1"/>
  <c r="AZ50" i="1"/>
  <c r="AX50" i="1"/>
  <c r="AV50" i="1"/>
  <c r="AT50" i="1"/>
  <c r="BM49" i="1"/>
  <c r="BK49" i="1"/>
  <c r="BI49" i="1"/>
  <c r="BG49" i="1"/>
  <c r="BE49" i="1"/>
  <c r="BC49" i="1"/>
  <c r="BA49" i="1"/>
  <c r="AY49" i="1"/>
  <c r="AW49" i="1"/>
  <c r="AU49" i="1"/>
  <c r="BN48" i="1"/>
  <c r="BL48" i="1"/>
  <c r="BJ48" i="1"/>
  <c r="BH48" i="1"/>
  <c r="BF48" i="1"/>
  <c r="BD48" i="1"/>
  <c r="BB48" i="1"/>
  <c r="AZ48" i="1"/>
  <c r="AX48" i="1"/>
  <c r="AV48" i="1"/>
  <c r="AT48" i="1"/>
  <c r="BM47" i="1"/>
  <c r="BK47" i="1"/>
  <c r="BI47" i="1"/>
  <c r="BG47" i="1"/>
  <c r="BE47" i="1"/>
  <c r="BC47" i="1"/>
  <c r="BA47" i="1"/>
  <c r="AW47" i="1"/>
  <c r="AU47" i="1"/>
  <c r="BL46" i="1"/>
  <c r="BJ46" i="1"/>
  <c r="BH46" i="1"/>
  <c r="BF46" i="1"/>
  <c r="BD46" i="1"/>
  <c r="BB46" i="1"/>
  <c r="AZ46" i="1"/>
  <c r="AX46" i="1"/>
  <c r="AV46" i="1"/>
  <c r="AT46" i="1"/>
  <c r="BM45" i="1"/>
  <c r="BI45" i="1"/>
  <c r="BG45" i="1"/>
  <c r="BE45" i="1"/>
  <c r="BC45" i="1"/>
  <c r="BA45" i="1"/>
  <c r="AY45" i="1"/>
  <c r="AW45" i="1"/>
  <c r="AU45" i="1"/>
  <c r="BN44" i="1"/>
  <c r="BJ44" i="1"/>
  <c r="BH44" i="1"/>
  <c r="BF44" i="1"/>
  <c r="BD44" i="1"/>
  <c r="BB44" i="1"/>
  <c r="AZ44" i="1"/>
  <c r="AX44" i="1"/>
  <c r="AV44" i="1"/>
  <c r="AT44" i="1"/>
  <c r="BM43" i="1"/>
  <c r="BK43" i="1"/>
  <c r="BI43" i="1"/>
  <c r="BG43" i="1"/>
  <c r="BE43" i="1"/>
  <c r="BC43" i="1"/>
  <c r="BA43" i="1"/>
  <c r="AY43" i="1"/>
  <c r="AW43" i="1"/>
  <c r="BN42" i="1"/>
  <c r="BL42" i="1"/>
  <c r="BH42" i="1"/>
  <c r="BF42" i="1"/>
  <c r="BD42" i="1"/>
  <c r="BB42" i="1"/>
  <c r="AZ42" i="1"/>
  <c r="AX42" i="1"/>
  <c r="AV42" i="1"/>
  <c r="AT42" i="1"/>
  <c r="BM41" i="1"/>
  <c r="BK41" i="1"/>
  <c r="BI41" i="1"/>
  <c r="BG41" i="1"/>
  <c r="BE41" i="1"/>
  <c r="BC41" i="1"/>
  <c r="BA41" i="1"/>
  <c r="AY41" i="1"/>
  <c r="AW41" i="1"/>
  <c r="AU41" i="1"/>
  <c r="BN40" i="1"/>
  <c r="BL40" i="1"/>
  <c r="BJ40" i="1"/>
  <c r="BH40" i="1"/>
  <c r="BF40" i="1"/>
  <c r="BD40" i="1"/>
  <c r="BB40" i="1"/>
  <c r="AZ40" i="1"/>
  <c r="AX40" i="1"/>
  <c r="AV40" i="1"/>
  <c r="AT40" i="1"/>
  <c r="BM39" i="1"/>
  <c r="BK39" i="1"/>
  <c r="BI39" i="1"/>
  <c r="BG39" i="1"/>
  <c r="BE39" i="1"/>
  <c r="BC39" i="1"/>
  <c r="BA39" i="1"/>
  <c r="AY39" i="1"/>
  <c r="AW39" i="1"/>
  <c r="AU39" i="1"/>
  <c r="BN38" i="1"/>
  <c r="BL38" i="1"/>
  <c r="BJ38" i="1"/>
  <c r="BH38" i="1"/>
  <c r="BF38" i="1"/>
  <c r="BD38" i="1"/>
  <c r="BB38" i="1"/>
  <c r="AZ38" i="1"/>
  <c r="AX38" i="1"/>
  <c r="AV38" i="1"/>
  <c r="AT38" i="1"/>
  <c r="BM37" i="1"/>
  <c r="BK37" i="1"/>
  <c r="BI37" i="1"/>
  <c r="BG37" i="1"/>
  <c r="BE37" i="1"/>
  <c r="BC37" i="1"/>
  <c r="BA37" i="1"/>
  <c r="AY37" i="1"/>
  <c r="AW37" i="1"/>
  <c r="AU37" i="1"/>
  <c r="BL36" i="1"/>
  <c r="BJ36" i="1"/>
  <c r="BH36" i="1"/>
  <c r="BF36" i="1"/>
  <c r="BD36" i="1"/>
  <c r="BB36" i="1"/>
  <c r="AZ36" i="1"/>
  <c r="AX36" i="1"/>
  <c r="AV36" i="1"/>
  <c r="AT36" i="1"/>
  <c r="BM35" i="1"/>
  <c r="BK35" i="1"/>
  <c r="BG35" i="1"/>
  <c r="BE35" i="1"/>
  <c r="BA35" i="1"/>
  <c r="AY35" i="1"/>
  <c r="AW35" i="1"/>
  <c r="AU35" i="1"/>
  <c r="BN34" i="1"/>
  <c r="BL34" i="1"/>
  <c r="BJ34" i="1"/>
  <c r="BH34" i="1"/>
  <c r="BF34" i="1"/>
  <c r="BD34" i="1"/>
  <c r="BB34" i="1"/>
  <c r="AZ34" i="1"/>
  <c r="AX34" i="1"/>
  <c r="AT34" i="1"/>
  <c r="BM33" i="1"/>
  <c r="BK33" i="1"/>
  <c r="BI33" i="1"/>
  <c r="BG33" i="1"/>
  <c r="BE33" i="1"/>
  <c r="BC33" i="1"/>
  <c r="BA33" i="1"/>
  <c r="AY33" i="1"/>
  <c r="AW33" i="1"/>
  <c r="AU33" i="1"/>
  <c r="BN32" i="1"/>
  <c r="BL32" i="1"/>
  <c r="BJ32" i="1"/>
  <c r="BF32" i="1"/>
  <c r="BD32" i="1"/>
  <c r="AZ32" i="1"/>
  <c r="AX32" i="1"/>
  <c r="AV32" i="1"/>
  <c r="AT32" i="1"/>
  <c r="BM31" i="1"/>
  <c r="BK31" i="1"/>
  <c r="BI31" i="1"/>
  <c r="BG31" i="1"/>
  <c r="BE31" i="1"/>
  <c r="BC31" i="1"/>
  <c r="BA31" i="1"/>
  <c r="AY31" i="1"/>
  <c r="AW31" i="1"/>
  <c r="AU31" i="1"/>
  <c r="BN30" i="1"/>
  <c r="BL30" i="1"/>
  <c r="BJ30" i="1"/>
  <c r="BH30" i="1"/>
  <c r="BF30" i="1"/>
  <c r="BD30" i="1"/>
  <c r="BB30" i="1"/>
  <c r="AZ30" i="1"/>
  <c r="AX30" i="1"/>
  <c r="AV30" i="1"/>
  <c r="AT30" i="1"/>
  <c r="BM29" i="1"/>
  <c r="BK29" i="1"/>
  <c r="BI29" i="1"/>
  <c r="BG29" i="1"/>
  <c r="BC29" i="1"/>
  <c r="BA29" i="1"/>
  <c r="AY29" i="1"/>
  <c r="AW29" i="1"/>
  <c r="BN28" i="1"/>
  <c r="BL28" i="1"/>
  <c r="BJ28" i="1"/>
  <c r="BH28" i="1"/>
  <c r="BF28" i="1"/>
  <c r="BD28" i="1"/>
  <c r="BB28" i="1"/>
  <c r="AZ28" i="1"/>
  <c r="AX28" i="1"/>
  <c r="BM27" i="1"/>
  <c r="BK27" i="1"/>
  <c r="BI27" i="1"/>
  <c r="BG27" i="1"/>
  <c r="BC27" i="1"/>
  <c r="BA27" i="1"/>
  <c r="AY27" i="1"/>
  <c r="AW27" i="1"/>
  <c r="AU27" i="1"/>
  <c r="BN26" i="1"/>
  <c r="BL26" i="1"/>
  <c r="BJ26" i="1"/>
  <c r="BH26" i="1"/>
  <c r="BB26" i="1"/>
  <c r="AZ26" i="1"/>
  <c r="AX26" i="1"/>
  <c r="AV26" i="1"/>
  <c r="AT26" i="1"/>
  <c r="BM25" i="1"/>
  <c r="BK25" i="1"/>
  <c r="BI25" i="1"/>
  <c r="BG25" i="1"/>
  <c r="BE25" i="1"/>
  <c r="BC25" i="1"/>
  <c r="BA25" i="1"/>
  <c r="AY25" i="1"/>
  <c r="AW25" i="1"/>
  <c r="BN24" i="1"/>
  <c r="BL24" i="1"/>
  <c r="BJ24" i="1"/>
  <c r="BH24" i="1"/>
  <c r="BF24" i="1"/>
  <c r="BD24" i="1"/>
  <c r="BB24" i="1"/>
  <c r="AZ24" i="1"/>
  <c r="AX24" i="1"/>
  <c r="AV24" i="1"/>
  <c r="AT24" i="1"/>
  <c r="BM23" i="1"/>
  <c r="BK23" i="1"/>
  <c r="BI23" i="1"/>
  <c r="BG23" i="1"/>
  <c r="BC23" i="1"/>
  <c r="BA23" i="1"/>
  <c r="AY23" i="1"/>
  <c r="AW23" i="1"/>
  <c r="AU23" i="1"/>
  <c r="BN22" i="1"/>
  <c r="BL22" i="1"/>
  <c r="BJ22" i="1"/>
  <c r="BH22" i="1"/>
  <c r="BF22" i="1"/>
  <c r="BD22" i="1"/>
  <c r="BB22" i="1"/>
  <c r="AZ22" i="1"/>
  <c r="AX22" i="1"/>
  <c r="AV22" i="1"/>
  <c r="AT22" i="1"/>
  <c r="BM21" i="1"/>
  <c r="BK21" i="1"/>
  <c r="BI21" i="1"/>
  <c r="BG21" i="1"/>
  <c r="BE21" i="1"/>
  <c r="BC21" i="1"/>
  <c r="BA21" i="1"/>
  <c r="AY21" i="1"/>
  <c r="AW21" i="1"/>
  <c r="AU21" i="1"/>
  <c r="BN20" i="1"/>
  <c r="BL20" i="1"/>
  <c r="BJ20" i="1"/>
  <c r="BH20" i="1"/>
  <c r="BF20" i="1"/>
  <c r="BD20" i="1"/>
  <c r="BB20" i="1"/>
  <c r="AZ20" i="1"/>
  <c r="AX20" i="1"/>
  <c r="AV20" i="1"/>
  <c r="AT20" i="1"/>
  <c r="BK19" i="1"/>
  <c r="BI19" i="1"/>
  <c r="BG19" i="1"/>
  <c r="BE19" i="1"/>
  <c r="BC19" i="1"/>
  <c r="BA19" i="1"/>
  <c r="AY19" i="1"/>
  <c r="AW19" i="1"/>
  <c r="AU19" i="1"/>
  <c r="BN18" i="1"/>
  <c r="BL18" i="1"/>
  <c r="BJ18" i="1"/>
  <c r="BF18" i="1"/>
  <c r="BD18" i="1"/>
  <c r="AZ18" i="1"/>
  <c r="AX18" i="1"/>
  <c r="AV18" i="1"/>
  <c r="AT18" i="1"/>
  <c r="BM17" i="1"/>
  <c r="BK17" i="1"/>
  <c r="BI17" i="1"/>
  <c r="BG17" i="1"/>
  <c r="BE17" i="1"/>
  <c r="BC17" i="1"/>
  <c r="BA17" i="1"/>
  <c r="AY17" i="1"/>
  <c r="AW17" i="1"/>
  <c r="AU17" i="1"/>
  <c r="BN16" i="1"/>
  <c r="BL16" i="1"/>
  <c r="BJ16" i="1"/>
  <c r="BH16" i="1"/>
  <c r="BF16" i="1"/>
  <c r="BD16" i="1"/>
  <c r="BB16" i="1"/>
  <c r="AZ16" i="1"/>
  <c r="AX16" i="1"/>
  <c r="AV16" i="1"/>
  <c r="AT16" i="1"/>
  <c r="BM15" i="1"/>
  <c r="BK15" i="1"/>
  <c r="BI15" i="1"/>
  <c r="BE15" i="1"/>
  <c r="BC15" i="1"/>
  <c r="AY15" i="1"/>
  <c r="AW15" i="1"/>
  <c r="AU15" i="1"/>
  <c r="BN14" i="1"/>
  <c r="BL14" i="1"/>
  <c r="BJ14" i="1"/>
  <c r="BH14" i="1"/>
  <c r="BF14" i="1"/>
  <c r="BD14" i="1"/>
  <c r="BB14" i="1"/>
  <c r="AZ14" i="1"/>
  <c r="AX14" i="1"/>
  <c r="AV14" i="1"/>
  <c r="AT14" i="1"/>
  <c r="BM13" i="1"/>
  <c r="BK13" i="1"/>
  <c r="BI13" i="1"/>
  <c r="BG13" i="1"/>
  <c r="BE13" i="1"/>
  <c r="BC13" i="1"/>
  <c r="BA13" i="1"/>
  <c r="AY13" i="1"/>
  <c r="AW13" i="1"/>
  <c r="AU13" i="1"/>
  <c r="BN12" i="1"/>
  <c r="BL12" i="1"/>
  <c r="BJ12" i="1"/>
  <c r="BH12" i="1"/>
  <c r="BF12" i="1"/>
  <c r="BD12" i="1"/>
  <c r="BB12" i="1"/>
  <c r="AZ12" i="1"/>
  <c r="AX12" i="1"/>
  <c r="AV12" i="1"/>
  <c r="AT12" i="1"/>
  <c r="BM11" i="1"/>
  <c r="BK11" i="1"/>
  <c r="BI11" i="1"/>
  <c r="BG11" i="1"/>
  <c r="BE11" i="1"/>
  <c r="BC11" i="1"/>
  <c r="AY11" i="1"/>
  <c r="AW11" i="1"/>
  <c r="BN10" i="1"/>
  <c r="BL10" i="1"/>
  <c r="BJ10" i="1"/>
  <c r="BH10" i="1"/>
  <c r="BF10" i="1"/>
  <c r="BD10" i="1"/>
  <c r="BB10" i="1"/>
  <c r="AZ10" i="1"/>
  <c r="AX10" i="1"/>
  <c r="AV10" i="1"/>
  <c r="AT10" i="1"/>
  <c r="BM9" i="1"/>
  <c r="BK9" i="1"/>
  <c r="BI9" i="1"/>
  <c r="BG9" i="1"/>
  <c r="BE9" i="1"/>
  <c r="BC9" i="1"/>
  <c r="BA9" i="1"/>
  <c r="AY9" i="1"/>
  <c r="AW9" i="1"/>
  <c r="AU9" i="1"/>
  <c r="BN8" i="1"/>
  <c r="BL8" i="1"/>
  <c r="BJ8" i="1"/>
  <c r="BH8" i="1"/>
  <c r="BF8" i="1"/>
  <c r="BD8" i="1"/>
  <c r="BB8" i="1"/>
  <c r="AZ8" i="1"/>
  <c r="AX8" i="1"/>
  <c r="AV8" i="1"/>
  <c r="AT8" i="1"/>
  <c r="BM7" i="1"/>
  <c r="BK7" i="1"/>
  <c r="BI7" i="1"/>
  <c r="BG7" i="1"/>
  <c r="BE7" i="1"/>
  <c r="BC7" i="1"/>
  <c r="BA7" i="1"/>
  <c r="AY7" i="1"/>
  <c r="AW7" i="1"/>
  <c r="AU7" i="1"/>
  <c r="BN6" i="1"/>
  <c r="BL6" i="1"/>
  <c r="BJ6" i="1"/>
  <c r="BH6" i="1"/>
  <c r="BF6" i="1"/>
  <c r="BD6" i="1"/>
  <c r="BB6" i="1"/>
  <c r="AZ6" i="1"/>
  <c r="AX6" i="1"/>
  <c r="AV6" i="1"/>
  <c r="AT6" i="1"/>
  <c r="BM5" i="1"/>
  <c r="BK5" i="1"/>
  <c r="BI5" i="1"/>
  <c r="BG5" i="1"/>
  <c r="BE5" i="1"/>
  <c r="BC5" i="1"/>
  <c r="BA5" i="1"/>
  <c r="AW5" i="1"/>
  <c r="AU5" i="1"/>
  <c r="BN4" i="1"/>
  <c r="BL4" i="1"/>
  <c r="BJ4" i="1"/>
  <c r="BH4" i="1"/>
  <c r="BF4" i="1"/>
  <c r="BD4" i="1"/>
  <c r="BB4" i="1"/>
  <c r="AZ4" i="1"/>
  <c r="AX4" i="1"/>
  <c r="AV4" i="1"/>
  <c r="AT4" i="1"/>
  <c r="BM3" i="1"/>
  <c r="BK3" i="1"/>
  <c r="BG3" i="1"/>
  <c r="BE3" i="1"/>
  <c r="BA3" i="1"/>
  <c r="AY3" i="1"/>
  <c r="AU3" i="1"/>
  <c r="BF130" i="1" l="1"/>
  <c r="BF131" i="1"/>
  <c r="AY60" i="1"/>
  <c r="AY61" i="1"/>
  <c r="BA10" i="1"/>
  <c r="BA11" i="1"/>
  <c r="BI3" i="1"/>
  <c r="X147" i="3"/>
  <c r="BH105" i="3"/>
  <c r="BH106" i="3"/>
  <c r="BE104" i="3"/>
  <c r="BE105" i="3"/>
  <c r="BI54" i="3"/>
  <c r="BI55" i="3"/>
  <c r="AZ51" i="3"/>
  <c r="AZ52" i="3"/>
  <c r="AV120" i="1"/>
  <c r="AV121" i="1"/>
  <c r="AE147" i="3"/>
  <c r="BF67" i="3"/>
  <c r="BF68" i="3"/>
  <c r="BN80" i="1"/>
  <c r="BN81" i="1"/>
  <c r="BA115" i="1"/>
  <c r="BA116" i="1"/>
  <c r="AU139" i="1"/>
  <c r="AT136" i="1"/>
  <c r="BF135" i="1"/>
  <c r="AY134" i="1"/>
  <c r="BK131" i="1"/>
  <c r="AY129" i="1"/>
  <c r="AY130" i="1"/>
  <c r="BF128" i="1"/>
  <c r="BG114" i="1"/>
  <c r="BJ110" i="1"/>
  <c r="BC109" i="1"/>
  <c r="BC108" i="1"/>
  <c r="BJ55" i="1"/>
  <c r="BJ56" i="1"/>
  <c r="AY54" i="1"/>
  <c r="AY55" i="1"/>
  <c r="BI133" i="1"/>
  <c r="BI134" i="1"/>
  <c r="AX129" i="1"/>
  <c r="AY127" i="1"/>
  <c r="BG68" i="1"/>
  <c r="BG67" i="1"/>
  <c r="BH17" i="1"/>
  <c r="BH18" i="1"/>
  <c r="BL94" i="1"/>
  <c r="BL95" i="1"/>
  <c r="AX57" i="1"/>
  <c r="AX58" i="1"/>
  <c r="BG14" i="1"/>
  <c r="BG15" i="1"/>
  <c r="BK125" i="1"/>
  <c r="AW123" i="1"/>
  <c r="AW124" i="1"/>
  <c r="BD122" i="1"/>
  <c r="BK115" i="1"/>
  <c r="AZ111" i="1"/>
  <c r="BA108" i="1"/>
  <c r="BG133" i="1"/>
  <c r="AV125" i="1"/>
  <c r="AY68" i="1"/>
  <c r="AY69" i="1"/>
  <c r="BI34" i="1"/>
  <c r="BI35" i="1"/>
  <c r="AU28" i="1"/>
  <c r="AU29" i="1"/>
  <c r="BE26" i="1"/>
  <c r="BE27" i="1"/>
  <c r="AY122" i="3"/>
  <c r="AY121" i="3"/>
  <c r="AU53" i="1"/>
  <c r="BA145" i="1"/>
  <c r="BI145" i="1"/>
  <c r="BM144" i="1"/>
  <c r="BE141" i="1"/>
  <c r="AV141" i="1"/>
  <c r="BN138" i="1"/>
  <c r="BM135" i="1"/>
  <c r="BN132" i="1"/>
  <c r="BN133" i="1"/>
  <c r="BH131" i="1"/>
  <c r="AT131" i="1"/>
  <c r="BJ127" i="1"/>
  <c r="BD124" i="1"/>
  <c r="BD125" i="1"/>
  <c r="AV123" i="1"/>
  <c r="BC116" i="1"/>
  <c r="BJ115" i="1"/>
  <c r="BK111" i="1"/>
  <c r="AU55" i="1"/>
  <c r="AT70" i="1"/>
  <c r="AZ145" i="1"/>
  <c r="AU138" i="1"/>
  <c r="AT135" i="1"/>
  <c r="AV134" i="1"/>
  <c r="BF133" i="1"/>
  <c r="BF134" i="1"/>
  <c r="AZ132" i="1"/>
  <c r="AZ133" i="1"/>
  <c r="BG131" i="1"/>
  <c r="BH129" i="1"/>
  <c r="BC126" i="1"/>
  <c r="BI125" i="1"/>
  <c r="BJ123" i="1"/>
  <c r="AU117" i="1"/>
  <c r="AU118" i="1"/>
  <c r="BB116" i="1"/>
  <c r="AY111" i="1"/>
  <c r="BF110" i="1"/>
  <c r="BE144" i="1"/>
  <c r="AV129" i="1"/>
  <c r="BH145" i="1"/>
  <c r="BM141" i="1"/>
  <c r="BD141" i="1"/>
  <c r="AX140" i="1"/>
  <c r="AW137" i="1"/>
  <c r="BE133" i="1"/>
  <c r="AY132" i="1"/>
  <c r="AZ130" i="1"/>
  <c r="BB124" i="1"/>
  <c r="BI123" i="1"/>
  <c r="BB118" i="1"/>
  <c r="BB119" i="1"/>
  <c r="AT117" i="1"/>
  <c r="AX111" i="1"/>
  <c r="BB109" i="1"/>
  <c r="BI99" i="1"/>
  <c r="AZ98" i="1"/>
  <c r="BM76" i="1"/>
  <c r="BH69" i="1"/>
  <c r="BH70" i="1"/>
  <c r="AV33" i="1"/>
  <c r="BH31" i="1"/>
  <c r="BH32" i="1"/>
  <c r="BC121" i="1"/>
  <c r="BC122" i="1"/>
  <c r="BL49" i="1"/>
  <c r="BL50" i="1"/>
  <c r="AU131" i="1"/>
  <c r="BH117" i="1"/>
  <c r="BI111" i="1"/>
  <c r="AU104" i="1"/>
  <c r="BK101" i="1"/>
  <c r="AT79" i="1"/>
  <c r="AW76" i="1"/>
  <c r="BJ43" i="1"/>
  <c r="BJ42" i="1"/>
  <c r="BA122" i="3"/>
  <c r="BA123" i="3"/>
  <c r="BB51" i="1"/>
  <c r="BB52" i="1"/>
  <c r="BB64" i="3"/>
  <c r="BB65" i="3"/>
  <c r="AT62" i="1"/>
  <c r="AT144" i="1"/>
  <c r="BJ142" i="1"/>
  <c r="BC138" i="1"/>
  <c r="BB135" i="1"/>
  <c r="AU134" i="1"/>
  <c r="BL132" i="1"/>
  <c r="BM130" i="1"/>
  <c r="BA124" i="1"/>
  <c r="BH121" i="1"/>
  <c r="AU67" i="1"/>
  <c r="BL141" i="1"/>
  <c r="BF140" i="1"/>
  <c r="BE137" i="1"/>
  <c r="AW132" i="1"/>
  <c r="AX130" i="1"/>
  <c r="BF129" i="1"/>
  <c r="AY128" i="1"/>
  <c r="BN124" i="1"/>
  <c r="BG117" i="1"/>
  <c r="AZ112" i="1"/>
  <c r="AZ113" i="1"/>
  <c r="BF107" i="1"/>
  <c r="BD102" i="1"/>
  <c r="BI82" i="1"/>
  <c r="AY6" i="1"/>
  <c r="BN140" i="1"/>
  <c r="AT134" i="1"/>
  <c r="BK130" i="1"/>
  <c r="BL128" i="1"/>
  <c r="BM124" i="1"/>
  <c r="AT93" i="1"/>
  <c r="AU87" i="1"/>
  <c r="AU88" i="1"/>
  <c r="BM52" i="1"/>
  <c r="BM53" i="1"/>
  <c r="BJ144" i="1"/>
  <c r="BK138" i="1"/>
  <c r="BJ135" i="1"/>
  <c r="AY142" i="1"/>
  <c r="BM137" i="1"/>
  <c r="BL134" i="1"/>
  <c r="BI132" i="1"/>
  <c r="BD129" i="1"/>
  <c r="AW128" i="1"/>
  <c r="BE127" i="1"/>
  <c r="BE128" i="1"/>
  <c r="AX126" i="1"/>
  <c r="AX127" i="1"/>
  <c r="BE125" i="1"/>
  <c r="BL118" i="1"/>
  <c r="AV108" i="1"/>
  <c r="BM103" i="1"/>
  <c r="AY47" i="1"/>
  <c r="BA141" i="1"/>
  <c r="AW136" i="1"/>
  <c r="BA133" i="1"/>
  <c r="BA134" i="1"/>
  <c r="BJ128" i="1"/>
  <c r="AW126" i="1"/>
  <c r="BD119" i="1"/>
  <c r="BK118" i="1"/>
  <c r="BF104" i="1"/>
  <c r="BK44" i="1"/>
  <c r="BK45" i="1"/>
  <c r="AZ143" i="3"/>
  <c r="AZ144" i="3"/>
  <c r="BJ139" i="3"/>
  <c r="BJ138" i="3"/>
  <c r="AZ136" i="3"/>
  <c r="AZ135" i="3"/>
  <c r="BN120" i="3"/>
  <c r="BN119" i="3"/>
  <c r="BK106" i="3"/>
  <c r="BK107" i="3"/>
  <c r="AX69" i="3"/>
  <c r="AX68" i="3"/>
  <c r="AX49" i="3"/>
  <c r="AX50" i="3"/>
  <c r="AY112" i="1"/>
  <c r="BK105" i="1"/>
  <c r="BB104" i="1"/>
  <c r="AZ102" i="1"/>
  <c r="BC97" i="1"/>
  <c r="BH94" i="1"/>
  <c r="BN93" i="1"/>
  <c r="BF92" i="1"/>
  <c r="BB88" i="1"/>
  <c r="BH85" i="1"/>
  <c r="BF78" i="1"/>
  <c r="BM77" i="1"/>
  <c r="AX77" i="1"/>
  <c r="AW3" i="3"/>
  <c r="AA147" i="3"/>
  <c r="BE145" i="3"/>
  <c r="AY143" i="3"/>
  <c r="BK139" i="3"/>
  <c r="BE134" i="3"/>
  <c r="BE135" i="3"/>
  <c r="AY133" i="3"/>
  <c r="AY132" i="3"/>
  <c r="BF124" i="3"/>
  <c r="BC83" i="3"/>
  <c r="BC84" i="3"/>
  <c r="BA121" i="1"/>
  <c r="AZ118" i="1"/>
  <c r="AY115" i="1"/>
  <c r="BK112" i="1"/>
  <c r="BM100" i="1"/>
  <c r="AX100" i="1"/>
  <c r="AZ86" i="1"/>
  <c r="BG85" i="1"/>
  <c r="BF83" i="1"/>
  <c r="BM82" i="1"/>
  <c r="BE81" i="1"/>
  <c r="BJ80" i="1"/>
  <c r="AT80" i="1"/>
  <c r="BA56" i="1"/>
  <c r="BM54" i="1"/>
  <c r="AW54" i="1"/>
  <c r="BJ49" i="1"/>
  <c r="BA48" i="1"/>
  <c r="AU44" i="1"/>
  <c r="BG42" i="1"/>
  <c r="BM18" i="1"/>
  <c r="BD145" i="3"/>
  <c r="BB144" i="3"/>
  <c r="AV142" i="3"/>
  <c r="BI136" i="3"/>
  <c r="BI135" i="3"/>
  <c r="BF131" i="3"/>
  <c r="BK129" i="3"/>
  <c r="BJ122" i="3"/>
  <c r="BM107" i="3"/>
  <c r="BM108" i="3"/>
  <c r="BH90" i="3"/>
  <c r="BH91" i="3"/>
  <c r="AT114" i="1"/>
  <c r="BB113" i="1"/>
  <c r="BJ112" i="1"/>
  <c r="AY109" i="1"/>
  <c r="AO147" i="3"/>
  <c r="Y147" i="3"/>
  <c r="BM144" i="3"/>
  <c r="BJ143" i="3"/>
  <c r="BF138" i="3"/>
  <c r="AT139" i="3"/>
  <c r="AT138" i="3"/>
  <c r="BA133" i="3"/>
  <c r="BE131" i="3"/>
  <c r="AT128" i="3"/>
  <c r="BG116" i="3"/>
  <c r="AX91" i="3"/>
  <c r="AX92" i="3"/>
  <c r="BK52" i="1"/>
  <c r="AN147" i="3"/>
  <c r="BJ3" i="3"/>
  <c r="BI143" i="3"/>
  <c r="AT142" i="3"/>
  <c r="AZ140" i="3"/>
  <c r="BD131" i="3"/>
  <c r="BD132" i="3"/>
  <c r="AX130" i="3"/>
  <c r="AX129" i="3"/>
  <c r="AU125" i="3"/>
  <c r="AV109" i="3"/>
  <c r="AV110" i="3"/>
  <c r="BK132" i="1"/>
  <c r="BA127" i="1"/>
  <c r="AU123" i="1"/>
  <c r="AW95" i="1"/>
  <c r="BE87" i="1"/>
  <c r="BD85" i="1"/>
  <c r="BK84" i="1"/>
  <c r="BG75" i="1"/>
  <c r="BJ19" i="1"/>
  <c r="BI3" i="3"/>
  <c r="AM147" i="3"/>
  <c r="BJ136" i="3"/>
  <c r="BE128" i="3"/>
  <c r="BJ126" i="3"/>
  <c r="BH122" i="3"/>
  <c r="BA121" i="3"/>
  <c r="BA120" i="3"/>
  <c r="AW117" i="3"/>
  <c r="BC133" i="1"/>
  <c r="AX132" i="1"/>
  <c r="BB130" i="1"/>
  <c r="BJ129" i="1"/>
  <c r="AW129" i="1"/>
  <c r="BI126" i="1"/>
  <c r="AV126" i="1"/>
  <c r="AZ124" i="1"/>
  <c r="BH123" i="1"/>
  <c r="AY121" i="1"/>
  <c r="BG120" i="1"/>
  <c r="AT120" i="1"/>
  <c r="AX118" i="1"/>
  <c r="BF117" i="1"/>
  <c r="BN116" i="1"/>
  <c r="AW115" i="1"/>
  <c r="BE114" i="1"/>
  <c r="BM113" i="1"/>
  <c r="AV112" i="1"/>
  <c r="BB133" i="1"/>
  <c r="BJ132" i="1"/>
  <c r="BN130" i="1"/>
  <c r="BA130" i="1"/>
  <c r="BI129" i="1"/>
  <c r="BM127" i="1"/>
  <c r="AZ127" i="1"/>
  <c r="BH126" i="1"/>
  <c r="BL124" i="1"/>
  <c r="AY124" i="1"/>
  <c r="BG123" i="1"/>
  <c r="BK121" i="1"/>
  <c r="AX121" i="1"/>
  <c r="BF120" i="1"/>
  <c r="BJ118" i="1"/>
  <c r="AW118" i="1"/>
  <c r="BE117" i="1"/>
  <c r="BI115" i="1"/>
  <c r="AV115" i="1"/>
  <c r="BD114" i="1"/>
  <c r="BH112" i="1"/>
  <c r="AU112" i="1"/>
  <c r="AT110" i="1"/>
  <c r="AW109" i="1"/>
  <c r="AT107" i="1"/>
  <c r="AZ106" i="1"/>
  <c r="BM104" i="1"/>
  <c r="BD103" i="1"/>
  <c r="BB101" i="1"/>
  <c r="BI100" i="1"/>
  <c r="AT100" i="1"/>
  <c r="AZ99" i="1"/>
  <c r="BG98" i="1"/>
  <c r="BE96" i="1"/>
  <c r="BA92" i="1"/>
  <c r="BN90" i="1"/>
  <c r="AY90" i="1"/>
  <c r="BL88" i="1"/>
  <c r="AW88" i="1"/>
  <c r="BD87" i="1"/>
  <c r="BJ84" i="1"/>
  <c r="AV84" i="1"/>
  <c r="BA81" i="1"/>
  <c r="BF80" i="1"/>
  <c r="BH77" i="1"/>
  <c r="AZ76" i="1"/>
  <c r="BF75" i="1"/>
  <c r="BM74" i="1"/>
  <c r="AX67" i="1"/>
  <c r="BC66" i="1"/>
  <c r="AV59" i="1"/>
  <c r="AT51" i="1"/>
  <c r="BI38" i="1"/>
  <c r="AZ37" i="1"/>
  <c r="BE36" i="1"/>
  <c r="BI24" i="1"/>
  <c r="BD19" i="1"/>
  <c r="BB11" i="1"/>
  <c r="BH3" i="3"/>
  <c r="AL147" i="3"/>
  <c r="BM145" i="3"/>
  <c r="AY144" i="3"/>
  <c r="AX140" i="3"/>
  <c r="BN134" i="3"/>
  <c r="AZ130" i="3"/>
  <c r="BD128" i="3"/>
  <c r="BN124" i="3"/>
  <c r="BM120" i="3"/>
  <c r="BI94" i="3"/>
  <c r="BG112" i="1"/>
  <c r="BN106" i="1"/>
  <c r="AY106" i="1"/>
  <c r="BE105" i="1"/>
  <c r="BL104" i="1"/>
  <c r="BJ102" i="1"/>
  <c r="BA101" i="1"/>
  <c r="AY99" i="1"/>
  <c r="BM97" i="1"/>
  <c r="BB94" i="1"/>
  <c r="BG91" i="1"/>
  <c r="BM90" i="1"/>
  <c r="BE89" i="1"/>
  <c r="AV88" i="1"/>
  <c r="BJ86" i="1"/>
  <c r="AV86" i="1"/>
  <c r="BI84" i="1"/>
  <c r="AU84" i="1"/>
  <c r="BB83" i="1"/>
  <c r="BG77" i="1"/>
  <c r="AY76" i="1"/>
  <c r="BE75" i="1"/>
  <c r="BL74" i="1"/>
  <c r="BK72" i="1"/>
  <c r="BB71" i="1"/>
  <c r="BI70" i="1"/>
  <c r="BM64" i="1"/>
  <c r="BK60" i="1"/>
  <c r="BH51" i="1"/>
  <c r="BN37" i="1"/>
  <c r="BK12" i="1"/>
  <c r="BL145" i="3"/>
  <c r="BD142" i="3"/>
  <c r="BC128" i="3"/>
  <c r="BC129" i="3"/>
  <c r="AW127" i="3"/>
  <c r="AW126" i="3"/>
  <c r="BL120" i="3"/>
  <c r="BL121" i="3"/>
  <c r="AU117" i="3"/>
  <c r="AU118" i="3"/>
  <c r="BE116" i="3"/>
  <c r="AT112" i="3"/>
  <c r="AT113" i="3"/>
  <c r="BD131" i="1"/>
  <c r="BC128" i="1"/>
  <c r="BB125" i="1"/>
  <c r="BA122" i="1"/>
  <c r="BH118" i="1"/>
  <c r="AY116" i="1"/>
  <c r="BF112" i="1"/>
  <c r="AX106" i="1"/>
  <c r="BI102" i="1"/>
  <c r="BG100" i="1"/>
  <c r="BL97" i="1"/>
  <c r="AW97" i="1"/>
  <c r="BJ95" i="1"/>
  <c r="BA94" i="1"/>
  <c r="AY92" i="1"/>
  <c r="BF91" i="1"/>
  <c r="BL90" i="1"/>
  <c r="AW90" i="1"/>
  <c r="BB87" i="1"/>
  <c r="BI86" i="1"/>
  <c r="AT84" i="1"/>
  <c r="BA83" i="1"/>
  <c r="BH82" i="1"/>
  <c r="AY81" i="1"/>
  <c r="BD80" i="1"/>
  <c r="BI79" i="1"/>
  <c r="AZ78" i="1"/>
  <c r="BD75" i="1"/>
  <c r="BK74" i="1"/>
  <c r="AW74" i="1"/>
  <c r="BA66" i="1"/>
  <c r="BK56" i="1"/>
  <c r="BG54" i="1"/>
  <c r="BL53" i="1"/>
  <c r="BD49" i="1"/>
  <c r="AU48" i="1"/>
  <c r="BL45" i="1"/>
  <c r="BA42" i="1"/>
  <c r="BC36" i="1"/>
  <c r="BD13" i="1"/>
  <c r="BA8" i="1"/>
  <c r="BF3" i="3"/>
  <c r="AJ147" i="3"/>
  <c r="BI133" i="3"/>
  <c r="BI123" i="3"/>
  <c r="AV132" i="1"/>
  <c r="BL130" i="1"/>
  <c r="AU129" i="1"/>
  <c r="BK127" i="1"/>
  <c r="AT126" i="1"/>
  <c r="BJ124" i="1"/>
  <c r="BN122" i="1"/>
  <c r="BI121" i="1"/>
  <c r="BM119" i="1"/>
  <c r="AZ119" i="1"/>
  <c r="BL116" i="1"/>
  <c r="BG115" i="1"/>
  <c r="AT115" i="1"/>
  <c r="BK113" i="1"/>
  <c r="AX113" i="1"/>
  <c r="BD105" i="1"/>
  <c r="AV104" i="1"/>
  <c r="AT102" i="1"/>
  <c r="BD89" i="1"/>
  <c r="BL62" i="1"/>
  <c r="BD70" i="1"/>
  <c r="BH132" i="1"/>
  <c r="AU132" i="1"/>
  <c r="BC131" i="1"/>
  <c r="BG129" i="1"/>
  <c r="AT129" i="1"/>
  <c r="BB128" i="1"/>
  <c r="BF126" i="1"/>
  <c r="BN125" i="1"/>
  <c r="BA125" i="1"/>
  <c r="BE123" i="1"/>
  <c r="BM122" i="1"/>
  <c r="AZ122" i="1"/>
  <c r="BD120" i="1"/>
  <c r="BL119" i="1"/>
  <c r="AY119" i="1"/>
  <c r="BC117" i="1"/>
  <c r="BK116" i="1"/>
  <c r="AX116" i="1"/>
  <c r="BB114" i="1"/>
  <c r="BJ113" i="1"/>
  <c r="AW113" i="1"/>
  <c r="BM109" i="1"/>
  <c r="BD108" i="1"/>
  <c r="BL106" i="1"/>
  <c r="AW106" i="1"/>
  <c r="BJ104" i="1"/>
  <c r="AY101" i="1"/>
  <c r="BF100" i="1"/>
  <c r="BD98" i="1"/>
  <c r="BK97" i="1"/>
  <c r="AV97" i="1"/>
  <c r="BB96" i="1"/>
  <c r="BI95" i="1"/>
  <c r="BG93" i="1"/>
  <c r="AX92" i="1"/>
  <c r="AV90" i="1"/>
  <c r="BJ88" i="1"/>
  <c r="AT86" i="1"/>
  <c r="BN83" i="1"/>
  <c r="AZ83" i="1"/>
  <c r="BH79" i="1"/>
  <c r="AY78" i="1"/>
  <c r="BE77" i="1"/>
  <c r="BC73" i="1"/>
  <c r="AU72" i="1"/>
  <c r="BE68" i="1"/>
  <c r="BA52" i="1"/>
  <c r="BE46" i="1"/>
  <c r="BF41" i="1"/>
  <c r="BI4" i="1"/>
  <c r="BH144" i="3"/>
  <c r="BE143" i="3"/>
  <c r="BB142" i="3"/>
  <c r="BH140" i="3"/>
  <c r="BB138" i="3"/>
  <c r="BM131" i="3"/>
  <c r="AY127" i="3"/>
  <c r="BC125" i="3"/>
  <c r="BM121" i="3"/>
  <c r="BB121" i="3"/>
  <c r="AW100" i="3"/>
  <c r="AW101" i="3"/>
  <c r="BG99" i="3"/>
  <c r="BN98" i="3"/>
  <c r="BN97" i="3"/>
  <c r="AU121" i="1"/>
  <c r="BC120" i="1"/>
  <c r="AT118" i="1"/>
  <c r="BB117" i="1"/>
  <c r="BN114" i="1"/>
  <c r="BA114" i="1"/>
  <c r="AV106" i="1"/>
  <c r="BB105" i="1"/>
  <c r="BI104" i="1"/>
  <c r="AZ103" i="1"/>
  <c r="BG102" i="1"/>
  <c r="BC98" i="1"/>
  <c r="AU97" i="1"/>
  <c r="BA96" i="1"/>
  <c r="BN94" i="1"/>
  <c r="BF93" i="1"/>
  <c r="BD91" i="1"/>
  <c r="BI88" i="1"/>
  <c r="BF82" i="1"/>
  <c r="BM81" i="1"/>
  <c r="AW81" i="1"/>
  <c r="BB80" i="1"/>
  <c r="BD65" i="1"/>
  <c r="AZ63" i="1"/>
  <c r="BL61" i="1"/>
  <c r="BE54" i="1"/>
  <c r="BN47" i="1"/>
  <c r="AT29" i="1"/>
  <c r="AV17" i="1"/>
  <c r="BF15" i="1"/>
  <c r="AH147" i="3"/>
  <c r="BD3" i="3"/>
  <c r="BB125" i="3"/>
  <c r="BB126" i="3"/>
  <c r="AV124" i="3"/>
  <c r="AV123" i="3"/>
  <c r="BI120" i="3"/>
  <c r="BK133" i="1"/>
  <c r="AX133" i="1"/>
  <c r="BJ130" i="1"/>
  <c r="AW130" i="1"/>
  <c r="BI127" i="1"/>
  <c r="AV127" i="1"/>
  <c r="BH124" i="1"/>
  <c r="AU124" i="1"/>
  <c r="BG121" i="1"/>
  <c r="AT121" i="1"/>
  <c r="BF118" i="1"/>
  <c r="BN117" i="1"/>
  <c r="BE115" i="1"/>
  <c r="BM114" i="1"/>
  <c r="BD112" i="1"/>
  <c r="BN107" i="1"/>
  <c r="BA105" i="1"/>
  <c r="AT104" i="1"/>
  <c r="BD100" i="1"/>
  <c r="BI97" i="1"/>
  <c r="AT97" i="1"/>
  <c r="BG95" i="1"/>
  <c r="AV92" i="1"/>
  <c r="BC91" i="1"/>
  <c r="BA89" i="1"/>
  <c r="BH88" i="1"/>
  <c r="BN87" i="1"/>
  <c r="AY85" i="1"/>
  <c r="BF84" i="1"/>
  <c r="AX83" i="1"/>
  <c r="BE82" i="1"/>
  <c r="BL78" i="1"/>
  <c r="BJ76" i="1"/>
  <c r="AT74" i="1"/>
  <c r="BN71" i="1"/>
  <c r="BI64" i="1"/>
  <c r="BE62" i="1"/>
  <c r="AV61" i="1"/>
  <c r="BA60" i="1"/>
  <c r="BG60" i="1"/>
  <c r="BG48" i="1"/>
  <c r="BD41" i="1"/>
  <c r="BL31" i="1"/>
  <c r="BC30" i="1"/>
  <c r="BG12" i="1"/>
  <c r="BC10" i="1"/>
  <c r="BG144" i="3"/>
  <c r="BA139" i="3"/>
  <c r="BA138" i="3"/>
  <c r="BH130" i="3"/>
  <c r="BC122" i="3"/>
  <c r="BK121" i="3"/>
  <c r="AW133" i="1"/>
  <c r="AV130" i="1"/>
  <c r="AU127" i="1"/>
  <c r="AT124" i="1"/>
  <c r="BN120" i="1"/>
  <c r="BM117" i="1"/>
  <c r="BL114" i="1"/>
  <c r="BK109" i="1"/>
  <c r="BM107" i="1"/>
  <c r="BI106" i="1"/>
  <c r="BN103" i="1"/>
  <c r="AY103" i="1"/>
  <c r="BL101" i="1"/>
  <c r="BC100" i="1"/>
  <c r="BA98" i="1"/>
  <c r="BH97" i="1"/>
  <c r="BN96" i="1"/>
  <c r="AY96" i="1"/>
  <c r="BF95" i="1"/>
  <c r="BD93" i="1"/>
  <c r="AZ89" i="1"/>
  <c r="BM87" i="1"/>
  <c r="AY87" i="1"/>
  <c r="BL85" i="1"/>
  <c r="AX85" i="1"/>
  <c r="BD82" i="1"/>
  <c r="BK81" i="1"/>
  <c r="AU81" i="1"/>
  <c r="AZ80" i="1"/>
  <c r="BE79" i="1"/>
  <c r="BB77" i="1"/>
  <c r="BI76" i="1"/>
  <c r="BH67" i="1"/>
  <c r="BK58" i="1"/>
  <c r="BA44" i="1"/>
  <c r="AX39" i="1"/>
  <c r="AT37" i="1"/>
  <c r="AY36" i="1"/>
  <c r="BN25" i="1"/>
  <c r="AX19" i="1"/>
  <c r="AY16" i="1"/>
  <c r="AV11" i="1"/>
  <c r="BC139" i="3"/>
  <c r="AZ138" i="3"/>
  <c r="BH137" i="3"/>
  <c r="BM135" i="3"/>
  <c r="BL128" i="3"/>
  <c r="AX124" i="3"/>
  <c r="BA114" i="3"/>
  <c r="BA115" i="3"/>
  <c r="BC112" i="3"/>
  <c r="BH57" i="1"/>
  <c r="BC46" i="1"/>
  <c r="AU40" i="1"/>
  <c r="BL27" i="1"/>
  <c r="AU20" i="1"/>
  <c r="BN17" i="1"/>
  <c r="AT11" i="1"/>
  <c r="BM8" i="1"/>
  <c r="BK6" i="1"/>
  <c r="AK147" i="3"/>
  <c r="BF143" i="3"/>
  <c r="BE140" i="3"/>
  <c r="BC134" i="3"/>
  <c r="BB131" i="3"/>
  <c r="BA128" i="3"/>
  <c r="AZ125" i="3"/>
  <c r="AZ119" i="3"/>
  <c r="BE112" i="3"/>
  <c r="BE113" i="3"/>
  <c r="BC108" i="3"/>
  <c r="AU105" i="3"/>
  <c r="AY101" i="3"/>
  <c r="AV100" i="3"/>
  <c r="AU86" i="3"/>
  <c r="BB84" i="3"/>
  <c r="BB85" i="3"/>
  <c r="AT71" i="3"/>
  <c r="AT70" i="3"/>
  <c r="AX107" i="3"/>
  <c r="AX102" i="3"/>
  <c r="AX101" i="3"/>
  <c r="AU92" i="3"/>
  <c r="AU91" i="3"/>
  <c r="BH69" i="3"/>
  <c r="BH68" i="3"/>
  <c r="AX4" i="3"/>
  <c r="AX5" i="3"/>
  <c r="AY73" i="1"/>
  <c r="BC68" i="1"/>
  <c r="BJ67" i="1"/>
  <c r="BF65" i="1"/>
  <c r="AW64" i="1"/>
  <c r="BB63" i="1"/>
  <c r="BH63" i="1"/>
  <c r="AZ53" i="1"/>
  <c r="BE50" i="1"/>
  <c r="BC48" i="1"/>
  <c r="BA46" i="1"/>
  <c r="BE38" i="1"/>
  <c r="BH35" i="1"/>
  <c r="AY34" i="1"/>
  <c r="BK32" i="1"/>
  <c r="BA26" i="1"/>
  <c r="BD23" i="1"/>
  <c r="AU22" i="1"/>
  <c r="AX17" i="1"/>
  <c r="AV15" i="1"/>
  <c r="AT13" i="1"/>
  <c r="BM10" i="1"/>
  <c r="BK8" i="1"/>
  <c r="AW8" i="1"/>
  <c r="BE3" i="3"/>
  <c r="AI147" i="3"/>
  <c r="BN143" i="3"/>
  <c r="BM140" i="3"/>
  <c r="AW139" i="3"/>
  <c r="BL137" i="3"/>
  <c r="BK134" i="3"/>
  <c r="BJ131" i="3"/>
  <c r="BI128" i="3"/>
  <c r="BH125" i="3"/>
  <c r="BG122" i="3"/>
  <c r="BH118" i="3"/>
  <c r="AV118" i="3"/>
  <c r="BB115" i="3"/>
  <c r="BL111" i="3"/>
  <c r="AW95" i="3"/>
  <c r="BN77" i="3"/>
  <c r="BG76" i="3"/>
  <c r="BG75" i="3"/>
  <c r="BL74" i="3"/>
  <c r="BL75" i="3"/>
  <c r="AX73" i="1"/>
  <c r="BJ69" i="1"/>
  <c r="AT67" i="1"/>
  <c r="BB55" i="1"/>
  <c r="BE52" i="1"/>
  <c r="BF45" i="1"/>
  <c r="BM44" i="1"/>
  <c r="AY44" i="1"/>
  <c r="BJ37" i="1"/>
  <c r="BM34" i="1"/>
  <c r="BD33" i="1"/>
  <c r="AU32" i="1"/>
  <c r="BF25" i="1"/>
  <c r="BI22" i="1"/>
  <c r="BE18" i="1"/>
  <c r="BC16" i="1"/>
  <c r="BJ15" i="1"/>
  <c r="AW10" i="1"/>
  <c r="BD9" i="1"/>
  <c r="AV9" i="1"/>
  <c r="BB7" i="1"/>
  <c r="AZ5" i="1"/>
  <c r="BD143" i="3"/>
  <c r="BC140" i="3"/>
  <c r="BB137" i="3"/>
  <c r="BA134" i="3"/>
  <c r="AZ131" i="3"/>
  <c r="AY128" i="3"/>
  <c r="AX125" i="3"/>
  <c r="AW122" i="3"/>
  <c r="BJ119" i="3"/>
  <c r="BG118" i="3"/>
  <c r="BG119" i="3"/>
  <c r="BM115" i="3"/>
  <c r="BI114" i="3"/>
  <c r="AX114" i="3"/>
  <c r="BH113" i="3"/>
  <c r="AU113" i="3"/>
  <c r="BA108" i="3"/>
  <c r="AU106" i="3"/>
  <c r="BB104" i="3"/>
  <c r="AW92" i="3"/>
  <c r="BJ77" i="3"/>
  <c r="BJ76" i="3"/>
  <c r="BF73" i="3"/>
  <c r="BF72" i="3"/>
  <c r="AY111" i="3"/>
  <c r="AY112" i="3"/>
  <c r="BF110" i="3"/>
  <c r="BG101" i="3"/>
  <c r="BE94" i="3"/>
  <c r="BE95" i="3"/>
  <c r="BD86" i="3"/>
  <c r="BD87" i="3"/>
  <c r="BB33" i="1"/>
  <c r="BN31" i="1"/>
  <c r="BE30" i="1"/>
  <c r="AU24" i="1"/>
  <c r="AY22" i="1"/>
  <c r="BE20" i="1"/>
  <c r="BH15" i="1"/>
  <c r="BG6" i="1"/>
  <c r="BC3" i="3"/>
  <c r="AG147" i="3"/>
  <c r="BL143" i="3"/>
  <c r="AY141" i="3"/>
  <c r="BK140" i="3"/>
  <c r="AX138" i="3"/>
  <c r="BJ137" i="3"/>
  <c r="AW135" i="3"/>
  <c r="BI134" i="3"/>
  <c r="AV132" i="3"/>
  <c r="BH131" i="3"/>
  <c r="AU129" i="3"/>
  <c r="BG128" i="3"/>
  <c r="AT126" i="3"/>
  <c r="BF125" i="3"/>
  <c r="BN122" i="3"/>
  <c r="AW119" i="3"/>
  <c r="BK115" i="3"/>
  <c r="BF113" i="3"/>
  <c r="BF114" i="3"/>
  <c r="BL104" i="3"/>
  <c r="BL105" i="3"/>
  <c r="BJ85" i="3"/>
  <c r="BJ84" i="3"/>
  <c r="BD78" i="3"/>
  <c r="BD79" i="3"/>
  <c r="AX79" i="1"/>
  <c r="BK77" i="1"/>
  <c r="AW77" i="1"/>
  <c r="BD76" i="1"/>
  <c r="AV75" i="1"/>
  <c r="BC74" i="1"/>
  <c r="AT71" i="1"/>
  <c r="BA70" i="1"/>
  <c r="BF67" i="1"/>
  <c r="BN63" i="1"/>
  <c r="AX63" i="1"/>
  <c r="BJ61" i="1"/>
  <c r="BF59" i="1"/>
  <c r="AV53" i="1"/>
  <c r="BA50" i="1"/>
  <c r="BH49" i="1"/>
  <c r="BB43" i="1"/>
  <c r="BN41" i="1"/>
  <c r="BD35" i="1"/>
  <c r="BG32" i="1"/>
  <c r="AX31" i="1"/>
  <c r="BJ29" i="1"/>
  <c r="AZ23" i="1"/>
  <c r="AV19" i="1"/>
  <c r="AT17" i="1"/>
  <c r="BM14" i="1"/>
  <c r="AY14" i="1"/>
  <c r="BG8" i="1"/>
  <c r="BN7" i="1"/>
  <c r="BF7" i="1"/>
  <c r="BL5" i="1"/>
  <c r="BB3" i="3"/>
  <c r="AF147" i="3"/>
  <c r="BH141" i="3"/>
  <c r="BG138" i="3"/>
  <c r="BF135" i="3"/>
  <c r="BE132" i="3"/>
  <c r="BD129" i="3"/>
  <c r="BC126" i="3"/>
  <c r="BH120" i="3"/>
  <c r="BN112" i="3"/>
  <c r="AX108" i="3"/>
  <c r="BF95" i="3"/>
  <c r="BF96" i="3"/>
  <c r="BG92" i="3"/>
  <c r="BG93" i="3"/>
  <c r="BD91" i="3"/>
  <c r="BD92" i="3"/>
  <c r="BK80" i="3"/>
  <c r="BG79" i="3"/>
  <c r="BG80" i="3"/>
  <c r="BC79" i="3"/>
  <c r="BC78" i="3"/>
  <c r="AV135" i="3"/>
  <c r="AU132" i="3"/>
  <c r="AT129" i="3"/>
  <c r="BN125" i="3"/>
  <c r="BM122" i="3"/>
  <c r="BF119" i="3"/>
  <c r="BM112" i="3"/>
  <c r="BN109" i="3"/>
  <c r="BI108" i="3"/>
  <c r="BF107" i="3"/>
  <c r="BH61" i="1"/>
  <c r="BD59" i="1"/>
  <c r="AU58" i="1"/>
  <c r="BF49" i="1"/>
  <c r="BD47" i="1"/>
  <c r="AZ43" i="1"/>
  <c r="BL41" i="1"/>
  <c r="BC40" i="1"/>
  <c r="BN33" i="1"/>
  <c r="AV31" i="1"/>
  <c r="BH29" i="1"/>
  <c r="AY28" i="1"/>
  <c r="BJ21" i="1"/>
  <c r="AV21" i="1"/>
  <c r="AT19" i="1"/>
  <c r="AW14" i="1"/>
  <c r="AU12" i="1"/>
  <c r="BN9" i="1"/>
  <c r="BL7" i="1"/>
  <c r="BJ5" i="1"/>
  <c r="BN3" i="3"/>
  <c r="AR147" i="3"/>
  <c r="AZ3" i="3"/>
  <c r="AD147" i="3"/>
  <c r="AU142" i="3"/>
  <c r="BN135" i="3"/>
  <c r="BM132" i="3"/>
  <c r="BL129" i="3"/>
  <c r="BK126" i="3"/>
  <c r="BJ123" i="3"/>
  <c r="AT122" i="3"/>
  <c r="AV120" i="3"/>
  <c r="AU119" i="3"/>
  <c r="AU120" i="3"/>
  <c r="BN117" i="3"/>
  <c r="AY116" i="3"/>
  <c r="BC110" i="3"/>
  <c r="AU102" i="3"/>
  <c r="AY98" i="3"/>
  <c r="AU79" i="1"/>
  <c r="AT77" i="1"/>
  <c r="BA76" i="1"/>
  <c r="BH75" i="1"/>
  <c r="BF71" i="1"/>
  <c r="BE64" i="1"/>
  <c r="BM60" i="1"/>
  <c r="AW60" i="1"/>
  <c r="BI58" i="1"/>
  <c r="AZ57" i="1"/>
  <c r="BF51" i="1"/>
  <c r="BM50" i="1"/>
  <c r="BK48" i="1"/>
  <c r="AW48" i="1"/>
  <c r="BE42" i="1"/>
  <c r="AV41" i="1"/>
  <c r="BH39" i="1"/>
  <c r="AX33" i="1"/>
  <c r="BA30" i="1"/>
  <c r="BM28" i="1"/>
  <c r="BD27" i="1"/>
  <c r="BH19" i="1"/>
  <c r="BD15" i="1"/>
  <c r="BB13" i="1"/>
  <c r="BI12" i="1"/>
  <c r="AV7" i="1"/>
  <c r="BC6" i="1"/>
  <c r="BA4" i="1"/>
  <c r="BM3" i="3"/>
  <c r="AQ147" i="3"/>
  <c r="BF141" i="3"/>
  <c r="BE138" i="3"/>
  <c r="BD135" i="3"/>
  <c r="BC132" i="3"/>
  <c r="BB129" i="3"/>
  <c r="BA126" i="3"/>
  <c r="AZ123" i="3"/>
  <c r="AT119" i="3"/>
  <c r="BK116" i="3"/>
  <c r="BN113" i="3"/>
  <c r="BF111" i="3"/>
  <c r="BB106" i="3"/>
  <c r="BB107" i="3"/>
  <c r="AZ105" i="3"/>
  <c r="BH103" i="3"/>
  <c r="BF102" i="3"/>
  <c r="BB101" i="3"/>
  <c r="BB100" i="3"/>
  <c r="BH96" i="3"/>
  <c r="BC32" i="1"/>
  <c r="AT21" i="1"/>
  <c r="AU14" i="1"/>
  <c r="BN11" i="1"/>
  <c r="BL9" i="1"/>
  <c r="BL3" i="3"/>
  <c r="AP147" i="3"/>
  <c r="AX3" i="3"/>
  <c r="AB147" i="3"/>
  <c r="BC142" i="3"/>
  <c r="BA136" i="3"/>
  <c r="AZ133" i="3"/>
  <c r="AY130" i="3"/>
  <c r="AX127" i="3"/>
  <c r="AW124" i="3"/>
  <c r="BB122" i="3"/>
  <c r="BL117" i="3"/>
  <c r="BL118" i="3"/>
  <c r="BM113" i="3"/>
  <c r="BK109" i="3"/>
  <c r="BK110" i="3"/>
  <c r="AV108" i="3"/>
  <c r="BM106" i="3"/>
  <c r="BG103" i="3"/>
  <c r="BG104" i="3"/>
  <c r="BC101" i="3"/>
  <c r="BC102" i="3"/>
  <c r="AZ95" i="3"/>
  <c r="AZ94" i="3"/>
  <c r="BM87" i="3"/>
  <c r="BM138" i="3"/>
  <c r="BL135" i="3"/>
  <c r="BK132" i="3"/>
  <c r="BJ129" i="3"/>
  <c r="BI126" i="3"/>
  <c r="BH123" i="3"/>
  <c r="AU115" i="3"/>
  <c r="BF97" i="3"/>
  <c r="BF98" i="3"/>
  <c r="AY94" i="3"/>
  <c r="AY95" i="3"/>
  <c r="BF5" i="1"/>
  <c r="AV3" i="3"/>
  <c r="Z147" i="3"/>
  <c r="BK142" i="3"/>
  <c r="BH133" i="3"/>
  <c r="BG130" i="3"/>
  <c r="BF127" i="3"/>
  <c r="BE124" i="3"/>
  <c r="AT121" i="3"/>
  <c r="BA118" i="3"/>
  <c r="BJ117" i="3"/>
  <c r="BH116" i="3"/>
  <c r="BI109" i="3"/>
  <c r="AW105" i="3"/>
  <c r="AX99" i="3"/>
  <c r="AX100" i="3"/>
  <c r="AX94" i="3"/>
  <c r="BI82" i="3"/>
  <c r="BI81" i="3"/>
  <c r="BN110" i="3"/>
  <c r="AU109" i="3"/>
  <c r="BF99" i="3"/>
  <c r="BF100" i="3"/>
  <c r="AU99" i="3"/>
  <c r="BG95" i="3"/>
  <c r="AV93" i="3"/>
  <c r="AY77" i="3"/>
  <c r="AY78" i="3"/>
  <c r="BB33" i="3"/>
  <c r="BB34" i="3"/>
  <c r="BA119" i="3"/>
  <c r="BD117" i="3"/>
  <c r="BG115" i="3"/>
  <c r="AY113" i="3"/>
  <c r="BJ112" i="3"/>
  <c r="BB111" i="3"/>
  <c r="AV94" i="3"/>
  <c r="BJ82" i="3"/>
  <c r="BH81" i="3"/>
  <c r="BJ58" i="3"/>
  <c r="BJ59" i="3"/>
  <c r="AT56" i="3"/>
  <c r="AT57" i="3"/>
  <c r="BC117" i="3"/>
  <c r="BF115" i="3"/>
  <c r="BI113" i="3"/>
  <c r="BA111" i="3"/>
  <c r="BC105" i="3"/>
  <c r="BD98" i="3"/>
  <c r="BE90" i="3"/>
  <c r="BN87" i="3"/>
  <c r="BB87" i="3"/>
  <c r="BB88" i="3"/>
  <c r="BJ83" i="3"/>
  <c r="BF80" i="3"/>
  <c r="BF81" i="3"/>
  <c r="AW78" i="3"/>
  <c r="AW77" i="3"/>
  <c r="BM73" i="3"/>
  <c r="BL78" i="3"/>
  <c r="AT116" i="3"/>
  <c r="BN95" i="3"/>
  <c r="AT94" i="3"/>
  <c r="BD93" i="3"/>
  <c r="BD94" i="3"/>
  <c r="BA59" i="3"/>
  <c r="BA60" i="3"/>
  <c r="BJ53" i="3"/>
  <c r="BJ54" i="3"/>
  <c r="AW120" i="3"/>
  <c r="BK117" i="3"/>
  <c r="BI111" i="3"/>
  <c r="BL109" i="3"/>
  <c r="BC94" i="3"/>
  <c r="BK87" i="3"/>
  <c r="BK86" i="3"/>
  <c r="BL79" i="3"/>
  <c r="BD76" i="3"/>
  <c r="BD77" i="3"/>
  <c r="BA63" i="3"/>
  <c r="BA64" i="3"/>
  <c r="AW55" i="3"/>
  <c r="AW56" i="3"/>
  <c r="AW83" i="3"/>
  <c r="BE120" i="3"/>
  <c r="BI118" i="3"/>
  <c r="AY118" i="3"/>
  <c r="BB116" i="3"/>
  <c r="BN114" i="3"/>
  <c r="AT114" i="3"/>
  <c r="BG112" i="3"/>
  <c r="AW112" i="3"/>
  <c r="BJ109" i="3"/>
  <c r="BA96" i="3"/>
  <c r="BG83" i="3"/>
  <c r="AT82" i="3"/>
  <c r="AY63" i="3"/>
  <c r="AY64" i="3"/>
  <c r="AC147" i="3"/>
  <c r="BD120" i="3"/>
  <c r="AX118" i="3"/>
  <c r="BA116" i="3"/>
  <c r="BD114" i="3"/>
  <c r="AV112" i="3"/>
  <c r="AY110" i="3"/>
  <c r="AZ109" i="3"/>
  <c r="BJ107" i="3"/>
  <c r="AY106" i="3"/>
  <c r="AY102" i="3"/>
  <c r="BJ101" i="3"/>
  <c r="AZ99" i="3"/>
  <c r="BJ98" i="3"/>
  <c r="BK92" i="3"/>
  <c r="BA91" i="3"/>
  <c r="AY86" i="3"/>
  <c r="BC81" i="3"/>
  <c r="BA80" i="3"/>
  <c r="BA81" i="3"/>
  <c r="BE77" i="3"/>
  <c r="BE78" i="3"/>
  <c r="AZ116" i="3"/>
  <c r="BC114" i="3"/>
  <c r="AX110" i="3"/>
  <c r="BI101" i="3"/>
  <c r="AZ97" i="3"/>
  <c r="AZ92" i="3"/>
  <c r="BJ90" i="3"/>
  <c r="AY90" i="3"/>
  <c r="AT83" i="3"/>
  <c r="BJ80" i="3"/>
  <c r="BJ79" i="3"/>
  <c r="BH79" i="3"/>
  <c r="BH78" i="3"/>
  <c r="AZ69" i="3"/>
  <c r="AZ68" i="3"/>
  <c r="AU79" i="3"/>
  <c r="AU78" i="3"/>
  <c r="BG67" i="3"/>
  <c r="BG68" i="3"/>
  <c r="BI116" i="3"/>
  <c r="BL114" i="3"/>
  <c r="BD112" i="3"/>
  <c r="BG110" i="3"/>
  <c r="BH108" i="3"/>
  <c r="AV104" i="3"/>
  <c r="BI97" i="3"/>
  <c r="AX97" i="3"/>
  <c r="BI89" i="3"/>
  <c r="BC70" i="3"/>
  <c r="BC69" i="3"/>
  <c r="BI63" i="3"/>
  <c r="AV101" i="3"/>
  <c r="AT95" i="3"/>
  <c r="BM88" i="3"/>
  <c r="AW63" i="3"/>
  <c r="AW64" i="3"/>
  <c r="AY55" i="3"/>
  <c r="BE52" i="3"/>
  <c r="BD50" i="3"/>
  <c r="AY87" i="3"/>
  <c r="AX84" i="3"/>
  <c r="BI74" i="3"/>
  <c r="BI73" i="3"/>
  <c r="BK70" i="3"/>
  <c r="BK69" i="3"/>
  <c r="BD67" i="3"/>
  <c r="BD62" i="3"/>
  <c r="BM57" i="3"/>
  <c r="BM58" i="3"/>
  <c r="BL55" i="3"/>
  <c r="BF32" i="3"/>
  <c r="BI70" i="3"/>
  <c r="BI69" i="3"/>
  <c r="BK66" i="3"/>
  <c r="BD60" i="3"/>
  <c r="BK59" i="3"/>
  <c r="BK60" i="3"/>
  <c r="BK57" i="3"/>
  <c r="BJ42" i="3"/>
  <c r="BL13" i="3"/>
  <c r="BL14" i="3"/>
  <c r="BG102" i="3"/>
  <c r="BE96" i="3"/>
  <c r="BC90" i="3"/>
  <c r="BF87" i="3"/>
  <c r="BE84" i="3"/>
  <c r="AU81" i="3"/>
  <c r="BN74" i="3"/>
  <c r="AV61" i="3"/>
  <c r="BJ57" i="3"/>
  <c r="AT103" i="3"/>
  <c r="BM96" i="3"/>
  <c r="BK90" i="3"/>
  <c r="BN84" i="3"/>
  <c r="BI77" i="3"/>
  <c r="BL71" i="3"/>
  <c r="AU69" i="3"/>
  <c r="AV66" i="3"/>
  <c r="AV57" i="3"/>
  <c r="AZ10" i="3"/>
  <c r="AZ11" i="3"/>
  <c r="AV73" i="3"/>
  <c r="BG70" i="3"/>
  <c r="BH66" i="3"/>
  <c r="BH67" i="3"/>
  <c r="BJ103" i="3"/>
  <c r="BH97" i="3"/>
  <c r="BF91" i="3"/>
  <c r="BA85" i="3"/>
  <c r="AZ82" i="3"/>
  <c r="BE80" i="3"/>
  <c r="AV76" i="3"/>
  <c r="BJ73" i="3"/>
  <c r="BJ72" i="3"/>
  <c r="BJ71" i="3"/>
  <c r="AX70" i="3"/>
  <c r="AY67" i="3"/>
  <c r="AY68" i="3"/>
  <c r="BN60" i="3"/>
  <c r="AY20" i="3"/>
  <c r="BG16" i="3"/>
  <c r="BG17" i="3"/>
  <c r="BG86" i="3"/>
  <c r="BF83" i="3"/>
  <c r="BG77" i="3"/>
  <c r="BG78" i="3"/>
  <c r="AU76" i="3"/>
  <c r="AU77" i="3"/>
  <c r="BE75" i="3"/>
  <c r="AV75" i="3"/>
  <c r="AV74" i="3"/>
  <c r="AT73" i="3"/>
  <c r="AT72" i="3"/>
  <c r="BK62" i="3"/>
  <c r="BJ41" i="3"/>
  <c r="BL23" i="3"/>
  <c r="BL24" i="3"/>
  <c r="BC98" i="3"/>
  <c r="BA92" i="3"/>
  <c r="BI85" i="3"/>
  <c r="BH82" i="3"/>
  <c r="AT80" i="3"/>
  <c r="BE76" i="3"/>
  <c r="BH73" i="3"/>
  <c r="BA72" i="3"/>
  <c r="BB68" i="3"/>
  <c r="AX62" i="3"/>
  <c r="AX63" i="3"/>
  <c r="AX54" i="3"/>
  <c r="BG21" i="3"/>
  <c r="BI92" i="3"/>
  <c r="AT87" i="3"/>
  <c r="BN83" i="3"/>
  <c r="BC75" i="3"/>
  <c r="BC76" i="3"/>
  <c r="BA74" i="3"/>
  <c r="AV71" i="3"/>
  <c r="AV70" i="3"/>
  <c r="AU64" i="3"/>
  <c r="BE61" i="3"/>
  <c r="BB67" i="3"/>
  <c r="BC64" i="3"/>
  <c r="BH62" i="3"/>
  <c r="AV62" i="3"/>
  <c r="BN57" i="3"/>
  <c r="AV54" i="3"/>
  <c r="BJ48" i="3"/>
  <c r="AT48" i="3"/>
  <c r="AY47" i="3"/>
  <c r="BD46" i="3"/>
  <c r="BI45" i="3"/>
  <c r="BN44" i="3"/>
  <c r="AX44" i="3"/>
  <c r="BC43" i="3"/>
  <c r="BN41" i="3"/>
  <c r="BM31" i="3"/>
  <c r="BL28" i="3"/>
  <c r="AV28" i="3"/>
  <c r="BA27" i="3"/>
  <c r="BF26" i="3"/>
  <c r="BK25" i="3"/>
  <c r="BM22" i="3"/>
  <c r="AX22" i="3"/>
  <c r="BJ11" i="3"/>
  <c r="BJ9" i="3"/>
  <c r="AY79" i="3"/>
  <c r="AX76" i="3"/>
  <c r="BN69" i="3"/>
  <c r="BN68" i="3"/>
  <c r="BM67" i="3"/>
  <c r="BM68" i="3"/>
  <c r="BF65" i="3"/>
  <c r="BK63" i="3"/>
  <c r="AZ60" i="3"/>
  <c r="BH59" i="3"/>
  <c r="BA55" i="3"/>
  <c r="BB51" i="3"/>
  <c r="AT50" i="3"/>
  <c r="BH48" i="3"/>
  <c r="BM47" i="3"/>
  <c r="AW47" i="3"/>
  <c r="BB46" i="3"/>
  <c r="BG45" i="3"/>
  <c r="BL44" i="3"/>
  <c r="AV44" i="3"/>
  <c r="AX41" i="3"/>
  <c r="BK31" i="3"/>
  <c r="AU31" i="3"/>
  <c r="BH20" i="3"/>
  <c r="AT20" i="3"/>
  <c r="BH18" i="3"/>
  <c r="BD16" i="3"/>
  <c r="BN14" i="3"/>
  <c r="BH11" i="3"/>
  <c r="BB75" i="3"/>
  <c r="AW74" i="3"/>
  <c r="BD73" i="3"/>
  <c r="AW66" i="3"/>
  <c r="BF62" i="3"/>
  <c r="AT62" i="3"/>
  <c r="AT63" i="3"/>
  <c r="BB61" i="3"/>
  <c r="BG59" i="3"/>
  <c r="BA56" i="3"/>
  <c r="BN53" i="3"/>
  <c r="AX33" i="3"/>
  <c r="BJ22" i="3"/>
  <c r="AZ14" i="3"/>
  <c r="BN12" i="3"/>
  <c r="AY8" i="3"/>
  <c r="AW6" i="3"/>
  <c r="AX43" i="3"/>
  <c r="AU38" i="3"/>
  <c r="BA37" i="3"/>
  <c r="AW24" i="3"/>
  <c r="AT22" i="3"/>
  <c r="AW8" i="3"/>
  <c r="BN76" i="3"/>
  <c r="AZ75" i="3"/>
  <c r="AU72" i="3"/>
  <c r="AU71" i="3"/>
  <c r="BA70" i="3"/>
  <c r="BA69" i="3"/>
  <c r="BC65" i="3"/>
  <c r="BL64" i="3"/>
  <c r="BH63" i="3"/>
  <c r="BI57" i="3"/>
  <c r="AX55" i="3"/>
  <c r="BE54" i="3"/>
  <c r="BK53" i="3"/>
  <c r="BE50" i="3"/>
  <c r="BD48" i="3"/>
  <c r="BI47" i="3"/>
  <c r="BN46" i="3"/>
  <c r="AX46" i="3"/>
  <c r="BC45" i="3"/>
  <c r="BH44" i="3"/>
  <c r="BM43" i="3"/>
  <c r="AY40" i="3"/>
  <c r="BI38" i="3"/>
  <c r="BF36" i="3"/>
  <c r="AU33" i="3"/>
  <c r="AV24" i="3"/>
  <c r="BB23" i="3"/>
  <c r="BL19" i="3"/>
  <c r="AZ16" i="3"/>
  <c r="AW12" i="3"/>
  <c r="BE9" i="3"/>
  <c r="AV8" i="3"/>
  <c r="AT4" i="3"/>
  <c r="AY26" i="3"/>
  <c r="BD25" i="3"/>
  <c r="BA23" i="3"/>
  <c r="BM21" i="3"/>
  <c r="BN16" i="3"/>
  <c r="AW14" i="3"/>
  <c r="BC13" i="3"/>
  <c r="AZ5" i="3"/>
  <c r="BG4" i="3"/>
  <c r="BA77" i="3"/>
  <c r="AX75" i="3"/>
  <c r="BN73" i="3"/>
  <c r="AV67" i="3"/>
  <c r="BJ64" i="3"/>
  <c r="AU60" i="3"/>
  <c r="AV51" i="3"/>
  <c r="BJ49" i="3"/>
  <c r="AU43" i="3"/>
  <c r="BJ35" i="3"/>
  <c r="AT35" i="3"/>
  <c r="BG33" i="3"/>
  <c r="AZ32" i="3"/>
  <c r="AT24" i="3"/>
  <c r="AX16" i="3"/>
  <c r="BJ14" i="3"/>
  <c r="AV14" i="3"/>
  <c r="BI10" i="3"/>
  <c r="BC9" i="3"/>
  <c r="BI8" i="3"/>
  <c r="BJ75" i="3"/>
  <c r="AU67" i="3"/>
  <c r="BM65" i="3"/>
  <c r="BI64" i="3"/>
  <c r="BN62" i="3"/>
  <c r="AW61" i="3"/>
  <c r="BF60" i="3"/>
  <c r="AX58" i="3"/>
  <c r="BG57" i="3"/>
  <c r="AU55" i="3"/>
  <c r="BB52" i="3"/>
  <c r="BJ51" i="3"/>
  <c r="AU51" i="3"/>
  <c r="AZ45" i="3"/>
  <c r="BE44" i="3"/>
  <c r="BJ43" i="3"/>
  <c r="BF41" i="3"/>
  <c r="BL40" i="3"/>
  <c r="BC36" i="3"/>
  <c r="BD31" i="3"/>
  <c r="AX29" i="3"/>
  <c r="BC28" i="3"/>
  <c r="BH27" i="3"/>
  <c r="BM26" i="3"/>
  <c r="AW26" i="3"/>
  <c r="BB25" i="3"/>
  <c r="BI24" i="3"/>
  <c r="BK21" i="3"/>
  <c r="BB15" i="3"/>
  <c r="AU14" i="3"/>
  <c r="BH12" i="3"/>
  <c r="BF6" i="3"/>
  <c r="BL5" i="3"/>
  <c r="BN52" i="3"/>
  <c r="BE38" i="3"/>
  <c r="AV16" i="3"/>
  <c r="BA9" i="3"/>
  <c r="BE6" i="3"/>
  <c r="AY18" i="3"/>
  <c r="BE17" i="3"/>
  <c r="BG10" i="3"/>
  <c r="AY7" i="3"/>
  <c r="BF19" i="3"/>
  <c r="BJ16" i="3"/>
  <c r="BE12" i="3"/>
  <c r="BA75" i="3"/>
  <c r="BE74" i="3"/>
  <c r="AZ73" i="3"/>
  <c r="BD71" i="3"/>
  <c r="BE67" i="3"/>
  <c r="BN66" i="3"/>
  <c r="AX64" i="3"/>
  <c r="BG63" i="3"/>
  <c r="BE62" i="3"/>
  <c r="BC61" i="3"/>
  <c r="BL60" i="3"/>
  <c r="AV58" i="3"/>
  <c r="BE57" i="3"/>
  <c r="BB56" i="3"/>
  <c r="BJ55" i="3"/>
  <c r="BA53" i="3"/>
  <c r="BI52" i="3"/>
  <c r="AW52" i="3"/>
  <c r="BF51" i="3"/>
  <c r="BM50" i="3"/>
  <c r="AZ50" i="3"/>
  <c r="AU49" i="3"/>
  <c r="AZ48" i="3"/>
  <c r="BE47" i="3"/>
  <c r="BJ46" i="3"/>
  <c r="AT46" i="3"/>
  <c r="AY45" i="3"/>
  <c r="BD44" i="3"/>
  <c r="BI43" i="3"/>
  <c r="BN42" i="3"/>
  <c r="BF34" i="3"/>
  <c r="AV31" i="3"/>
  <c r="BA31" i="3"/>
  <c r="BF29" i="3"/>
  <c r="BK28" i="3"/>
  <c r="AU28" i="3"/>
  <c r="AZ27" i="3"/>
  <c r="BE26" i="3"/>
  <c r="BA24" i="3"/>
  <c r="BH23" i="3"/>
  <c r="BL20" i="3"/>
  <c r="BK18" i="3"/>
  <c r="AW18" i="3"/>
  <c r="BD17" i="3"/>
  <c r="BC15" i="3"/>
  <c r="BK14" i="3"/>
  <c r="BF13" i="3"/>
  <c r="BA12" i="3"/>
  <c r="AX11" i="3"/>
  <c r="BF10" i="3"/>
  <c r="BN9" i="3"/>
  <c r="BH8" i="3"/>
  <c r="BC7" i="3"/>
  <c r="BC5" i="3"/>
  <c r="BC74" i="3"/>
  <c r="BM70" i="3"/>
  <c r="BD69" i="3"/>
  <c r="AT68" i="3"/>
  <c r="BA66" i="3"/>
  <c r="AY65" i="3"/>
  <c r="BH64" i="3"/>
  <c r="BM61" i="3"/>
  <c r="AY60" i="3"/>
  <c r="AW59" i="3"/>
  <c r="BF58" i="3"/>
  <c r="AZ56" i="3"/>
  <c r="BD54" i="3"/>
  <c r="BL53" i="3"/>
  <c r="BK50" i="3"/>
  <c r="BL42" i="3"/>
  <c r="AW42" i="3"/>
  <c r="BC41" i="3"/>
  <c r="BI40" i="3"/>
  <c r="AU40" i="3"/>
  <c r="BA39" i="3"/>
  <c r="AX37" i="3"/>
  <c r="BE36" i="3"/>
  <c r="BK33" i="3"/>
  <c r="BH25" i="3"/>
  <c r="BN24" i="3"/>
  <c r="AY24" i="3"/>
  <c r="BF23" i="3"/>
  <c r="BL22" i="3"/>
  <c r="BD21" i="3"/>
  <c r="BJ20" i="3"/>
  <c r="AV20" i="3"/>
  <c r="BC19" i="3"/>
  <c r="AU18" i="3"/>
  <c r="BB17" i="3"/>
  <c r="BI16" i="3"/>
  <c r="AU16" i="3"/>
  <c r="BI14" i="3"/>
  <c r="BD13" i="3"/>
  <c r="BM12" i="3"/>
  <c r="BI11" i="3"/>
  <c r="BL9" i="3"/>
  <c r="AY9" i="3"/>
  <c r="BN7" i="3"/>
  <c r="BA7" i="3"/>
  <c r="BH6" i="3"/>
  <c r="AT6" i="3"/>
  <c r="BJ4" i="3"/>
  <c r="AW4" i="3"/>
  <c r="AT75" i="3"/>
  <c r="AX73" i="3"/>
  <c r="BN71" i="3"/>
  <c r="BB71" i="3"/>
  <c r="AZ66" i="3"/>
  <c r="AX60" i="3"/>
  <c r="BC57" i="3"/>
  <c r="BG52" i="3"/>
  <c r="AU52" i="3"/>
  <c r="BC51" i="3"/>
  <c r="BF49" i="3"/>
  <c r="BL45" i="3"/>
  <c r="AV45" i="3"/>
  <c r="BA44" i="3"/>
  <c r="BF43" i="3"/>
  <c r="BK42" i="3"/>
  <c r="AV42" i="3"/>
  <c r="AW37" i="3"/>
  <c r="BK35" i="3"/>
  <c r="BC34" i="3"/>
  <c r="AV33" i="3"/>
  <c r="BC32" i="3"/>
  <c r="BC29" i="3"/>
  <c r="BH28" i="3"/>
  <c r="BM27" i="3"/>
  <c r="AW27" i="3"/>
  <c r="BB26" i="3"/>
  <c r="BG25" i="3"/>
  <c r="BM24" i="3"/>
  <c r="AX24" i="3"/>
  <c r="BE23" i="3"/>
  <c r="BK22" i="3"/>
  <c r="AW22" i="3"/>
  <c r="BC21" i="3"/>
  <c r="BI20" i="3"/>
  <c r="AU20" i="3"/>
  <c r="BB19" i="3"/>
  <c r="BI18" i="3"/>
  <c r="BA17" i="3"/>
  <c r="BH16" i="3"/>
  <c r="AT16" i="3"/>
  <c r="BH14" i="3"/>
  <c r="BL12" i="3"/>
  <c r="AY12" i="3"/>
  <c r="BD10" i="3"/>
  <c r="BM7" i="3"/>
  <c r="AZ7" i="3"/>
  <c r="BG6" i="3"/>
  <c r="BA5" i="3"/>
  <c r="BI4" i="3"/>
  <c r="AV4" i="3"/>
  <c r="BM39" i="3"/>
  <c r="AX39" i="3"/>
  <c r="BB36" i="3"/>
  <c r="BI35" i="3"/>
  <c r="AU35" i="3"/>
  <c r="BH33" i="3"/>
  <c r="BA32" i="3"/>
  <c r="BL30" i="3"/>
  <c r="BE25" i="3"/>
  <c r="BC23" i="3"/>
  <c r="BI22" i="3"/>
  <c r="AU22" i="3"/>
  <c r="BA21" i="3"/>
  <c r="BN19" i="3"/>
  <c r="AZ19" i="3"/>
  <c r="BG18" i="3"/>
  <c r="BN17" i="3"/>
  <c r="BF16" i="3"/>
  <c r="BM15" i="3"/>
  <c r="AY15" i="3"/>
  <c r="AT14" i="3"/>
  <c r="BB13" i="3"/>
  <c r="BJ12" i="3"/>
  <c r="AT11" i="3"/>
  <c r="BB10" i="3"/>
  <c r="BD8" i="3"/>
  <c r="BK7" i="3"/>
  <c r="AX7" i="3"/>
  <c r="BM5" i="3"/>
  <c r="BD75" i="3"/>
  <c r="AY74" i="3"/>
  <c r="BC72" i="3"/>
  <c r="AY70" i="3"/>
  <c r="BJ69" i="3"/>
  <c r="BK67" i="3"/>
  <c r="BI66" i="3"/>
  <c r="BG65" i="3"/>
  <c r="AU65" i="3"/>
  <c r="AZ62" i="3"/>
  <c r="BI61" i="3"/>
  <c r="BG60" i="3"/>
  <c r="BE59" i="3"/>
  <c r="BN58" i="3"/>
  <c r="BM54" i="3"/>
  <c r="AY51" i="3"/>
  <c r="BM44" i="3"/>
  <c r="AW44" i="3"/>
  <c r="BB43" i="3"/>
  <c r="BG42" i="3"/>
  <c r="BM41" i="3"/>
  <c r="BE40" i="3"/>
  <c r="BK39" i="3"/>
  <c r="BB38" i="3"/>
  <c r="BH37" i="3"/>
  <c r="AT37" i="3"/>
  <c r="AZ36" i="3"/>
  <c r="BG35" i="3"/>
  <c r="BN34" i="3"/>
  <c r="AZ34" i="3"/>
  <c r="BM32" i="3"/>
  <c r="AY29" i="3"/>
  <c r="BD28" i="3"/>
  <c r="BI27" i="3"/>
  <c r="BN26" i="3"/>
  <c r="AX26" i="3"/>
  <c r="BC25" i="3"/>
  <c r="BJ24" i="3"/>
  <c r="AU24" i="3"/>
  <c r="BG22" i="3"/>
  <c r="BN21" i="3"/>
  <c r="AY21" i="3"/>
  <c r="BF20" i="3"/>
  <c r="AX19" i="3"/>
  <c r="BE18" i="3"/>
  <c r="BL17" i="3"/>
  <c r="AX17" i="3"/>
  <c r="AW15" i="3"/>
  <c r="BE14" i="3"/>
  <c r="BB8" i="3"/>
  <c r="BD6" i="3"/>
  <c r="BK5" i="3"/>
  <c r="BF4" i="3"/>
  <c r="AT60" i="3"/>
  <c r="BA58" i="3"/>
  <c r="AY57" i="3"/>
  <c r="AU56" i="3"/>
  <c r="AT53" i="3"/>
  <c r="BL51" i="3"/>
  <c r="BA49" i="3"/>
  <c r="BK44" i="3"/>
  <c r="AU44" i="3"/>
  <c r="AZ43" i="3"/>
  <c r="AW41" i="3"/>
  <c r="BM36" i="3"/>
  <c r="BL34" i="3"/>
  <c r="AX34" i="3"/>
  <c r="AW32" i="3"/>
  <c r="BC31" i="3"/>
  <c r="AZ23" i="3"/>
  <c r="AW21" i="3"/>
  <c r="BD20" i="3"/>
  <c r="BC18" i="3"/>
  <c r="BJ17" i="3"/>
  <c r="AV17" i="3"/>
  <c r="AU15" i="3"/>
  <c r="BG12" i="3"/>
  <c r="AU12" i="3"/>
  <c r="BD4" i="3"/>
  <c r="BL29" i="3"/>
  <c r="AV29" i="3"/>
  <c r="BA28" i="3"/>
  <c r="BF27" i="3"/>
  <c r="BK26" i="3"/>
  <c r="AZ25" i="3"/>
  <c r="BG24" i="3"/>
  <c r="BM23" i="3"/>
  <c r="BE22" i="3"/>
  <c r="AV19" i="3"/>
  <c r="BB16" i="3"/>
  <c r="BC14" i="3"/>
  <c r="BC11" i="3"/>
  <c r="AX10" i="3"/>
  <c r="BH5" i="3"/>
  <c r="BN108" i="1"/>
  <c r="AU108" i="1"/>
  <c r="BM106" i="1"/>
  <c r="BC106" i="1"/>
  <c r="BG105" i="1"/>
  <c r="AZ105" i="1"/>
  <c r="AW105" i="1"/>
  <c r="BK104" i="1"/>
  <c r="BH104" i="1"/>
  <c r="BL103" i="1"/>
  <c r="BB103" i="1"/>
  <c r="BF102" i="1"/>
  <c r="AY102" i="1"/>
  <c r="AV102" i="1"/>
  <c r="BJ101" i="1"/>
  <c r="BG101" i="1"/>
  <c r="BK100" i="1"/>
  <c r="BA100" i="1"/>
  <c r="BE99" i="1"/>
  <c r="AX99" i="1"/>
  <c r="AU99" i="1"/>
  <c r="BI98" i="1"/>
  <c r="BF98" i="1"/>
  <c r="BJ97" i="1"/>
  <c r="AZ97" i="1"/>
  <c r="BD96" i="1"/>
  <c r="AW96" i="1"/>
  <c r="AT96" i="1"/>
  <c r="BH95" i="1"/>
  <c r="BE95" i="1"/>
  <c r="BI94" i="1"/>
  <c r="AY94" i="1"/>
  <c r="BC93" i="1"/>
  <c r="AV93" i="1"/>
  <c r="BN92" i="1"/>
  <c r="BG92" i="1"/>
  <c r="BD92" i="1"/>
  <c r="BH91" i="1"/>
  <c r="AX91" i="1"/>
  <c r="BB90" i="1"/>
  <c r="AU90" i="1"/>
  <c r="BM89" i="1"/>
  <c r="BF89" i="1"/>
  <c r="BC89" i="1"/>
  <c r="BG88" i="1"/>
  <c r="AT88" i="1"/>
  <c r="BD86" i="1"/>
  <c r="BN84" i="1"/>
  <c r="BC83" i="1"/>
  <c r="AU82" i="1"/>
  <c r="AX80" i="1"/>
  <c r="BK79" i="1"/>
  <c r="BG79" i="1"/>
  <c r="AY79" i="1"/>
  <c r="BB78" i="1"/>
  <c r="BL76" i="1"/>
  <c r="BA75" i="1"/>
  <c r="BK73" i="1"/>
  <c r="AZ65" i="1"/>
  <c r="AW66" i="1"/>
  <c r="AY62" i="1"/>
  <c r="AV63" i="1"/>
  <c r="AW108" i="1"/>
  <c r="BH107" i="1"/>
  <c r="AX107" i="1"/>
  <c r="BE106" i="1"/>
  <c r="BB106" i="1"/>
  <c r="AU106" i="1"/>
  <c r="BM105" i="1"/>
  <c r="BF105" i="1"/>
  <c r="BC105" i="1"/>
  <c r="BG104" i="1"/>
  <c r="AW104" i="1"/>
  <c r="BA103" i="1"/>
  <c r="AT103" i="1"/>
  <c r="BL102" i="1"/>
  <c r="BE102" i="1"/>
  <c r="BB102" i="1"/>
  <c r="BF101" i="1"/>
  <c r="AV101" i="1"/>
  <c r="AZ100" i="1"/>
  <c r="BN99" i="1"/>
  <c r="BK99" i="1"/>
  <c r="BD99" i="1"/>
  <c r="BA99" i="1"/>
  <c r="BE98" i="1"/>
  <c r="AU98" i="1"/>
  <c r="AY97" i="1"/>
  <c r="BM96" i="1"/>
  <c r="BJ96" i="1"/>
  <c r="BC96" i="1"/>
  <c r="AZ96" i="1"/>
  <c r="BD95" i="1"/>
  <c r="AT95" i="1"/>
  <c r="AX94" i="1"/>
  <c r="BL93" i="1"/>
  <c r="BI93" i="1"/>
  <c r="BB93" i="1"/>
  <c r="AY93" i="1"/>
  <c r="BC92" i="1"/>
  <c r="BN91" i="1"/>
  <c r="AW91" i="1"/>
  <c r="BK90" i="1"/>
  <c r="BH90" i="1"/>
  <c r="BA90" i="1"/>
  <c r="AX90" i="1"/>
  <c r="BB89" i="1"/>
  <c r="BM88" i="1"/>
  <c r="AW70" i="1"/>
  <c r="BB65" i="1"/>
  <c r="BA62" i="1"/>
  <c r="BG64" i="1"/>
  <c r="BF61" i="1"/>
  <c r="BK107" i="1"/>
  <c r="BL86" i="1"/>
  <c r="BA85" i="1"/>
  <c r="BK83" i="1"/>
  <c r="BC82" i="1"/>
  <c r="AY107" i="1"/>
  <c r="BJ106" i="1"/>
  <c r="BG106" i="1"/>
  <c r="BD106" i="1"/>
  <c r="AT106" i="1"/>
  <c r="BL105" i="1"/>
  <c r="BI105" i="1"/>
  <c r="AY105" i="1"/>
  <c r="AV105" i="1"/>
  <c r="BN104" i="1"/>
  <c r="BD104" i="1"/>
  <c r="BA104" i="1"/>
  <c r="AX104" i="1"/>
  <c r="BI103" i="1"/>
  <c r="BF103" i="1"/>
  <c r="BC103" i="1"/>
  <c r="BN102" i="1"/>
  <c r="BK102" i="1"/>
  <c r="BH102" i="1"/>
  <c r="AX102" i="1"/>
  <c r="AU102" i="1"/>
  <c r="BM101" i="1"/>
  <c r="BC101" i="1"/>
  <c r="AZ101" i="1"/>
  <c r="AW101" i="1"/>
  <c r="BH100" i="1"/>
  <c r="BE100" i="1"/>
  <c r="BB100" i="1"/>
  <c r="BM99" i="1"/>
  <c r="BJ99" i="1"/>
  <c r="BG99" i="1"/>
  <c r="AW99" i="1"/>
  <c r="AT99" i="1"/>
  <c r="BL98" i="1"/>
  <c r="BB98" i="1"/>
  <c r="AY98" i="1"/>
  <c r="AV98" i="1"/>
  <c r="BG97" i="1"/>
  <c r="BD97" i="1"/>
  <c r="BA97" i="1"/>
  <c r="BL96" i="1"/>
  <c r="BI96" i="1"/>
  <c r="BF96" i="1"/>
  <c r="AV96" i="1"/>
  <c r="BN95" i="1"/>
  <c r="BK95" i="1"/>
  <c r="BA95" i="1"/>
  <c r="AX95" i="1"/>
  <c r="AU95" i="1"/>
  <c r="BF94" i="1"/>
  <c r="BC94" i="1"/>
  <c r="AZ94" i="1"/>
  <c r="BK93" i="1"/>
  <c r="BH93" i="1"/>
  <c r="BE93" i="1"/>
  <c r="AU93" i="1"/>
  <c r="BM92" i="1"/>
  <c r="BJ92" i="1"/>
  <c r="AZ92" i="1"/>
  <c r="AW92" i="1"/>
  <c r="AT92" i="1"/>
  <c r="BE91" i="1"/>
  <c r="BB91" i="1"/>
  <c r="AY91" i="1"/>
  <c r="BJ90" i="1"/>
  <c r="BG90" i="1"/>
  <c r="BD90" i="1"/>
  <c r="AT90" i="1"/>
  <c r="BL89" i="1"/>
  <c r="BI89" i="1"/>
  <c r="AY89" i="1"/>
  <c r="AV89" i="1"/>
  <c r="BN88" i="1"/>
  <c r="BD88" i="1"/>
  <c r="BA88" i="1"/>
  <c r="AX88" i="1"/>
  <c r="BI87" i="1"/>
  <c r="BF87" i="1"/>
  <c r="BC87" i="1"/>
  <c r="BN86" i="1"/>
  <c r="BK86" i="1"/>
  <c r="BH86" i="1"/>
  <c r="AX86" i="1"/>
  <c r="AU86" i="1"/>
  <c r="BM85" i="1"/>
  <c r="BC85" i="1"/>
  <c r="AZ85" i="1"/>
  <c r="AW85" i="1"/>
  <c r="BH84" i="1"/>
  <c r="BE84" i="1"/>
  <c r="BB84" i="1"/>
  <c r="BM83" i="1"/>
  <c r="BJ83" i="1"/>
  <c r="BG83" i="1"/>
  <c r="AW83" i="1"/>
  <c r="AT83" i="1"/>
  <c r="BL82" i="1"/>
  <c r="AY82" i="1"/>
  <c r="AV82" i="1"/>
  <c r="BJ81" i="1"/>
  <c r="BF81" i="1"/>
  <c r="BB81" i="1"/>
  <c r="AX81" i="1"/>
  <c r="AT81" i="1"/>
  <c r="BK80" i="1"/>
  <c r="BG80" i="1"/>
  <c r="BC80" i="1"/>
  <c r="AY80" i="1"/>
  <c r="AU80" i="1"/>
  <c r="BL79" i="1"/>
  <c r="AZ79" i="1"/>
  <c r="AW79" i="1"/>
  <c r="BH78" i="1"/>
  <c r="BD78" i="1"/>
  <c r="BA78" i="1"/>
  <c r="BI77" i="1"/>
  <c r="BF77" i="1"/>
  <c r="BC77" i="1"/>
  <c r="BN76" i="1"/>
  <c r="BK76" i="1"/>
  <c r="BH76" i="1"/>
  <c r="AX76" i="1"/>
  <c r="AU76" i="1"/>
  <c r="BM75" i="1"/>
  <c r="BC75" i="1"/>
  <c r="AZ75" i="1"/>
  <c r="AW75" i="1"/>
  <c r="BH74" i="1"/>
  <c r="BE74" i="1"/>
  <c r="BB74" i="1"/>
  <c r="BJ73" i="1"/>
  <c r="BG73" i="1"/>
  <c r="AT73" i="1"/>
  <c r="BE72" i="1"/>
  <c r="AY72" i="1"/>
  <c r="BJ71" i="1"/>
  <c r="BH71" i="1"/>
  <c r="BL69" i="1"/>
  <c r="AV69" i="1"/>
  <c r="AW68" i="1"/>
  <c r="BB67" i="1"/>
  <c r="BL65" i="1"/>
  <c r="BE66" i="1"/>
  <c r="BA64" i="1"/>
  <c r="AT65" i="1"/>
  <c r="BK62" i="1"/>
  <c r="BD63" i="1"/>
  <c r="AZ61" i="1"/>
  <c r="BN61" i="1"/>
  <c r="BJ59" i="1"/>
  <c r="BC60" i="1"/>
  <c r="AY58" i="1"/>
  <c r="BM58" i="1"/>
  <c r="BI56" i="1"/>
  <c r="BB57" i="1"/>
  <c r="AX55" i="1"/>
  <c r="BL55" i="1"/>
  <c r="BH53" i="1"/>
  <c r="BA54" i="1"/>
  <c r="AW52" i="1"/>
  <c r="BN49" i="1"/>
  <c r="AX49" i="1"/>
  <c r="BM46" i="1"/>
  <c r="AW46" i="1"/>
  <c r="AT45" i="1"/>
  <c r="BM42" i="1"/>
  <c r="BF43" i="1"/>
  <c r="BB41" i="1"/>
  <c r="AU42" i="1"/>
  <c r="BL39" i="1"/>
  <c r="BE40" i="1"/>
  <c r="BA38" i="1"/>
  <c r="AT39" i="1"/>
  <c r="BK36" i="1"/>
  <c r="BD37" i="1"/>
  <c r="AZ35" i="1"/>
  <c r="BN35" i="1"/>
  <c r="BJ33" i="1"/>
  <c r="BC34" i="1"/>
  <c r="AY32" i="1"/>
  <c r="BM32" i="1"/>
  <c r="BI30" i="1"/>
  <c r="BB31" i="1"/>
  <c r="AX29" i="1"/>
  <c r="BL29" i="1"/>
  <c r="BH27" i="1"/>
  <c r="BA28" i="1"/>
  <c r="AW26" i="1"/>
  <c r="BK26" i="1"/>
  <c r="BG24" i="1"/>
  <c r="AZ25" i="1"/>
  <c r="AV23" i="1"/>
  <c r="BJ23" i="1"/>
  <c r="BG20" i="1"/>
  <c r="BL19" i="1"/>
  <c r="BF17" i="1"/>
  <c r="BK16" i="1"/>
  <c r="BE14" i="1"/>
  <c r="BJ13" i="1"/>
  <c r="BD11" i="1"/>
  <c r="BI10" i="1"/>
  <c r="BC8" i="1"/>
  <c r="BH7" i="1"/>
  <c r="BB5" i="1"/>
  <c r="BG4" i="1"/>
  <c r="BF74" i="3"/>
  <c r="AX74" i="3"/>
  <c r="BK73" i="3"/>
  <c r="BC73" i="3"/>
  <c r="AU73" i="3"/>
  <c r="BH72" i="3"/>
  <c r="AZ72" i="3"/>
  <c r="BM71" i="3"/>
  <c r="BE71" i="3"/>
  <c r="AW71" i="3"/>
  <c r="BJ70" i="3"/>
  <c r="AU60" i="1"/>
  <c r="BE58" i="1"/>
  <c r="AT57" i="1"/>
  <c r="BD55" i="1"/>
  <c r="BN53" i="1"/>
  <c r="BI48" i="1"/>
  <c r="BH45" i="1"/>
  <c r="AX43" i="1"/>
  <c r="BH41" i="1"/>
  <c r="AW40" i="1"/>
  <c r="BG38" i="1"/>
  <c r="AV37" i="1"/>
  <c r="BF35" i="1"/>
  <c r="AU34" i="1"/>
  <c r="BE32" i="1"/>
  <c r="AT31" i="1"/>
  <c r="BD29" i="1"/>
  <c r="BN27" i="1"/>
  <c r="BC26" i="1"/>
  <c r="BM24" i="1"/>
  <c r="BB23" i="1"/>
  <c r="BB19" i="1"/>
  <c r="BA16" i="1"/>
  <c r="AZ13" i="1"/>
  <c r="AY10" i="1"/>
  <c r="AX7" i="1"/>
  <c r="BI67" i="3"/>
  <c r="BI68" i="3"/>
  <c r="BA87" i="1"/>
  <c r="BF86" i="1"/>
  <c r="BK85" i="1"/>
  <c r="AU85" i="1"/>
  <c r="AZ84" i="1"/>
  <c r="BE83" i="1"/>
  <c r="BG82" i="1"/>
  <c r="BN79" i="1"/>
  <c r="BM78" i="1"/>
  <c r="BJ78" i="1"/>
  <c r="AV78" i="1"/>
  <c r="BA77" i="1"/>
  <c r="BF76" i="1"/>
  <c r="BK75" i="1"/>
  <c r="AU75" i="1"/>
  <c r="AZ74" i="1"/>
  <c r="AW72" i="1"/>
  <c r="BC70" i="1"/>
  <c r="AX69" i="1"/>
  <c r="BG66" i="1"/>
  <c r="AZ67" i="1"/>
  <c r="AV65" i="1"/>
  <c r="BJ65" i="1"/>
  <c r="BF63" i="1"/>
  <c r="AY64" i="1"/>
  <c r="AU62" i="1"/>
  <c r="BI62" i="1"/>
  <c r="BE60" i="1"/>
  <c r="AX61" i="1"/>
  <c r="AT59" i="1"/>
  <c r="BH59" i="1"/>
  <c r="BD57" i="1"/>
  <c r="AW58" i="1"/>
  <c r="BN55" i="1"/>
  <c r="BG56" i="1"/>
  <c r="BC54" i="1"/>
  <c r="AV55" i="1"/>
  <c r="BI52" i="1"/>
  <c r="BF53" i="1"/>
  <c r="BI50" i="1"/>
  <c r="BH47" i="1"/>
  <c r="BB45" i="1"/>
  <c r="BG44" i="1"/>
  <c r="BH43" i="1"/>
  <c r="AW42" i="1"/>
  <c r="BK42" i="1"/>
  <c r="BG40" i="1"/>
  <c r="AZ41" i="1"/>
  <c r="AV39" i="1"/>
  <c r="BJ39" i="1"/>
  <c r="BF37" i="1"/>
  <c r="AY38" i="1"/>
  <c r="AU36" i="1"/>
  <c r="BI36" i="1"/>
  <c r="BE34" i="1"/>
  <c r="AX35" i="1"/>
  <c r="AT33" i="1"/>
  <c r="BH33" i="1"/>
  <c r="BD31" i="1"/>
  <c r="AW32" i="1"/>
  <c r="BN29" i="1"/>
  <c r="BG30" i="1"/>
  <c r="BC28" i="1"/>
  <c r="AV29" i="1"/>
  <c r="BM26" i="1"/>
  <c r="BF27" i="1"/>
  <c r="BB25" i="1"/>
  <c r="AU26" i="1"/>
  <c r="BL23" i="1"/>
  <c r="BE24" i="1"/>
  <c r="AW22" i="1"/>
  <c r="AT23" i="1"/>
  <c r="AX21" i="1"/>
  <c r="BL21" i="1"/>
  <c r="BA18" i="1"/>
  <c r="AZ15" i="1"/>
  <c r="AY12" i="1"/>
  <c r="AX9" i="1"/>
  <c r="AW6" i="1"/>
  <c r="AT5" i="1"/>
  <c r="AU4" i="1"/>
  <c r="BJ74" i="3"/>
  <c r="BB74" i="3"/>
  <c r="AT74" i="3"/>
  <c r="BG73" i="3"/>
  <c r="AY73" i="3"/>
  <c r="BL72" i="3"/>
  <c r="BD72" i="3"/>
  <c r="AV72" i="3"/>
  <c r="BI71" i="3"/>
  <c r="BA71" i="3"/>
  <c r="BN70" i="3"/>
  <c r="BF70" i="3"/>
  <c r="BL68" i="3"/>
  <c r="AV68" i="3"/>
  <c r="AV69" i="3"/>
  <c r="AZ59" i="1"/>
  <c r="BJ57" i="1"/>
  <c r="AY56" i="1"/>
  <c r="BI54" i="1"/>
  <c r="AX53" i="1"/>
  <c r="BC52" i="1"/>
  <c r="AY50" i="1"/>
  <c r="AX47" i="1"/>
  <c r="BN43" i="1"/>
  <c r="BC42" i="1"/>
  <c r="BM40" i="1"/>
  <c r="BB39" i="1"/>
  <c r="BL37" i="1"/>
  <c r="BA36" i="1"/>
  <c r="BK34" i="1"/>
  <c r="AZ33" i="1"/>
  <c r="BJ31" i="1"/>
  <c r="AY30" i="1"/>
  <c r="BI28" i="1"/>
  <c r="AX27" i="1"/>
  <c r="BH25" i="1"/>
  <c r="AW24" i="1"/>
  <c r="BG22" i="1"/>
  <c r="BM20" i="1"/>
  <c r="BL17" i="1"/>
  <c r="BK14" i="1"/>
  <c r="BJ11" i="1"/>
  <c r="BI8" i="1"/>
  <c r="BH5" i="1"/>
  <c r="BN56" i="3"/>
  <c r="BF56" i="3"/>
  <c r="AX56" i="3"/>
  <c r="BM55" i="3"/>
  <c r="BH55" i="3"/>
  <c r="AV55" i="3"/>
  <c r="BK54" i="3"/>
  <c r="BB54" i="3"/>
  <c r="AW54" i="3"/>
  <c r="BF53" i="3"/>
  <c r="AZ53" i="3"/>
  <c r="BL52" i="3"/>
  <c r="BD51" i="3"/>
  <c r="BG56" i="3"/>
  <c r="BE51" i="3"/>
  <c r="BK68" i="3"/>
  <c r="BC68" i="3"/>
  <c r="BA68" i="3"/>
  <c r="BL56" i="3"/>
  <c r="BD56" i="3"/>
  <c r="BN55" i="3"/>
  <c r="BE55" i="3"/>
  <c r="BC54" i="3"/>
  <c r="AT54" i="3"/>
  <c r="AY52" i="3"/>
  <c r="BH51" i="3"/>
  <c r="BA51" i="3"/>
  <c r="AU50" i="3"/>
  <c r="BH49" i="3"/>
  <c r="AZ49" i="3"/>
  <c r="AT49" i="3"/>
  <c r="BK48" i="3"/>
  <c r="BG48" i="3"/>
  <c r="BC48" i="3"/>
  <c r="AY48" i="3"/>
  <c r="AU48" i="3"/>
  <c r="BL47" i="3"/>
  <c r="BH47" i="3"/>
  <c r="BD47" i="3"/>
  <c r="AZ47" i="3"/>
  <c r="AV47" i="3"/>
  <c r="BM46" i="3"/>
  <c r="BI46" i="3"/>
  <c r="BE46" i="3"/>
  <c r="BA46" i="3"/>
  <c r="AW46" i="3"/>
  <c r="BN45" i="3"/>
  <c r="BJ45" i="3"/>
  <c r="BF45" i="3"/>
  <c r="BB45" i="3"/>
  <c r="AX45" i="3"/>
  <c r="BL49" i="3"/>
  <c r="BD49" i="3"/>
  <c r="AV49" i="3"/>
  <c r="BM48" i="3"/>
  <c r="BI48" i="3"/>
  <c r="BE48" i="3"/>
  <c r="BA48" i="3"/>
  <c r="AW48" i="3"/>
  <c r="BN47" i="3"/>
  <c r="BJ47" i="3"/>
  <c r="BF47" i="3"/>
  <c r="BB47" i="3"/>
  <c r="AX47" i="3"/>
  <c r="AT47" i="3"/>
  <c r="BK46" i="3"/>
  <c r="BG46" i="3"/>
  <c r="BC46" i="3"/>
  <c r="AY46" i="3"/>
  <c r="AU46" i="3"/>
  <c r="BH45" i="3"/>
  <c r="AU42" i="3"/>
  <c r="AZ41" i="3"/>
  <c r="BN40" i="3"/>
  <c r="BK40" i="3"/>
  <c r="BD40" i="3"/>
  <c r="BA40" i="3"/>
  <c r="BE39" i="3"/>
  <c r="AU39" i="3"/>
  <c r="AY38" i="3"/>
  <c r="BM37" i="3"/>
  <c r="BJ37" i="3"/>
  <c r="BC37" i="3"/>
  <c r="AZ37" i="3"/>
  <c r="BD36" i="3"/>
  <c r="BL35" i="3"/>
  <c r="BD42" i="3"/>
  <c r="BA42" i="3"/>
  <c r="AT42" i="3"/>
  <c r="BL41" i="3"/>
  <c r="AW39" i="3"/>
  <c r="BE31" i="3"/>
  <c r="AU41" i="3"/>
  <c r="BF40" i="3"/>
  <c r="BJ39" i="3"/>
  <c r="BC39" i="3"/>
  <c r="AZ39" i="3"/>
  <c r="BN38" i="3"/>
  <c r="BK38" i="3"/>
  <c r="AT38" i="3"/>
  <c r="BE37" i="3"/>
  <c r="BI36" i="3"/>
  <c r="AW31" i="3"/>
  <c r="BI30" i="3"/>
  <c r="BI31" i="3"/>
  <c r="BH41" i="3"/>
  <c r="BE41" i="3"/>
  <c r="BB41" i="3"/>
  <c r="BM40" i="3"/>
  <c r="BJ40" i="3"/>
  <c r="BG40" i="3"/>
  <c r="AW40" i="3"/>
  <c r="AT40" i="3"/>
  <c r="BL39" i="3"/>
  <c r="BB39" i="3"/>
  <c r="AY39" i="3"/>
  <c r="AV39" i="3"/>
  <c r="BG38" i="3"/>
  <c r="BD38" i="3"/>
  <c r="BA38" i="3"/>
  <c r="BL37" i="3"/>
  <c r="BI37" i="3"/>
  <c r="BF37" i="3"/>
  <c r="AV37" i="3"/>
  <c r="BN36" i="3"/>
  <c r="BK36" i="3"/>
  <c r="BA36" i="3"/>
  <c r="AX36" i="3"/>
  <c r="AU36" i="3"/>
  <c r="BF35" i="3"/>
  <c r="BC35" i="3"/>
  <c r="AZ35" i="3"/>
  <c r="BK34" i="3"/>
  <c r="BH34" i="3"/>
  <c r="BE34" i="3"/>
  <c r="AU34" i="3"/>
  <c r="BM33" i="3"/>
  <c r="BJ33" i="3"/>
  <c r="AZ33" i="3"/>
  <c r="AW33" i="3"/>
  <c r="AT33" i="3"/>
  <c r="BE32" i="3"/>
  <c r="BB32" i="3"/>
  <c r="AY32" i="3"/>
  <c r="BJ31" i="3"/>
  <c r="BG31" i="3"/>
  <c r="BK30" i="3"/>
  <c r="BH30" i="3"/>
  <c r="BD30" i="3"/>
  <c r="AZ30" i="3"/>
  <c r="AV30" i="3"/>
  <c r="BM29" i="3"/>
  <c r="BI29" i="3"/>
  <c r="BE29" i="3"/>
  <c r="BA29" i="3"/>
  <c r="AW29" i="3"/>
  <c r="BN28" i="3"/>
  <c r="BJ28" i="3"/>
  <c r="BF28" i="3"/>
  <c r="BB28" i="3"/>
  <c r="AX28" i="3"/>
  <c r="AT28" i="3"/>
  <c r="BK27" i="3"/>
  <c r="BG27" i="3"/>
  <c r="BC27" i="3"/>
  <c r="AY27" i="3"/>
  <c r="AU27" i="3"/>
  <c r="BL26" i="3"/>
  <c r="BH26" i="3"/>
  <c r="BD26" i="3"/>
  <c r="AZ26" i="3"/>
  <c r="AV26" i="3"/>
  <c r="BM25" i="3"/>
  <c r="AY35" i="3"/>
  <c r="AV35" i="3"/>
  <c r="BD34" i="3"/>
  <c r="BA34" i="3"/>
  <c r="BI33" i="3"/>
  <c r="BF33" i="3"/>
  <c r="BN32" i="3"/>
  <c r="BK32" i="3"/>
  <c r="AX32" i="3"/>
  <c r="AU32" i="3"/>
  <c r="BN30" i="3"/>
  <c r="BL31" i="3"/>
  <c r="BF30" i="3"/>
  <c r="BB30" i="3"/>
  <c r="AX30" i="3"/>
  <c r="AT30" i="3"/>
  <c r="BK29" i="3"/>
  <c r="BG29" i="3"/>
  <c r="BJ82" i="1"/>
  <c r="BB82" i="1"/>
  <c r="AT82" i="1"/>
  <c r="BL81" i="1"/>
  <c r="BH81" i="1"/>
  <c r="BD81" i="1"/>
  <c r="AZ81" i="1"/>
  <c r="AV81" i="1"/>
  <c r="BM80" i="1"/>
  <c r="BI80" i="1"/>
  <c r="BE80" i="1"/>
  <c r="BA80" i="1"/>
  <c r="AW80" i="1"/>
  <c r="BJ79" i="1"/>
  <c r="BF79" i="1"/>
  <c r="BB79" i="1"/>
  <c r="BN78" i="1"/>
  <c r="BG78" i="1"/>
  <c r="AX78" i="1"/>
  <c r="AY108" i="1"/>
  <c r="BL107" i="1"/>
  <c r="BD107" i="1"/>
  <c r="BI73" i="1"/>
  <c r="BA73" i="1"/>
  <c r="BM73" i="1"/>
  <c r="AW73" i="1"/>
  <c r="BJ51" i="1"/>
  <c r="BF21" i="1"/>
  <c r="AV5" i="1"/>
  <c r="BB31" i="3"/>
  <c r="AT31" i="3"/>
  <c r="BG30" i="3"/>
  <c r="BA30" i="3"/>
  <c r="AW30" i="3"/>
  <c r="BN29" i="3"/>
  <c r="BJ29" i="3"/>
  <c r="BG11" i="3"/>
  <c r="BA11" i="3"/>
  <c r="BM10" i="3"/>
  <c r="BH10" i="3"/>
  <c r="AV10" i="3"/>
  <c r="BK9" i="3"/>
  <c r="BB9" i="3"/>
  <c r="AW9" i="3"/>
  <c r="BF8" i="3"/>
  <c r="AZ8" i="3"/>
  <c r="BL7" i="3"/>
  <c r="BG7" i="3"/>
  <c r="AU7" i="3"/>
  <c r="BJ6" i="3"/>
  <c r="BA6" i="3"/>
  <c r="AV6" i="3"/>
  <c r="BK3" i="3"/>
  <c r="BA3" i="3"/>
  <c r="AY3" i="3"/>
  <c r="BH4" i="3"/>
  <c r="AZ4" i="3"/>
  <c r="BG3" i="3"/>
  <c r="AU3" i="3"/>
  <c r="AT3" i="3"/>
</calcChain>
</file>

<file path=xl/sharedStrings.xml><?xml version="1.0" encoding="utf-8"?>
<sst xmlns="http://schemas.openxmlformats.org/spreadsheetml/2006/main" count="195" uniqueCount="35">
  <si>
    <t>France</t>
  </si>
  <si>
    <t xml:space="preserve">Portugal </t>
  </si>
  <si>
    <t>Canada</t>
  </si>
  <si>
    <t>Sri Lanka</t>
  </si>
  <si>
    <t xml:space="preserve">Austria </t>
  </si>
  <si>
    <t xml:space="preserve">Belgium </t>
  </si>
  <si>
    <t xml:space="preserve">Denmark </t>
  </si>
  <si>
    <t xml:space="preserve">Finland </t>
  </si>
  <si>
    <t xml:space="preserve">Germany </t>
  </si>
  <si>
    <t xml:space="preserve">Italy </t>
  </si>
  <si>
    <t xml:space="preserve">Netherlands </t>
  </si>
  <si>
    <t xml:space="preserve">Norway </t>
  </si>
  <si>
    <t xml:space="preserve">Sweden </t>
  </si>
  <si>
    <t xml:space="preserve">Switzerland </t>
  </si>
  <si>
    <t xml:space="preserve">Spain </t>
  </si>
  <si>
    <t xml:space="preserve">Brazil </t>
  </si>
  <si>
    <t xml:space="preserve">Japan </t>
  </si>
  <si>
    <t xml:space="preserve">Population </t>
  </si>
  <si>
    <t>UK</t>
  </si>
  <si>
    <t>USA</t>
  </si>
  <si>
    <t xml:space="preserve">N. Zealand </t>
  </si>
  <si>
    <t xml:space="preserve"> Real GDP</t>
    <phoneticPr fontId="2" type="noConversion"/>
  </si>
  <si>
    <t>Sri Lanka</t>
    <phoneticPr fontId="2" type="noConversion"/>
  </si>
  <si>
    <t>Uruguay</t>
    <phoneticPr fontId="2" type="noConversion"/>
  </si>
  <si>
    <t xml:space="preserve">Austria </t>
    <phoneticPr fontId="2" type="noConversion"/>
  </si>
  <si>
    <t xml:space="preserve">Portugal </t>
    <phoneticPr fontId="2" type="noConversion"/>
  </si>
  <si>
    <t xml:space="preserve">Switzerland </t>
    <phoneticPr fontId="2" type="noConversion"/>
  </si>
  <si>
    <t>Uruguay</t>
    <phoneticPr fontId="2" type="noConversion"/>
  </si>
  <si>
    <t xml:space="preserve">Austria </t>
    <phoneticPr fontId="2" type="noConversion"/>
  </si>
  <si>
    <t xml:space="preserve">Portugal </t>
    <phoneticPr fontId="2" type="noConversion"/>
  </si>
  <si>
    <t xml:space="preserve">Switzerland </t>
    <phoneticPr fontId="2" type="noConversion"/>
  </si>
  <si>
    <t>Growth Rate</t>
    <phoneticPr fontId="2" type="noConversion"/>
  </si>
  <si>
    <t>Uruguay</t>
  </si>
  <si>
    <t>CO2</t>
  </si>
  <si>
    <t>CO2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</si>
</sst>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#,##0.0000_);[Red]\(#,##0.0000\)"/>
    <numFmt numFmtId="178" formatCode="#,##0.00000;[Red]\-#,##0.00000"/>
  </numFmts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1" fillId="0" borderId="0"/>
  </cellStyleXfs>
  <cellXfs count="47">
    <xf numFmtId="0" fontId="0" fillId="0" borderId="0" xfId="0"/>
    <xf numFmtId="38" fontId="3" fillId="2" borderId="1" xfId="0" applyNumberFormat="1" applyFont="1" applyFill="1" applyBorder="1" applyAlignment="1"/>
    <xf numFmtId="38" fontId="4" fillId="2" borderId="1" xfId="0" applyNumberFormat="1" applyFont="1" applyFill="1" applyBorder="1" applyAlignment="1">
      <alignment horizontal="center" wrapText="1"/>
    </xf>
    <xf numFmtId="38" fontId="3" fillId="2" borderId="1" xfId="0" applyNumberFormat="1" applyFont="1" applyFill="1" applyBorder="1" applyAlignment="1">
      <alignment horizontal="center" wrapText="1"/>
    </xf>
    <xf numFmtId="38" fontId="4" fillId="2" borderId="1" xfId="0" applyNumberFormat="1" applyFont="1" applyFill="1" applyBorder="1" applyAlignment="1">
      <alignment horizontal="center" vertical="justify" wrapText="1"/>
    </xf>
    <xf numFmtId="38" fontId="4" fillId="2" borderId="1" xfId="0" applyNumberFormat="1" applyFont="1" applyFill="1" applyBorder="1" applyAlignment="1">
      <alignment horizontal="center" vertical="justify"/>
    </xf>
    <xf numFmtId="38" fontId="3" fillId="2" borderId="1" xfId="0" applyNumberFormat="1" applyFont="1" applyFill="1" applyBorder="1" applyAlignment="1">
      <alignment wrapText="1"/>
    </xf>
    <xf numFmtId="38" fontId="3" fillId="2" borderId="1" xfId="0" applyNumberFormat="1" applyFont="1" applyFill="1" applyBorder="1"/>
    <xf numFmtId="38" fontId="4" fillId="2" borderId="1" xfId="0" applyNumberFormat="1" applyFont="1" applyFill="1" applyBorder="1"/>
    <xf numFmtId="38" fontId="3" fillId="2" borderId="1" xfId="1" applyNumberFormat="1" applyFont="1" applyFill="1" applyBorder="1" applyAlignment="1">
      <alignment wrapText="1"/>
    </xf>
    <xf numFmtId="38" fontId="3" fillId="2" borderId="1" xfId="2" applyNumberFormat="1" applyFont="1" applyFill="1" applyBorder="1" applyAlignment="1">
      <alignment horizontal="right"/>
    </xf>
    <xf numFmtId="38" fontId="6" fillId="0" borderId="0" xfId="0" applyNumberFormat="1" applyFont="1" applyAlignment="1"/>
    <xf numFmtId="38" fontId="4" fillId="0" borderId="0" xfId="0" applyNumberFormat="1" applyFont="1" applyFill="1" applyAlignment="1">
      <alignment horizontal="center" wrapText="1"/>
    </xf>
    <xf numFmtId="38" fontId="3" fillId="0" borderId="0" xfId="0" applyNumberFormat="1" applyFont="1" applyFill="1" applyBorder="1" applyAlignment="1">
      <alignment horizontal="center" wrapText="1"/>
    </xf>
    <xf numFmtId="38" fontId="4" fillId="0" borderId="0" xfId="0" applyNumberFormat="1" applyFont="1" applyAlignment="1">
      <alignment horizontal="center" wrapText="1"/>
    </xf>
    <xf numFmtId="38" fontId="3" fillId="0" borderId="0" xfId="0" applyNumberFormat="1" applyFont="1" applyFill="1" applyAlignment="1">
      <alignment horizontal="center" wrapText="1"/>
    </xf>
    <xf numFmtId="38" fontId="7" fillId="0" borderId="0" xfId="0" applyNumberFormat="1" applyFont="1" applyAlignment="1">
      <alignment horizontal="center"/>
    </xf>
    <xf numFmtId="38" fontId="6" fillId="0" borderId="0" xfId="0" applyNumberFormat="1" applyFont="1" applyFill="1" applyAlignment="1"/>
    <xf numFmtId="38" fontId="6" fillId="0" borderId="0" xfId="0" applyNumberFormat="1" applyFont="1"/>
    <xf numFmtId="38" fontId="4" fillId="0" borderId="0" xfId="0" applyNumberFormat="1" applyFont="1" applyFill="1"/>
    <xf numFmtId="38" fontId="3" fillId="0" borderId="0" xfId="0" applyNumberFormat="1" applyFont="1" applyFill="1"/>
    <xf numFmtId="38" fontId="4" fillId="0" borderId="0" xfId="0" applyNumberFormat="1" applyFont="1"/>
    <xf numFmtId="38" fontId="6" fillId="0" borderId="0" xfId="0" applyNumberFormat="1" applyFont="1" applyFill="1"/>
    <xf numFmtId="38" fontId="3" fillId="0" borderId="0" xfId="2" applyNumberFormat="1" applyFont="1" applyFill="1" applyAlignment="1">
      <alignment horizontal="right"/>
    </xf>
    <xf numFmtId="38" fontId="3" fillId="0" borderId="0" xfId="0" applyNumberFormat="1" applyFont="1"/>
    <xf numFmtId="38" fontId="6" fillId="0" borderId="0" xfId="0" applyNumberFormat="1" applyFont="1" applyFill="1" applyAlignment="1">
      <alignment horizontal="right"/>
    </xf>
    <xf numFmtId="38" fontId="8" fillId="0" borderId="0" xfId="0" applyNumberFormat="1" applyFont="1" applyFill="1" applyAlignment="1">
      <alignment horizontal="center" wrapText="1"/>
    </xf>
    <xf numFmtId="177" fontId="5" fillId="0" borderId="0" xfId="0" applyNumberFormat="1" applyFont="1" applyFill="1"/>
    <xf numFmtId="38" fontId="7" fillId="0" borderId="0" xfId="0" applyNumberFormat="1" applyFont="1" applyFill="1" applyAlignment="1">
      <alignment horizontal="center" wrapText="1"/>
    </xf>
    <xf numFmtId="0" fontId="4" fillId="0" borderId="0" xfId="0" applyNumberFormat="1" applyFont="1" applyFill="1"/>
    <xf numFmtId="38" fontId="8" fillId="2" borderId="1" xfId="0" applyNumberFormat="1" applyFont="1" applyFill="1" applyBorder="1" applyAlignment="1">
      <alignment horizontal="center" wrapText="1"/>
    </xf>
    <xf numFmtId="38" fontId="3" fillId="0" borderId="1" xfId="0" applyNumberFormat="1" applyFont="1" applyFill="1" applyBorder="1"/>
    <xf numFmtId="38" fontId="4" fillId="0" borderId="1" xfId="0" applyNumberFormat="1" applyFont="1" applyFill="1" applyBorder="1"/>
    <xf numFmtId="38" fontId="3" fillId="0" borderId="1" xfId="1" applyNumberFormat="1" applyFont="1" applyFill="1" applyBorder="1" applyAlignment="1">
      <alignment wrapText="1"/>
    </xf>
    <xf numFmtId="38" fontId="7" fillId="2" borderId="1" xfId="0" applyNumberFormat="1" applyFont="1" applyFill="1" applyBorder="1" applyAlignment="1">
      <alignment horizontal="center" wrapText="1"/>
    </xf>
    <xf numFmtId="0" fontId="5" fillId="0" borderId="1" xfId="0" applyNumberFormat="1" applyFont="1" applyFill="1" applyBorder="1"/>
    <xf numFmtId="0" fontId="4" fillId="0" borderId="1" xfId="0" applyNumberFormat="1" applyFont="1" applyFill="1" applyBorder="1"/>
    <xf numFmtId="0" fontId="3" fillId="0" borderId="1" xfId="0" applyNumberFormat="1" applyFont="1" applyFill="1" applyBorder="1"/>
    <xf numFmtId="0" fontId="4" fillId="2" borderId="1" xfId="0" applyNumberFormat="1" applyFont="1" applyFill="1" applyBorder="1"/>
    <xf numFmtId="38" fontId="4" fillId="2" borderId="1" xfId="0" applyNumberFormat="1" applyFont="1" applyFill="1" applyBorder="1" applyAlignment="1"/>
    <xf numFmtId="38" fontId="4" fillId="3" borderId="1" xfId="0" applyNumberFormat="1" applyFont="1" applyFill="1" applyBorder="1" applyAlignment="1">
      <alignment horizontal="center" wrapText="1"/>
    </xf>
    <xf numFmtId="0" fontId="0" fillId="3" borderId="0" xfId="0" applyFill="1"/>
    <xf numFmtId="38" fontId="9" fillId="2" borderId="1" xfId="0" applyNumberFormat="1" applyFont="1" applyFill="1" applyBorder="1" applyAlignment="1">
      <alignment horizontal="center" wrapText="1"/>
    </xf>
    <xf numFmtId="0" fontId="10" fillId="0" borderId="0" xfId="0" applyFont="1"/>
    <xf numFmtId="38" fontId="4" fillId="4" borderId="1" xfId="0" applyNumberFormat="1" applyFont="1" applyFill="1" applyBorder="1" applyAlignment="1">
      <alignment horizontal="center" wrapText="1"/>
    </xf>
    <xf numFmtId="0" fontId="0" fillId="4" borderId="0" xfId="0" applyFill="1"/>
    <xf numFmtId="178" fontId="4" fillId="2" borderId="1" xfId="0" applyNumberFormat="1" applyFont="1" applyFill="1" applyBorder="1"/>
  </cellXfs>
  <cellStyles count="3">
    <cellStyle name="Normal_Book1" xfId="2" xr:uid="{00000000-0005-0000-0000-000000000000}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45"/>
  <sheetViews>
    <sheetView zoomScale="85" zoomScaleNormal="85" zoomScaleSheetLayoutView="85" workbookViewId="0">
      <pane xSplit="1" ySplit="1" topLeftCell="B14" activePane="bottomRight" state="frozen"/>
      <selection activeCell="BH186" sqref="BH186"/>
      <selection pane="topRight" activeCell="BH186" sqref="BH186"/>
      <selection pane="bottomLeft" activeCell="BH186" sqref="BH186"/>
      <selection pane="bottomRight" activeCell="B4" sqref="B4"/>
    </sheetView>
  </sheetViews>
  <sheetFormatPr defaultRowHeight="15.75" x14ac:dyDescent="0.25"/>
  <cols>
    <col min="1" max="1" width="12.7109375" style="21" customWidth="1"/>
    <col min="2" max="2" width="10.140625" style="21" bestFit="1" customWidth="1"/>
    <col min="3" max="3" width="9.85546875" style="21" bestFit="1" customWidth="1"/>
    <col min="4" max="4" width="10.5703125" style="21" bestFit="1" customWidth="1"/>
    <col min="5" max="5" width="9.42578125" style="21" bestFit="1" customWidth="1"/>
    <col min="6" max="6" width="10.7109375" style="21" bestFit="1" customWidth="1"/>
    <col min="7" max="7" width="8.85546875" style="21" bestFit="1" customWidth="1"/>
    <col min="8" max="8" width="10.7109375" style="21" bestFit="1" customWidth="1"/>
    <col min="9" max="9" width="10.5703125" style="21" bestFit="1" customWidth="1"/>
    <col min="10" max="11" width="10.7109375" style="21" bestFit="1" customWidth="1"/>
    <col min="12" max="12" width="13.5703125" style="21" bestFit="1" customWidth="1"/>
    <col min="13" max="13" width="9.85546875" style="21" customWidth="1"/>
    <col min="14" max="14" width="9.140625" style="21" bestFit="1" customWidth="1"/>
    <col min="15" max="15" width="10.140625" style="21" customWidth="1"/>
    <col min="16" max="17" width="9.42578125" style="21" bestFit="1" customWidth="1"/>
    <col min="18" max="18" width="9.28515625" style="21" bestFit="1" customWidth="1"/>
    <col min="19" max="19" width="12.7109375" style="21" bestFit="1" customWidth="1"/>
    <col min="20" max="21" width="10.7109375" style="21" bestFit="1" customWidth="1"/>
    <col min="22" max="22" width="9.5703125" style="21" bestFit="1" customWidth="1"/>
    <col min="23" max="23" width="12" style="21" customWidth="1"/>
    <col min="24" max="25" width="8.7109375" style="21" customWidth="1"/>
    <col min="26" max="27" width="9.140625" style="21"/>
    <col min="28" max="28" width="10.7109375" style="21" bestFit="1" customWidth="1"/>
    <col min="29" max="29" width="12" style="21" customWidth="1"/>
    <col min="30" max="30" width="10.42578125" style="21" bestFit="1" customWidth="1"/>
    <col min="31" max="33" width="11.28515625" style="21" bestFit="1" customWidth="1"/>
    <col min="34" max="34" width="13.140625" style="21" customWidth="1"/>
    <col min="35" max="35" width="10" style="21" bestFit="1" customWidth="1"/>
    <col min="36" max="36" width="9.7109375" style="21" bestFit="1" customWidth="1"/>
    <col min="37" max="37" width="9.5703125" style="21" customWidth="1"/>
    <col min="38" max="38" width="9.7109375" style="21" bestFit="1" customWidth="1"/>
    <col min="39" max="39" width="11.28515625" style="21" bestFit="1" customWidth="1"/>
    <col min="40" max="40" width="10.5703125" style="21" bestFit="1" customWidth="1"/>
    <col min="41" max="41" width="12.5703125" style="21" bestFit="1" customWidth="1"/>
    <col min="42" max="42" width="12.28515625" style="21" customWidth="1"/>
    <col min="43" max="43" width="11.28515625" style="21" bestFit="1" customWidth="1"/>
    <col min="44" max="44" width="9" style="21" bestFit="1" customWidth="1"/>
    <col min="45" max="45" width="10.85546875" style="21" customWidth="1"/>
    <col min="46" max="46" width="10.140625" style="21" customWidth="1"/>
    <col min="47" max="47" width="15.7109375" style="21" customWidth="1"/>
    <col min="48" max="48" width="13.42578125" style="21" customWidth="1"/>
    <col min="49" max="49" width="11.42578125" style="21" bestFit="1" customWidth="1"/>
    <col min="50" max="50" width="10.28515625" style="21" bestFit="1" customWidth="1"/>
    <col min="51" max="51" width="15.28515625" style="21" bestFit="1" customWidth="1"/>
    <col min="52" max="52" width="10" style="21" bestFit="1" customWidth="1"/>
    <col min="53" max="53" width="12" style="21" bestFit="1" customWidth="1"/>
    <col min="54" max="55" width="9.28515625" style="21" bestFit="1" customWidth="1"/>
    <col min="56" max="56" width="12.5703125" style="21" bestFit="1" customWidth="1"/>
    <col min="57" max="57" width="13.140625" style="21" bestFit="1" customWidth="1"/>
    <col min="58" max="58" width="12.140625" style="21" bestFit="1" customWidth="1"/>
    <col min="59" max="59" width="10" style="21" bestFit="1" customWidth="1"/>
    <col min="60" max="60" width="10.5703125" style="21" bestFit="1" customWidth="1"/>
    <col min="61" max="61" width="10.5703125" style="21" customWidth="1"/>
    <col min="62" max="62" width="9.85546875" style="21" bestFit="1" customWidth="1"/>
    <col min="63" max="63" width="12.28515625" style="21" bestFit="1" customWidth="1"/>
    <col min="64" max="64" width="10.85546875" style="21" customWidth="1"/>
    <col min="65" max="65" width="9.140625" style="21" bestFit="1" customWidth="1"/>
    <col min="66" max="66" width="12.42578125" style="21" bestFit="1" customWidth="1"/>
    <col min="67" max="67" width="11.28515625" style="21" bestFit="1" customWidth="1"/>
    <col min="68" max="68" width="11.140625" style="21" bestFit="1" customWidth="1"/>
    <col min="69" max="69" width="9.140625" style="21"/>
    <col min="70" max="70" width="7.5703125" style="21" bestFit="1" customWidth="1"/>
    <col min="71" max="71" width="11.28515625" style="21" bestFit="1" customWidth="1"/>
    <col min="72" max="72" width="9" style="21" bestFit="1" customWidth="1"/>
    <col min="73" max="73" width="8" style="21" bestFit="1" customWidth="1"/>
    <col min="74" max="74" width="9.140625" style="21"/>
    <col min="75" max="75" width="11.5703125" style="21" bestFit="1" customWidth="1"/>
    <col min="76" max="76" width="15.42578125" style="21" bestFit="1" customWidth="1"/>
    <col min="77" max="77" width="8.42578125" style="21" bestFit="1" customWidth="1"/>
    <col min="78" max="78" width="11.140625" style="21" bestFit="1" customWidth="1"/>
    <col min="79" max="79" width="7.5703125" style="21" bestFit="1" customWidth="1"/>
    <col min="80" max="80" width="14.85546875" style="21" bestFit="1" customWidth="1"/>
    <col min="81" max="81" width="9.85546875" style="21" bestFit="1" customWidth="1"/>
    <col min="82" max="82" width="11.28515625" style="21" bestFit="1" customWidth="1"/>
    <col min="83" max="83" width="12.28515625" style="21" bestFit="1" customWidth="1"/>
    <col min="84" max="84" width="7" style="21" bestFit="1" customWidth="1"/>
    <col min="85" max="85" width="11.28515625" style="21" bestFit="1" customWidth="1"/>
    <col min="86" max="86" width="9.85546875" style="21" bestFit="1" customWidth="1"/>
    <col min="87" max="87" width="11.5703125" style="21" bestFit="1" customWidth="1"/>
    <col min="88" max="88" width="9.85546875" style="21" bestFit="1" customWidth="1"/>
    <col min="89" max="89" width="10.85546875" style="21" bestFit="1" customWidth="1"/>
    <col min="90" max="90" width="8.42578125" style="21" bestFit="1" customWidth="1"/>
    <col min="91" max="91" width="9.85546875" style="21" customWidth="1"/>
    <col min="92" max="92" width="13.140625" style="21" customWidth="1"/>
    <col min="93" max="93" width="11.5703125" style="24" customWidth="1"/>
    <col min="94" max="94" width="13.28515625" style="21" bestFit="1" customWidth="1"/>
    <col min="95" max="96" width="10.42578125" style="21" bestFit="1" customWidth="1"/>
    <col min="97" max="97" width="11.140625" style="21" bestFit="1" customWidth="1"/>
    <col min="98" max="98" width="9.140625" style="21"/>
    <col min="99" max="99" width="12.28515625" style="21" bestFit="1" customWidth="1"/>
    <col min="100" max="100" width="8.7109375" style="21" bestFit="1" customWidth="1"/>
    <col min="101" max="101" width="9.85546875" style="21" bestFit="1" customWidth="1"/>
    <col min="102" max="102" width="8" style="21" bestFit="1" customWidth="1"/>
    <col min="103" max="103" width="13.28515625" style="21" bestFit="1" customWidth="1"/>
    <col min="104" max="104" width="8" style="21" bestFit="1" customWidth="1"/>
    <col min="105" max="105" width="11.140625" style="21" bestFit="1" customWidth="1"/>
    <col min="106" max="106" width="10.42578125" style="21" bestFit="1" customWidth="1"/>
    <col min="107" max="107" width="8" style="21" bestFit="1" customWidth="1"/>
    <col min="108" max="108" width="10.42578125" style="21" bestFit="1" customWidth="1"/>
    <col min="109" max="109" width="11.5703125" style="21" bestFit="1" customWidth="1"/>
    <col min="110" max="110" width="9.140625" style="21"/>
    <col min="111" max="112" width="13.42578125" style="21" bestFit="1" customWidth="1"/>
    <col min="113" max="113" width="11.85546875" style="21" bestFit="1" customWidth="1"/>
    <col min="114" max="114" width="7.28515625" style="21" bestFit="1" customWidth="1"/>
    <col min="115" max="115" width="11.140625" style="21" bestFit="1" customWidth="1"/>
    <col min="116" max="116" width="9" style="21" bestFit="1" customWidth="1"/>
    <col min="117" max="117" width="9.7109375" style="21" bestFit="1" customWidth="1"/>
    <col min="118" max="118" width="14" style="21" bestFit="1" customWidth="1"/>
    <col min="119" max="119" width="13.28515625" style="21" bestFit="1" customWidth="1"/>
    <col min="120" max="120" width="9.140625" style="21"/>
    <col min="121" max="122" width="8" style="21" bestFit="1" customWidth="1"/>
    <col min="123" max="123" width="7.7109375" style="21" bestFit="1" customWidth="1"/>
    <col min="124" max="124" width="8.42578125" style="21" bestFit="1" customWidth="1"/>
    <col min="125" max="125" width="8" style="21" bestFit="1" customWidth="1"/>
    <col min="126" max="126" width="10.140625" style="21" bestFit="1" customWidth="1"/>
    <col min="127" max="127" width="7.5703125" style="21" bestFit="1" customWidth="1"/>
    <col min="128" max="128" width="7" style="21" bestFit="1" customWidth="1"/>
    <col min="129" max="129" width="9.42578125" style="21" bestFit="1" customWidth="1"/>
    <col min="130" max="130" width="8" style="21" bestFit="1" customWidth="1"/>
    <col min="131" max="131" width="9" style="21" bestFit="1" customWidth="1"/>
    <col min="132" max="132" width="6.85546875" style="21" bestFit="1" customWidth="1"/>
    <col min="133" max="133" width="8" style="21" bestFit="1" customWidth="1"/>
    <col min="134" max="134" width="10.140625" style="21" customWidth="1"/>
    <col min="135" max="135" width="13.28515625" style="21" bestFit="1" customWidth="1"/>
    <col min="136" max="136" width="13.42578125" style="21" bestFit="1" customWidth="1"/>
    <col min="137" max="137" width="8" style="21" bestFit="1" customWidth="1"/>
    <col min="138" max="138" width="8.7109375" style="21" bestFit="1" customWidth="1"/>
    <col min="139" max="139" width="7.5703125" style="21" bestFit="1" customWidth="1"/>
    <col min="140" max="140" width="11.5703125" style="21" bestFit="1" customWidth="1"/>
    <col min="141" max="141" width="10.28515625" style="21" customWidth="1"/>
    <col min="142" max="142" width="9.140625" style="21"/>
    <col min="143" max="143" width="12.28515625" style="21" bestFit="1" customWidth="1"/>
    <col min="144" max="144" width="7.85546875" style="21" customWidth="1"/>
    <col min="145" max="145" width="10.42578125" style="21" customWidth="1"/>
    <col min="146" max="146" width="7.5703125" style="21" bestFit="1" customWidth="1"/>
    <col min="147" max="147" width="10.140625" style="21" bestFit="1" customWidth="1"/>
    <col min="148" max="148" width="8.42578125" style="21" bestFit="1" customWidth="1"/>
    <col min="149" max="149" width="11.7109375" style="21" customWidth="1"/>
    <col min="150" max="150" width="9.140625" style="21"/>
    <col min="151" max="151" width="8.7109375" style="21" bestFit="1" customWidth="1"/>
    <col min="152" max="152" width="11.5703125" style="21" customWidth="1"/>
    <col min="153" max="153" width="10.85546875" style="21" bestFit="1" customWidth="1"/>
    <col min="154" max="154" width="8.28515625" style="21" bestFit="1" customWidth="1"/>
    <col min="155" max="155" width="9.140625" style="21"/>
    <col min="156" max="156" width="8" style="21" bestFit="1" customWidth="1"/>
    <col min="157" max="158" width="8.42578125" style="21" bestFit="1" customWidth="1"/>
    <col min="159" max="159" width="8" style="21" bestFit="1" customWidth="1"/>
    <col min="160" max="160" width="9.85546875" style="21" bestFit="1" customWidth="1"/>
    <col min="161" max="161" width="8" style="21" bestFit="1" customWidth="1"/>
    <col min="162" max="162" width="6.85546875" style="21" bestFit="1" customWidth="1"/>
    <col min="163" max="163" width="14" style="21" bestFit="1" customWidth="1"/>
    <col min="164" max="164" width="8" style="21" bestFit="1" customWidth="1"/>
    <col min="165" max="165" width="7.5703125" style="21" bestFit="1" customWidth="1"/>
    <col min="166" max="166" width="12" style="21" bestFit="1" customWidth="1"/>
    <col min="167" max="167" width="10.85546875" style="21" bestFit="1" customWidth="1"/>
    <col min="168" max="168" width="11.140625" style="21" bestFit="1" customWidth="1"/>
    <col min="169" max="169" width="14.42578125" style="21" bestFit="1" customWidth="1"/>
    <col min="170" max="170" width="9.7109375" style="21" bestFit="1" customWidth="1"/>
    <col min="171" max="171" width="7.7109375" style="21" bestFit="1" customWidth="1"/>
    <col min="172" max="172" width="8.7109375" style="21" bestFit="1" customWidth="1"/>
    <col min="173" max="173" width="9.85546875" style="21" bestFit="1" customWidth="1"/>
    <col min="174" max="174" width="9.42578125" style="21" bestFit="1" customWidth="1"/>
    <col min="175" max="175" width="10.140625" style="21" customWidth="1"/>
    <col min="176" max="176" width="9.42578125" style="21" bestFit="1" customWidth="1"/>
    <col min="177" max="177" width="12" style="21" bestFit="1" customWidth="1"/>
    <col min="178" max="178" width="8.85546875" style="21" bestFit="1" customWidth="1"/>
    <col min="179" max="179" width="9.7109375" style="21" bestFit="1" customWidth="1"/>
    <col min="180" max="180" width="12.28515625" style="21" bestFit="1" customWidth="1"/>
    <col min="181" max="181" width="10.5703125" style="21" bestFit="1" customWidth="1"/>
    <col min="182" max="182" width="11.140625" style="21" bestFit="1" customWidth="1"/>
    <col min="183" max="183" width="10.42578125" style="21" bestFit="1" customWidth="1"/>
    <col min="184" max="184" width="8.5703125" style="21" customWidth="1"/>
    <col min="185" max="185" width="8.7109375" style="21" bestFit="1" customWidth="1"/>
    <col min="186" max="186" width="10.7109375" style="21" bestFit="1" customWidth="1"/>
    <col min="187" max="187" width="8.7109375" style="21" bestFit="1" customWidth="1"/>
    <col min="188" max="188" width="10.85546875" style="21" bestFit="1" customWidth="1"/>
    <col min="189" max="189" width="11.85546875" style="21" customWidth="1"/>
    <col min="190" max="190" width="12.7109375" style="21" bestFit="1" customWidth="1"/>
    <col min="191" max="191" width="7.7109375" style="21" customWidth="1"/>
    <col min="192" max="192" width="16.28515625" style="21" bestFit="1" customWidth="1"/>
    <col min="193" max="16384" width="9.140625" style="21"/>
  </cols>
  <sheetData>
    <row r="1" spans="1:192" s="14" customFormat="1" ht="47.1" customHeight="1" x14ac:dyDescent="0.25">
      <c r="A1" s="11" t="s">
        <v>17</v>
      </c>
      <c r="B1" s="12" t="s">
        <v>24</v>
      </c>
      <c r="C1" s="12" t="s">
        <v>5</v>
      </c>
      <c r="D1" s="12" t="s">
        <v>15</v>
      </c>
      <c r="E1" s="12" t="s">
        <v>2</v>
      </c>
      <c r="F1" s="12" t="s">
        <v>6</v>
      </c>
      <c r="G1" s="12" t="s">
        <v>7</v>
      </c>
      <c r="H1" s="12" t="s">
        <v>0</v>
      </c>
      <c r="I1" s="12" t="s">
        <v>8</v>
      </c>
      <c r="J1" s="12" t="s">
        <v>9</v>
      </c>
      <c r="K1" s="12" t="s">
        <v>16</v>
      </c>
      <c r="L1" s="12" t="s">
        <v>10</v>
      </c>
      <c r="M1" s="12" t="s">
        <v>20</v>
      </c>
      <c r="N1" s="12" t="s">
        <v>11</v>
      </c>
      <c r="O1" s="12" t="s">
        <v>25</v>
      </c>
      <c r="P1" s="12" t="s">
        <v>14</v>
      </c>
      <c r="Q1" s="12" t="s">
        <v>3</v>
      </c>
      <c r="R1" s="12" t="s">
        <v>12</v>
      </c>
      <c r="S1" s="12" t="s">
        <v>26</v>
      </c>
      <c r="T1" s="12" t="s">
        <v>18</v>
      </c>
      <c r="U1" s="12" t="s">
        <v>19</v>
      </c>
      <c r="V1" s="12" t="s">
        <v>27</v>
      </c>
      <c r="W1" s="13"/>
      <c r="X1" s="26" t="s">
        <v>28</v>
      </c>
      <c r="Y1" s="26" t="s">
        <v>5</v>
      </c>
      <c r="Z1" s="26" t="s">
        <v>15</v>
      </c>
      <c r="AA1" s="26" t="s">
        <v>2</v>
      </c>
      <c r="AB1" s="26" t="s">
        <v>6</v>
      </c>
      <c r="AC1" s="26" t="s">
        <v>7</v>
      </c>
      <c r="AD1" s="26" t="s">
        <v>0</v>
      </c>
      <c r="AE1" s="26" t="s">
        <v>8</v>
      </c>
      <c r="AF1" s="26" t="s">
        <v>9</v>
      </c>
      <c r="AG1" s="26" t="s">
        <v>16</v>
      </c>
      <c r="AH1" s="26" t="s">
        <v>10</v>
      </c>
      <c r="AI1" s="26" t="s">
        <v>20</v>
      </c>
      <c r="AJ1" s="26" t="s">
        <v>11</v>
      </c>
      <c r="AK1" s="26" t="s">
        <v>29</v>
      </c>
      <c r="AL1" s="26" t="s">
        <v>14</v>
      </c>
      <c r="AM1" s="26" t="s">
        <v>3</v>
      </c>
      <c r="AN1" s="26" t="s">
        <v>12</v>
      </c>
      <c r="AO1" s="26" t="s">
        <v>30</v>
      </c>
      <c r="AP1" s="26" t="s">
        <v>18</v>
      </c>
      <c r="AQ1" s="26" t="s">
        <v>19</v>
      </c>
      <c r="AR1" s="26" t="s">
        <v>27</v>
      </c>
      <c r="AS1" s="28" t="s">
        <v>31</v>
      </c>
      <c r="AT1" s="28" t="s">
        <v>24</v>
      </c>
      <c r="AU1" s="28" t="s">
        <v>5</v>
      </c>
      <c r="AV1" s="28" t="s">
        <v>15</v>
      </c>
      <c r="AW1" s="28" t="s">
        <v>2</v>
      </c>
      <c r="AX1" s="28" t="s">
        <v>6</v>
      </c>
      <c r="AY1" s="28" t="s">
        <v>7</v>
      </c>
      <c r="AZ1" s="28" t="s">
        <v>0</v>
      </c>
      <c r="BA1" s="28" t="s">
        <v>8</v>
      </c>
      <c r="BB1" s="28" t="s">
        <v>9</v>
      </c>
      <c r="BC1" s="28" t="s">
        <v>16</v>
      </c>
      <c r="BD1" s="28" t="s">
        <v>10</v>
      </c>
      <c r="BE1" s="28" t="s">
        <v>20</v>
      </c>
      <c r="BF1" s="28" t="s">
        <v>11</v>
      </c>
      <c r="BG1" s="28" t="s">
        <v>25</v>
      </c>
      <c r="BH1" s="28" t="s">
        <v>14</v>
      </c>
      <c r="BI1" s="28" t="s">
        <v>3</v>
      </c>
      <c r="BJ1" s="28" t="s">
        <v>12</v>
      </c>
      <c r="BK1" s="28" t="s">
        <v>26</v>
      </c>
      <c r="BL1" s="28" t="s">
        <v>18</v>
      </c>
      <c r="BM1" s="28" t="s">
        <v>19</v>
      </c>
      <c r="BN1" s="28" t="s">
        <v>27</v>
      </c>
      <c r="BO1" s="15"/>
      <c r="BP1" s="12"/>
      <c r="BR1" s="12"/>
      <c r="BS1" s="12"/>
      <c r="BT1" s="12"/>
      <c r="BU1" s="12"/>
      <c r="BW1" s="12"/>
      <c r="BX1" s="15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5"/>
      <c r="CO1" s="15"/>
      <c r="CP1" s="15"/>
      <c r="CQ1" s="12"/>
      <c r="CR1" s="12"/>
      <c r="CS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G1" s="15"/>
      <c r="DH1" s="12"/>
      <c r="DI1" s="12"/>
      <c r="DJ1" s="12"/>
      <c r="DK1" s="12"/>
      <c r="DL1" s="12"/>
      <c r="DM1" s="12"/>
      <c r="DN1" s="12"/>
      <c r="DO1" s="15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5"/>
      <c r="EF1" s="15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5"/>
      <c r="GI1" s="16"/>
      <c r="GJ1" s="17"/>
    </row>
    <row r="2" spans="1:192" x14ac:dyDescent="0.25">
      <c r="A2" s="18">
        <v>1870</v>
      </c>
      <c r="B2" s="19">
        <v>4520</v>
      </c>
      <c r="C2" s="19">
        <v>5096</v>
      </c>
      <c r="D2" s="19">
        <v>9797</v>
      </c>
      <c r="E2" s="19">
        <v>3781</v>
      </c>
      <c r="F2" s="19">
        <v>1888</v>
      </c>
      <c r="G2" s="19">
        <v>1754</v>
      </c>
      <c r="H2" s="19">
        <v>38440</v>
      </c>
      <c r="I2" s="19">
        <v>39231</v>
      </c>
      <c r="J2" s="19">
        <v>27888</v>
      </c>
      <c r="K2" s="19">
        <v>34437</v>
      </c>
      <c r="L2" s="19">
        <v>3610</v>
      </c>
      <c r="M2" s="19">
        <v>291</v>
      </c>
      <c r="N2" s="19">
        <v>1735</v>
      </c>
      <c r="O2" s="19">
        <v>4327</v>
      </c>
      <c r="P2" s="19">
        <v>16201</v>
      </c>
      <c r="Q2" s="19">
        <v>2786</v>
      </c>
      <c r="R2" s="19">
        <v>4164</v>
      </c>
      <c r="S2" s="19">
        <v>2655</v>
      </c>
      <c r="T2" s="19">
        <v>31400</v>
      </c>
      <c r="U2" s="19">
        <v>40240.629500000003</v>
      </c>
      <c r="V2" s="19">
        <v>343</v>
      </c>
      <c r="W2" s="20"/>
      <c r="X2" s="27">
        <f>LN(B2)</f>
        <v>8.4162672728262766</v>
      </c>
      <c r="Y2" s="27">
        <f t="shared" ref="Y2:AR2" si="0">LN(C2)</f>
        <v>8.5362111972519994</v>
      </c>
      <c r="Z2" s="27">
        <f t="shared" si="0"/>
        <v>9.1898314953446416</v>
      </c>
      <c r="AA2" s="27">
        <f t="shared" si="0"/>
        <v>8.2377438038909325</v>
      </c>
      <c r="AB2" s="27">
        <f t="shared" si="0"/>
        <v>7.5432733467054458</v>
      </c>
      <c r="AC2" s="27">
        <f t="shared" si="0"/>
        <v>7.4696541729321284</v>
      </c>
      <c r="AD2" s="27">
        <f t="shared" si="0"/>
        <v>10.556853863084228</v>
      </c>
      <c r="AE2" s="27">
        <f t="shared" si="0"/>
        <v>10.577222529574613</v>
      </c>
      <c r="AF2" s="27">
        <f t="shared" si="0"/>
        <v>10.235951767759802</v>
      </c>
      <c r="AG2" s="27">
        <f t="shared" si="0"/>
        <v>10.446886846733607</v>
      </c>
      <c r="AH2" s="27">
        <f t="shared" si="0"/>
        <v>8.1914630513269273</v>
      </c>
      <c r="AI2" s="27">
        <f t="shared" si="0"/>
        <v>5.6733232671714928</v>
      </c>
      <c r="AJ2" s="27">
        <f t="shared" si="0"/>
        <v>7.4587626923809598</v>
      </c>
      <c r="AK2" s="27">
        <f t="shared" si="0"/>
        <v>8.3726297402248839</v>
      </c>
      <c r="AL2" s="27">
        <f t="shared" si="0"/>
        <v>9.692828247710418</v>
      </c>
      <c r="AM2" s="27">
        <f t="shared" si="0"/>
        <v>7.9323621543397511</v>
      </c>
      <c r="AN2" s="27">
        <f t="shared" si="0"/>
        <v>8.3342314297348601</v>
      </c>
      <c r="AO2" s="27">
        <f t="shared" si="0"/>
        <v>7.8841999336760393</v>
      </c>
      <c r="AP2" s="27">
        <f t="shared" si="0"/>
        <v>10.354563171896345</v>
      </c>
      <c r="AQ2" s="27">
        <f t="shared" si="0"/>
        <v>10.602632448289432</v>
      </c>
      <c r="AR2" s="27">
        <f t="shared" si="0"/>
        <v>5.8377304471659395</v>
      </c>
      <c r="AS2" s="19"/>
      <c r="AT2" s="19"/>
      <c r="AU2" s="19"/>
      <c r="AV2" s="20"/>
      <c r="AW2" s="19"/>
      <c r="AX2" s="19"/>
      <c r="AY2" s="20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20"/>
      <c r="BP2" s="19"/>
      <c r="BR2" s="19"/>
      <c r="BS2" s="19"/>
      <c r="BT2" s="19"/>
      <c r="BU2" s="19"/>
      <c r="BW2" s="19"/>
      <c r="BX2" s="20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20"/>
      <c r="CO2" s="19"/>
      <c r="CP2" s="20"/>
      <c r="CQ2" s="19"/>
      <c r="CR2" s="19"/>
      <c r="CS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G2" s="20"/>
      <c r="DH2" s="19"/>
      <c r="DI2" s="19"/>
      <c r="DJ2" s="19"/>
      <c r="DK2" s="19"/>
      <c r="DL2" s="19"/>
      <c r="DM2" s="19"/>
      <c r="DN2" s="19"/>
      <c r="DO2" s="20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20"/>
      <c r="EF2" s="20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20"/>
      <c r="GI2" s="19"/>
      <c r="GJ2" s="22"/>
    </row>
    <row r="3" spans="1:192" x14ac:dyDescent="0.25">
      <c r="A3" s="18">
        <v>1871</v>
      </c>
      <c r="B3" s="19">
        <v>4562</v>
      </c>
      <c r="C3" s="19">
        <v>5137</v>
      </c>
      <c r="D3" s="19">
        <v>9980</v>
      </c>
      <c r="E3" s="19">
        <v>3801</v>
      </c>
      <c r="F3" s="19">
        <v>1903</v>
      </c>
      <c r="G3" s="19">
        <v>1786</v>
      </c>
      <c r="H3" s="19">
        <v>37731</v>
      </c>
      <c r="I3" s="19">
        <v>39456</v>
      </c>
      <c r="J3" s="19">
        <v>28063</v>
      </c>
      <c r="K3" s="19">
        <v>34648</v>
      </c>
      <c r="L3" s="19">
        <v>3636</v>
      </c>
      <c r="M3" s="19">
        <v>306</v>
      </c>
      <c r="N3" s="19">
        <v>1745</v>
      </c>
      <c r="O3" s="19">
        <v>4353</v>
      </c>
      <c r="P3" s="19">
        <v>16258</v>
      </c>
      <c r="Q3" s="19">
        <v>2820</v>
      </c>
      <c r="R3" s="19">
        <v>4186</v>
      </c>
      <c r="S3" s="19">
        <v>2680</v>
      </c>
      <c r="T3" s="19">
        <v>31685</v>
      </c>
      <c r="U3" s="19">
        <v>41098</v>
      </c>
      <c r="V3" s="19">
        <v>354</v>
      </c>
      <c r="W3" s="20"/>
      <c r="X3" s="27">
        <f t="shared" ref="X3:X66" si="1">LN(B3)</f>
        <v>8.4255164028443339</v>
      </c>
      <c r="Y3" s="27">
        <f t="shared" ref="Y3:Y66" si="2">LN(C3)</f>
        <v>8.5442245304672682</v>
      </c>
      <c r="Z3" s="27">
        <f t="shared" ref="Z3:Z66" si="3">LN(D3)</f>
        <v>9.2083383693055101</v>
      </c>
      <c r="AA3" s="27">
        <f t="shared" ref="AA3:AA66" si="4">LN(E3)</f>
        <v>8.2430194689892495</v>
      </c>
      <c r="AB3" s="27">
        <f t="shared" ref="AB3:AB66" si="5">LN(F3)</f>
        <v>7.5511868672961491</v>
      </c>
      <c r="AC3" s="27">
        <f t="shared" ref="AC3:AC66" si="6">LN(G3)</f>
        <v>7.4877337614364441</v>
      </c>
      <c r="AD3" s="27">
        <f t="shared" ref="AD3:AD66" si="7">LN(H3)</f>
        <v>10.538237316715266</v>
      </c>
      <c r="AE3" s="27">
        <f t="shared" ref="AE3:AE66" si="8">LN(I3)</f>
        <v>10.582941405964071</v>
      </c>
      <c r="AF3" s="27">
        <f t="shared" ref="AF3:AF66" si="9">LN(J3)</f>
        <v>10.242207261697819</v>
      </c>
      <c r="AG3" s="27">
        <f t="shared" ref="AG3:AG66" si="10">LN(K3)</f>
        <v>10.452995282894463</v>
      </c>
      <c r="AH3" s="27">
        <f t="shared" ref="AH3:AH66" si="11">LN(L3)</f>
        <v>8.1986394552973696</v>
      </c>
      <c r="AI3" s="27">
        <f t="shared" ref="AI3:AI66" si="12">LN(M3)</f>
        <v>5.7235851019523807</v>
      </c>
      <c r="AJ3" s="27">
        <f t="shared" ref="AJ3:AJ66" si="13">LN(N3)</f>
        <v>7.4645098346365275</v>
      </c>
      <c r="AK3" s="27">
        <f t="shared" ref="AK3:AK66" si="14">LN(O3)</f>
        <v>8.3786205415522979</v>
      </c>
      <c r="AL3" s="27">
        <f t="shared" ref="AL3:AL66" si="15">LN(P3)</f>
        <v>9.6963403743065175</v>
      </c>
      <c r="AM3" s="27">
        <f t="shared" ref="AM3:AM66" si="16">LN(Q3)</f>
        <v>7.9444921639321588</v>
      </c>
      <c r="AN3" s="27">
        <f t="shared" ref="AN3:AN66" si="17">LN(R3)</f>
        <v>8.3395009030059448</v>
      </c>
      <c r="AO3" s="27">
        <f t="shared" ref="AO3:AO66" si="18">LN(S3)</f>
        <v>7.8935720735049024</v>
      </c>
      <c r="AP3" s="27">
        <f t="shared" ref="AP3:AP66" si="19">LN(T3)</f>
        <v>10.363598661757617</v>
      </c>
      <c r="AQ3" s="27">
        <f t="shared" ref="AQ3:AQ66" si="20">LN(U3)</f>
        <v>10.623714737499816</v>
      </c>
      <c r="AR3" s="27">
        <f t="shared" ref="AR3:AR66" si="21">LN(V3)</f>
        <v>5.8692969131337742</v>
      </c>
      <c r="AS3" s="19"/>
      <c r="AT3" s="29">
        <f>X3-X2</f>
        <v>9.2491300180572722E-3</v>
      </c>
      <c r="AU3" s="29">
        <f t="shared" ref="AU3:BN3" si="22">Y3-Y2</f>
        <v>8.0133332152687586E-3</v>
      </c>
      <c r="AV3" s="29">
        <f t="shared" si="22"/>
        <v>1.8506873960868475E-2</v>
      </c>
      <c r="AW3" s="29">
        <f t="shared" si="22"/>
        <v>5.2756650983170061E-3</v>
      </c>
      <c r="AX3" s="29">
        <f t="shared" si="22"/>
        <v>7.9135205907032713E-3</v>
      </c>
      <c r="AY3" s="29">
        <f t="shared" si="22"/>
        <v>1.807958850431568E-2</v>
      </c>
      <c r="AZ3" s="29">
        <f t="shared" si="22"/>
        <v>-1.8616546368962261E-2</v>
      </c>
      <c r="BA3" s="29">
        <f t="shared" si="22"/>
        <v>5.7188763894586714E-3</v>
      </c>
      <c r="BB3" s="29">
        <f t="shared" si="22"/>
        <v>6.2554939380170538E-3</v>
      </c>
      <c r="BC3" s="29">
        <f t="shared" si="22"/>
        <v>6.1084361608561011E-3</v>
      </c>
      <c r="BD3" s="29">
        <f t="shared" si="22"/>
        <v>7.17640397044228E-3</v>
      </c>
      <c r="BE3" s="29">
        <f t="shared" si="22"/>
        <v>5.026183478088786E-2</v>
      </c>
      <c r="BF3" s="29">
        <f t="shared" si="22"/>
        <v>5.7471422555677165E-3</v>
      </c>
      <c r="BG3" s="29">
        <f t="shared" si="22"/>
        <v>5.9908013274139194E-3</v>
      </c>
      <c r="BH3" s="29">
        <f t="shared" si="22"/>
        <v>3.5121265960995629E-3</v>
      </c>
      <c r="BI3" s="29">
        <f t="shared" si="22"/>
        <v>1.2130009592407731E-2</v>
      </c>
      <c r="BJ3" s="29">
        <f t="shared" si="22"/>
        <v>5.2694732710847347E-3</v>
      </c>
      <c r="BK3" s="29">
        <f t="shared" si="22"/>
        <v>9.3721398288630908E-3</v>
      </c>
      <c r="BL3" s="29">
        <f t="shared" si="22"/>
        <v>9.0354898612723389E-3</v>
      </c>
      <c r="BM3" s="29">
        <f t="shared" si="22"/>
        <v>2.1082289210383465E-2</v>
      </c>
      <c r="BN3" s="29">
        <f t="shared" si="22"/>
        <v>3.1566465967834745E-2</v>
      </c>
      <c r="BO3" s="20"/>
      <c r="BP3" s="19"/>
      <c r="BR3" s="19"/>
      <c r="BS3" s="19"/>
      <c r="BT3" s="19"/>
      <c r="BU3" s="19"/>
      <c r="BW3" s="19"/>
      <c r="BX3" s="20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20"/>
      <c r="CO3" s="19"/>
      <c r="CP3" s="20"/>
      <c r="CQ3" s="19"/>
      <c r="CR3" s="19"/>
      <c r="CS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G3" s="20"/>
      <c r="DH3" s="19"/>
      <c r="DI3" s="19"/>
      <c r="DJ3" s="19"/>
      <c r="DK3" s="19"/>
      <c r="DL3" s="19"/>
      <c r="DM3" s="19"/>
      <c r="DN3" s="19"/>
      <c r="DO3" s="20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20"/>
      <c r="EF3" s="20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20"/>
      <c r="GI3" s="19"/>
      <c r="GJ3" s="22"/>
    </row>
    <row r="4" spans="1:192" x14ac:dyDescent="0.25">
      <c r="A4" s="18">
        <v>1872</v>
      </c>
      <c r="B4" s="19">
        <v>4604</v>
      </c>
      <c r="C4" s="19">
        <v>5178</v>
      </c>
      <c r="D4" s="19">
        <v>10167</v>
      </c>
      <c r="E4" s="19">
        <v>3870</v>
      </c>
      <c r="F4" s="19">
        <v>1918</v>
      </c>
      <c r="G4" s="19">
        <v>1819</v>
      </c>
      <c r="H4" s="19">
        <v>37679</v>
      </c>
      <c r="I4" s="19">
        <v>39691</v>
      </c>
      <c r="J4" s="19">
        <v>28233</v>
      </c>
      <c r="K4" s="19">
        <v>34859</v>
      </c>
      <c r="L4" s="19">
        <v>3662</v>
      </c>
      <c r="M4" s="19">
        <v>320</v>
      </c>
      <c r="N4" s="19">
        <v>1755</v>
      </c>
      <c r="O4" s="19">
        <v>4379</v>
      </c>
      <c r="P4" s="19">
        <v>16315</v>
      </c>
      <c r="Q4" s="19">
        <v>2842</v>
      </c>
      <c r="R4" s="19">
        <v>4227</v>
      </c>
      <c r="S4" s="19">
        <v>2697</v>
      </c>
      <c r="T4" s="19">
        <v>31874</v>
      </c>
      <c r="U4" s="19">
        <v>42136</v>
      </c>
      <c r="V4" s="19">
        <v>364</v>
      </c>
      <c r="W4" s="20"/>
      <c r="X4" s="27">
        <f t="shared" si="1"/>
        <v>8.4346807698417727</v>
      </c>
      <c r="Y4" s="27">
        <f t="shared" si="2"/>
        <v>8.5521741603114823</v>
      </c>
      <c r="Z4" s="27">
        <f t="shared" si="3"/>
        <v>9.226902460275161</v>
      </c>
      <c r="AA4" s="27">
        <f t="shared" si="4"/>
        <v>8.261009786023827</v>
      </c>
      <c r="AB4" s="27">
        <f t="shared" si="5"/>
        <v>7.5590382554433839</v>
      </c>
      <c r="AC4" s="27">
        <f t="shared" si="6"/>
        <v>7.5060421785181219</v>
      </c>
      <c r="AD4" s="27">
        <f t="shared" si="7"/>
        <v>10.536858189059995</v>
      </c>
      <c r="AE4" s="27">
        <f t="shared" si="8"/>
        <v>10.588879740723007</v>
      </c>
      <c r="AF4" s="27">
        <f t="shared" si="9"/>
        <v>10.248246785526897</v>
      </c>
      <c r="AG4" s="27">
        <f t="shared" si="10"/>
        <v>10.459066632489291</v>
      </c>
      <c r="AH4" s="27">
        <f t="shared" si="11"/>
        <v>8.2057647252344559</v>
      </c>
      <c r="AI4" s="27">
        <f t="shared" si="12"/>
        <v>5.768320995793772</v>
      </c>
      <c r="AJ4" s="27">
        <f t="shared" si="13"/>
        <v>7.4702241358999659</v>
      </c>
      <c r="AK4" s="27">
        <f t="shared" si="14"/>
        <v>8.384575666801398</v>
      </c>
      <c r="AL4" s="27">
        <f t="shared" si="15"/>
        <v>9.6998402090274212</v>
      </c>
      <c r="AM4" s="27">
        <f t="shared" si="16"/>
        <v>7.952263308657046</v>
      </c>
      <c r="AN4" s="27">
        <f t="shared" si="17"/>
        <v>8.3492478005667898</v>
      </c>
      <c r="AO4" s="27">
        <f t="shared" si="18"/>
        <v>7.89989532313973</v>
      </c>
      <c r="AP4" s="27">
        <f t="shared" si="19"/>
        <v>10.369545909419578</v>
      </c>
      <c r="AQ4" s="27">
        <f t="shared" si="20"/>
        <v>10.648657761163225</v>
      </c>
      <c r="AR4" s="27">
        <f t="shared" si="21"/>
        <v>5.8971538676367405</v>
      </c>
      <c r="AS4" s="19"/>
      <c r="AT4" s="29">
        <f t="shared" ref="AT4:AT67" si="23">X4-X3</f>
        <v>9.1643669974388331E-3</v>
      </c>
      <c r="AU4" s="29">
        <f t="shared" ref="AU4:AU67" si="24">Y4-Y3</f>
        <v>7.9496298442141011E-3</v>
      </c>
      <c r="AV4" s="29">
        <f t="shared" ref="AV4:AV67" si="25">Z4-Z3</f>
        <v>1.8564090969650948E-2</v>
      </c>
      <c r="AW4" s="29">
        <f t="shared" ref="AW4:AW67" si="26">AA4-AA3</f>
        <v>1.799031703457743E-2</v>
      </c>
      <c r="AX4" s="29">
        <f t="shared" ref="AX4:AX67" si="27">AB4-AB3</f>
        <v>7.8513881472348501E-3</v>
      </c>
      <c r="AY4" s="29">
        <f t="shared" ref="AY4:AY67" si="28">AC4-AC3</f>
        <v>1.8308417081677852E-2</v>
      </c>
      <c r="AZ4" s="29">
        <f t="shared" ref="AZ4:AZ67" si="29">AD4-AD3</f>
        <v>-1.3791276552712617E-3</v>
      </c>
      <c r="BA4" s="29">
        <f t="shared" ref="BA4:BA67" si="30">AE4-AE3</f>
        <v>5.9383347589356816E-3</v>
      </c>
      <c r="BB4" s="29">
        <f t="shared" ref="BB4:BB67" si="31">AF4-AF3</f>
        <v>6.0395238290773534E-3</v>
      </c>
      <c r="BC4" s="29">
        <f t="shared" ref="BC4:BC67" si="32">AG4-AG3</f>
        <v>6.0713495948281349E-3</v>
      </c>
      <c r="BD4" s="29">
        <f t="shared" ref="BD4:BD67" si="33">AH4-AH3</f>
        <v>7.1252699370862871E-3</v>
      </c>
      <c r="BE4" s="29">
        <f t="shared" ref="BE4:BE67" si="34">AI4-AI3</f>
        <v>4.4735893841391317E-2</v>
      </c>
      <c r="BF4" s="29">
        <f t="shared" ref="BF4:BF67" si="35">AJ4-AJ3</f>
        <v>5.7143012634384149E-3</v>
      </c>
      <c r="BG4" s="29">
        <f t="shared" ref="BG4:BG67" si="36">AK4-AK3</f>
        <v>5.955125249100135E-3</v>
      </c>
      <c r="BH4" s="29">
        <f t="shared" ref="BH4:BH67" si="37">AL4-AL3</f>
        <v>3.4998347209036496E-3</v>
      </c>
      <c r="BI4" s="29">
        <f t="shared" ref="BI4:BI67" si="38">AM4-AM3</f>
        <v>7.7711447248871579E-3</v>
      </c>
      <c r="BJ4" s="29">
        <f t="shared" ref="BJ4:BJ67" si="39">AN4-AN3</f>
        <v>9.7468975608450137E-3</v>
      </c>
      <c r="BK4" s="29">
        <f t="shared" ref="BK4:BK67" si="40">AO4-AO3</f>
        <v>6.3232496348275546E-3</v>
      </c>
      <c r="BL4" s="29">
        <f t="shared" ref="BL4:BL67" si="41">AP4-AP3</f>
        <v>5.9472476619610859E-3</v>
      </c>
      <c r="BM4" s="29">
        <f t="shared" ref="BM4:BM67" si="42">AQ4-AQ3</f>
        <v>2.4943023663409392E-2</v>
      </c>
      <c r="BN4" s="29">
        <f t="shared" ref="BN4:BN67" si="43">AR4-AR3</f>
        <v>2.7856954502966325E-2</v>
      </c>
      <c r="BO4" s="20"/>
      <c r="BP4" s="19"/>
      <c r="BR4" s="19"/>
      <c r="BS4" s="19"/>
      <c r="BT4" s="19"/>
      <c r="BU4" s="19"/>
      <c r="BW4" s="19"/>
      <c r="BX4" s="20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20"/>
      <c r="CO4" s="19"/>
      <c r="CP4" s="20"/>
      <c r="CQ4" s="19"/>
      <c r="CR4" s="19"/>
      <c r="CS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G4" s="20"/>
      <c r="DH4" s="19"/>
      <c r="DI4" s="19"/>
      <c r="DJ4" s="19"/>
      <c r="DK4" s="19"/>
      <c r="DL4" s="19"/>
      <c r="DM4" s="19"/>
      <c r="DN4" s="19"/>
      <c r="DO4" s="20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20"/>
      <c r="EF4" s="20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20"/>
      <c r="GI4" s="19"/>
      <c r="GJ4" s="22"/>
    </row>
    <row r="5" spans="1:192" x14ac:dyDescent="0.25">
      <c r="A5" s="18">
        <v>1873</v>
      </c>
      <c r="B5" s="19">
        <v>4646</v>
      </c>
      <c r="C5" s="19">
        <v>5219</v>
      </c>
      <c r="D5" s="19">
        <v>10358</v>
      </c>
      <c r="E5" s="19">
        <v>3943</v>
      </c>
      <c r="F5" s="19">
        <v>1935</v>
      </c>
      <c r="G5" s="19">
        <v>1847</v>
      </c>
      <c r="H5" s="19">
        <v>37887</v>
      </c>
      <c r="I5" s="19">
        <v>40017</v>
      </c>
      <c r="J5" s="19">
        <v>28387</v>
      </c>
      <c r="K5" s="19">
        <v>35070</v>
      </c>
      <c r="L5" s="19">
        <v>3670</v>
      </c>
      <c r="M5" s="19">
        <v>335</v>
      </c>
      <c r="N5" s="19">
        <v>1767</v>
      </c>
      <c r="O5" s="19">
        <v>4405</v>
      </c>
      <c r="P5" s="19">
        <v>16372</v>
      </c>
      <c r="Q5" s="19">
        <v>2863</v>
      </c>
      <c r="R5" s="19">
        <v>4274</v>
      </c>
      <c r="S5" s="19">
        <v>2715</v>
      </c>
      <c r="T5" s="19">
        <v>32177</v>
      </c>
      <c r="U5" s="19">
        <v>43174</v>
      </c>
      <c r="V5" s="19">
        <v>376</v>
      </c>
      <c r="W5" s="20"/>
      <c r="X5" s="27">
        <f t="shared" si="1"/>
        <v>8.4437619133303539</v>
      </c>
      <c r="Y5" s="27">
        <f t="shared" si="2"/>
        <v>8.5600610916434139</v>
      </c>
      <c r="Z5" s="27">
        <f t="shared" si="3"/>
        <v>9.2455144469838366</v>
      </c>
      <c r="AA5" s="27">
        <f t="shared" si="4"/>
        <v>8.2796971338776277</v>
      </c>
      <c r="AB5" s="27">
        <f t="shared" si="5"/>
        <v>7.5678626054638825</v>
      </c>
      <c r="AC5" s="27">
        <f t="shared" si="6"/>
        <v>7.5213179801992398</v>
      </c>
      <c r="AD5" s="27">
        <f t="shared" si="7"/>
        <v>10.54236332431428</v>
      </c>
      <c r="AE5" s="27">
        <f t="shared" si="8"/>
        <v>10.597059642809153</v>
      </c>
      <c r="AF5" s="27">
        <f t="shared" si="9"/>
        <v>10.253686572872523</v>
      </c>
      <c r="AG5" s="27">
        <f t="shared" si="10"/>
        <v>10.465101343134224</v>
      </c>
      <c r="AH5" s="27">
        <f t="shared" si="11"/>
        <v>8.2079469410486166</v>
      </c>
      <c r="AI5" s="27">
        <f t="shared" si="12"/>
        <v>5.8141305318250662</v>
      </c>
      <c r="AJ5" s="27">
        <f t="shared" si="13"/>
        <v>7.4770384723196965</v>
      </c>
      <c r="AK5" s="27">
        <f t="shared" si="14"/>
        <v>8.3904955383702795</v>
      </c>
      <c r="AL5" s="27">
        <f t="shared" si="15"/>
        <v>9.703327837612294</v>
      </c>
      <c r="AM5" s="27">
        <f t="shared" si="16"/>
        <v>7.9596253050981147</v>
      </c>
      <c r="AN5" s="27">
        <f t="shared" si="17"/>
        <v>8.3603054358790931</v>
      </c>
      <c r="AO5" s="27">
        <f t="shared" si="18"/>
        <v>7.9065472323680357</v>
      </c>
      <c r="AP5" s="27">
        <f t="shared" si="19"/>
        <v>10.379007190594631</v>
      </c>
      <c r="AQ5" s="27">
        <f t="shared" si="20"/>
        <v>10.672993741194823</v>
      </c>
      <c r="AR5" s="27">
        <f t="shared" si="21"/>
        <v>5.9295891433898946</v>
      </c>
      <c r="AS5" s="19"/>
      <c r="AT5" s="29">
        <f t="shared" si="23"/>
        <v>9.0811434885811337E-3</v>
      </c>
      <c r="AU5" s="29">
        <f t="shared" si="24"/>
        <v>7.8869313319316348E-3</v>
      </c>
      <c r="AV5" s="29">
        <f t="shared" si="25"/>
        <v>1.8611986708675587E-2</v>
      </c>
      <c r="AW5" s="29">
        <f t="shared" si="26"/>
        <v>1.8687347853800773E-2</v>
      </c>
      <c r="AX5" s="29">
        <f t="shared" si="27"/>
        <v>8.8243500204985281E-3</v>
      </c>
      <c r="AY5" s="29">
        <f t="shared" si="28"/>
        <v>1.5275801681117862E-2</v>
      </c>
      <c r="AZ5" s="29">
        <f t="shared" si="29"/>
        <v>5.5051352542854204E-3</v>
      </c>
      <c r="BA5" s="29">
        <f t="shared" si="30"/>
        <v>8.1799020861463845E-3</v>
      </c>
      <c r="BB5" s="29">
        <f t="shared" si="31"/>
        <v>5.4397873456260015E-3</v>
      </c>
      <c r="BC5" s="29">
        <f t="shared" si="32"/>
        <v>6.0347106449327725E-3</v>
      </c>
      <c r="BD5" s="29">
        <f t="shared" si="33"/>
        <v>2.1822158141606707E-3</v>
      </c>
      <c r="BE5" s="29">
        <f t="shared" si="34"/>
        <v>4.5809536031294229E-2</v>
      </c>
      <c r="BF5" s="29">
        <f t="shared" si="35"/>
        <v>6.8143364197306155E-3</v>
      </c>
      <c r="BG5" s="29">
        <f t="shared" si="36"/>
        <v>5.9198715688815184E-3</v>
      </c>
      <c r="BH5" s="29">
        <f t="shared" si="37"/>
        <v>3.4876285848728372E-3</v>
      </c>
      <c r="BI5" s="29">
        <f t="shared" si="38"/>
        <v>7.3619964410687189E-3</v>
      </c>
      <c r="BJ5" s="29">
        <f t="shared" si="39"/>
        <v>1.1057635312303304E-2</v>
      </c>
      <c r="BK5" s="29">
        <f t="shared" si="40"/>
        <v>6.6519092283057191E-3</v>
      </c>
      <c r="BL5" s="29">
        <f t="shared" si="41"/>
        <v>9.4612811750529602E-3</v>
      </c>
      <c r="BM5" s="29">
        <f t="shared" si="42"/>
        <v>2.433598003159787E-2</v>
      </c>
      <c r="BN5" s="29">
        <f t="shared" si="43"/>
        <v>3.243527575315408E-2</v>
      </c>
      <c r="BO5" s="20"/>
      <c r="BP5" s="19"/>
      <c r="BR5" s="19"/>
      <c r="BS5" s="19"/>
      <c r="BT5" s="19"/>
      <c r="BU5" s="19"/>
      <c r="BW5" s="19"/>
      <c r="BX5" s="20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20"/>
      <c r="CO5" s="19"/>
      <c r="CP5" s="20"/>
      <c r="CQ5" s="19"/>
      <c r="CR5" s="19"/>
      <c r="CS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G5" s="20"/>
      <c r="DH5" s="19"/>
      <c r="DI5" s="19"/>
      <c r="DJ5" s="19"/>
      <c r="DK5" s="19"/>
      <c r="DL5" s="19"/>
      <c r="DM5" s="19"/>
      <c r="DN5" s="19"/>
      <c r="DO5" s="20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20"/>
      <c r="EF5" s="20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20"/>
      <c r="GI5" s="19"/>
      <c r="GJ5" s="22"/>
    </row>
    <row r="6" spans="1:192" x14ac:dyDescent="0.25">
      <c r="A6" s="18">
        <v>1874</v>
      </c>
      <c r="B6" s="19">
        <v>4688</v>
      </c>
      <c r="C6" s="19">
        <v>5261</v>
      </c>
      <c r="D6" s="19">
        <v>10552</v>
      </c>
      <c r="E6" s="19">
        <v>4012</v>
      </c>
      <c r="F6" s="19">
        <v>1954</v>
      </c>
      <c r="G6" s="19">
        <v>1873</v>
      </c>
      <c r="H6" s="19">
        <v>38044</v>
      </c>
      <c r="I6" s="19">
        <v>40450</v>
      </c>
      <c r="J6" s="19">
        <v>28505</v>
      </c>
      <c r="K6" s="19">
        <v>35235</v>
      </c>
      <c r="L6" s="19">
        <v>3745</v>
      </c>
      <c r="M6" s="19">
        <v>367</v>
      </c>
      <c r="N6" s="19">
        <v>1783</v>
      </c>
      <c r="O6" s="19">
        <v>4431</v>
      </c>
      <c r="P6" s="19">
        <v>16429</v>
      </c>
      <c r="Q6" s="19">
        <v>2885</v>
      </c>
      <c r="R6" s="19">
        <v>4320</v>
      </c>
      <c r="S6" s="19">
        <v>2733</v>
      </c>
      <c r="T6" s="19">
        <v>32501</v>
      </c>
      <c r="U6" s="19">
        <v>44212</v>
      </c>
      <c r="V6" s="19">
        <v>387</v>
      </c>
      <c r="W6" s="20"/>
      <c r="X6" s="27">
        <f t="shared" si="1"/>
        <v>8.4527613312568484</v>
      </c>
      <c r="Y6" s="27">
        <f t="shared" si="2"/>
        <v>8.5680764017308064</v>
      </c>
      <c r="Z6" s="27">
        <f t="shared" si="3"/>
        <v>9.2640706943971498</v>
      </c>
      <c r="AA6" s="27">
        <f t="shared" si="4"/>
        <v>8.2970451490818267</v>
      </c>
      <c r="AB6" s="27">
        <f t="shared" si="5"/>
        <v>7.5776338326027277</v>
      </c>
      <c r="AC6" s="27">
        <f t="shared" si="6"/>
        <v>7.5352967024440884</v>
      </c>
      <c r="AD6" s="27">
        <f t="shared" si="7"/>
        <v>10.546498663602277</v>
      </c>
      <c r="AE6" s="27">
        <f t="shared" si="8"/>
        <v>10.607821922486638</v>
      </c>
      <c r="AF6" s="27">
        <f t="shared" si="9"/>
        <v>10.257834789465683</v>
      </c>
      <c r="AG6" s="27">
        <f t="shared" si="10"/>
        <v>10.469795185761123</v>
      </c>
      <c r="AH6" s="27">
        <f t="shared" si="11"/>
        <v>8.2281768959513197</v>
      </c>
      <c r="AI6" s="27">
        <f t="shared" si="12"/>
        <v>5.9053618480545707</v>
      </c>
      <c r="AJ6" s="27">
        <f t="shared" si="13"/>
        <v>7.4860526178631401</v>
      </c>
      <c r="AK6" s="27">
        <f t="shared" si="14"/>
        <v>8.3963805711994901</v>
      </c>
      <c r="AL6" s="27">
        <f t="shared" si="15"/>
        <v>9.7068033449063371</v>
      </c>
      <c r="AM6" s="27">
        <f t="shared" si="16"/>
        <v>7.9672801789422003</v>
      </c>
      <c r="AN6" s="27">
        <f t="shared" si="17"/>
        <v>8.3710106812381557</v>
      </c>
      <c r="AO6" s="27">
        <f t="shared" si="18"/>
        <v>7.9131551859280682</v>
      </c>
      <c r="AP6" s="27">
        <f t="shared" si="19"/>
        <v>10.389026137075234</v>
      </c>
      <c r="AQ6" s="27">
        <f t="shared" si="20"/>
        <v>10.696751524430846</v>
      </c>
      <c r="AR6" s="27">
        <f t="shared" si="21"/>
        <v>5.9584246930297819</v>
      </c>
      <c r="AS6" s="19"/>
      <c r="AT6" s="29">
        <f t="shared" si="23"/>
        <v>8.9994179264945018E-3</v>
      </c>
      <c r="AU6" s="29">
        <f t="shared" si="24"/>
        <v>8.0153100873925354E-3</v>
      </c>
      <c r="AV6" s="29">
        <f t="shared" si="25"/>
        <v>1.8556247413313187E-2</v>
      </c>
      <c r="AW6" s="29">
        <f t="shared" si="26"/>
        <v>1.734801520419893E-2</v>
      </c>
      <c r="AX6" s="29">
        <f t="shared" si="27"/>
        <v>9.7712271388452621E-3</v>
      </c>
      <c r="AY6" s="29">
        <f t="shared" si="28"/>
        <v>1.397872224484864E-2</v>
      </c>
      <c r="AZ6" s="29">
        <f t="shared" si="29"/>
        <v>4.1353392879965867E-3</v>
      </c>
      <c r="BA6" s="29">
        <f t="shared" si="30"/>
        <v>1.0762279677484443E-2</v>
      </c>
      <c r="BB6" s="29">
        <f t="shared" si="31"/>
        <v>4.1482165931601145E-3</v>
      </c>
      <c r="BC6" s="29">
        <f t="shared" si="32"/>
        <v>4.6938426268994249E-3</v>
      </c>
      <c r="BD6" s="29">
        <f t="shared" si="33"/>
        <v>2.0229954902703184E-2</v>
      </c>
      <c r="BE6" s="29">
        <f t="shared" si="34"/>
        <v>9.1231316229504422E-2</v>
      </c>
      <c r="BF6" s="29">
        <f t="shared" si="35"/>
        <v>9.0141455434435969E-3</v>
      </c>
      <c r="BG6" s="29">
        <f t="shared" si="36"/>
        <v>5.8850328292106013E-3</v>
      </c>
      <c r="BH6" s="29">
        <f t="shared" si="37"/>
        <v>3.475507294043112E-3</v>
      </c>
      <c r="BI6" s="29">
        <f t="shared" si="38"/>
        <v>7.6548738440855857E-3</v>
      </c>
      <c r="BJ6" s="29">
        <f t="shared" si="39"/>
        <v>1.0705245359062587E-2</v>
      </c>
      <c r="BK6" s="29">
        <f t="shared" si="40"/>
        <v>6.6079535600325201E-3</v>
      </c>
      <c r="BL6" s="29">
        <f t="shared" si="41"/>
        <v>1.0018946480602864E-2</v>
      </c>
      <c r="BM6" s="29">
        <f t="shared" si="42"/>
        <v>2.37577832360234E-2</v>
      </c>
      <c r="BN6" s="29">
        <f t="shared" si="43"/>
        <v>2.8835549639887326E-2</v>
      </c>
      <c r="BO6" s="20"/>
      <c r="BP6" s="19"/>
      <c r="BR6" s="19"/>
      <c r="BS6" s="19"/>
      <c r="BT6" s="19"/>
      <c r="BU6" s="19"/>
      <c r="BW6" s="19"/>
      <c r="BX6" s="20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20"/>
      <c r="CO6" s="19"/>
      <c r="CP6" s="20"/>
      <c r="CQ6" s="19"/>
      <c r="CR6" s="19"/>
      <c r="CS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G6" s="20"/>
      <c r="DH6" s="19"/>
      <c r="DI6" s="19"/>
      <c r="DJ6" s="19"/>
      <c r="DK6" s="19"/>
      <c r="DL6" s="19"/>
      <c r="DM6" s="19"/>
      <c r="DN6" s="19"/>
      <c r="DO6" s="20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20"/>
      <c r="EF6" s="20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20"/>
      <c r="GI6" s="19"/>
      <c r="GJ6" s="22"/>
    </row>
    <row r="7" spans="1:192" x14ac:dyDescent="0.25">
      <c r="A7" s="18">
        <v>1875</v>
      </c>
      <c r="B7" s="19">
        <v>4730</v>
      </c>
      <c r="C7" s="19">
        <v>5303</v>
      </c>
      <c r="D7" s="19">
        <v>10749</v>
      </c>
      <c r="E7" s="19">
        <v>4071</v>
      </c>
      <c r="F7" s="19">
        <v>1973</v>
      </c>
      <c r="G7" s="19">
        <v>1899</v>
      </c>
      <c r="H7" s="19">
        <v>38221</v>
      </c>
      <c r="I7" s="19">
        <v>40897</v>
      </c>
      <c r="J7" s="19">
        <v>28630</v>
      </c>
      <c r="K7" s="19">
        <v>35436</v>
      </c>
      <c r="L7" s="19">
        <v>3788</v>
      </c>
      <c r="M7" s="19">
        <v>406</v>
      </c>
      <c r="N7" s="19">
        <v>1803</v>
      </c>
      <c r="O7" s="19">
        <v>4458</v>
      </c>
      <c r="P7" s="19">
        <v>16487</v>
      </c>
      <c r="Q7" s="19">
        <v>2908</v>
      </c>
      <c r="R7" s="19">
        <v>4362</v>
      </c>
      <c r="S7" s="19">
        <v>2750</v>
      </c>
      <c r="T7" s="19">
        <v>32839</v>
      </c>
      <c r="U7" s="19">
        <v>45245</v>
      </c>
      <c r="V7" s="19">
        <v>399</v>
      </c>
      <c r="W7" s="20"/>
      <c r="X7" s="27">
        <f t="shared" si="1"/>
        <v>8.4616804814859794</v>
      </c>
      <c r="Y7" s="27">
        <f t="shared" si="2"/>
        <v>8.5760279771371302</v>
      </c>
      <c r="Z7" s="27">
        <f t="shared" si="3"/>
        <v>9.2825680059730633</v>
      </c>
      <c r="AA7" s="27">
        <f t="shared" si="4"/>
        <v>8.3116439485029794</v>
      </c>
      <c r="AB7" s="27">
        <f t="shared" si="5"/>
        <v>7.5873105060226154</v>
      </c>
      <c r="AC7" s="27">
        <f t="shared" si="6"/>
        <v>7.5490827108122858</v>
      </c>
      <c r="AD7" s="27">
        <f t="shared" si="7"/>
        <v>10.551140381763863</v>
      </c>
      <c r="AE7" s="27">
        <f t="shared" si="8"/>
        <v>10.618811989707426</v>
      </c>
      <c r="AF7" s="27">
        <f t="shared" si="9"/>
        <v>10.262210398092162</v>
      </c>
      <c r="AG7" s="27">
        <f t="shared" si="10"/>
        <v>10.475483531531923</v>
      </c>
      <c r="AH7" s="27">
        <f t="shared" si="11"/>
        <v>8.2395934543059681</v>
      </c>
      <c r="AI7" s="27">
        <f t="shared" si="12"/>
        <v>6.0063531596017325</v>
      </c>
      <c r="AJ7" s="27">
        <f t="shared" si="13"/>
        <v>7.4972072232033176</v>
      </c>
      <c r="AK7" s="27">
        <f t="shared" si="14"/>
        <v>8.4024555139458137</v>
      </c>
      <c r="AL7" s="27">
        <f t="shared" si="15"/>
        <v>9.7103274705611788</v>
      </c>
      <c r="AM7" s="27">
        <f t="shared" si="16"/>
        <v>7.97522083865341</v>
      </c>
      <c r="AN7" s="27">
        <f t="shared" si="17"/>
        <v>8.3806859467615737</v>
      </c>
      <c r="AO7" s="27">
        <f t="shared" si="18"/>
        <v>7.9193561906606167</v>
      </c>
      <c r="AP7" s="27">
        <f t="shared" si="19"/>
        <v>10.399372112432818</v>
      </c>
      <c r="AQ7" s="27">
        <f t="shared" si="20"/>
        <v>10.719847445785234</v>
      </c>
      <c r="AR7" s="27">
        <f t="shared" si="21"/>
        <v>5.9889614168898637</v>
      </c>
      <c r="AS7" s="19"/>
      <c r="AT7" s="29">
        <f t="shared" si="23"/>
        <v>8.9191502291310343E-3</v>
      </c>
      <c r="AU7" s="29">
        <f t="shared" si="24"/>
        <v>7.9515754063237409E-3</v>
      </c>
      <c r="AV7" s="29">
        <f t="shared" si="25"/>
        <v>1.84973115759135E-2</v>
      </c>
      <c r="AW7" s="29">
        <f t="shared" si="26"/>
        <v>1.4598799421152719E-2</v>
      </c>
      <c r="AX7" s="29">
        <f t="shared" si="27"/>
        <v>9.6766734198876492E-3</v>
      </c>
      <c r="AY7" s="29">
        <f t="shared" si="28"/>
        <v>1.3786008368197322E-2</v>
      </c>
      <c r="AZ7" s="29">
        <f t="shared" si="29"/>
        <v>4.6417181615865388E-3</v>
      </c>
      <c r="BA7" s="29">
        <f t="shared" si="30"/>
        <v>1.0990067220788546E-2</v>
      </c>
      <c r="BB7" s="29">
        <f t="shared" si="31"/>
        <v>4.3756086264785665E-3</v>
      </c>
      <c r="BC7" s="29">
        <f t="shared" si="32"/>
        <v>5.6883457707996854E-3</v>
      </c>
      <c r="BD7" s="29">
        <f t="shared" si="33"/>
        <v>1.1416558354648387E-2</v>
      </c>
      <c r="BE7" s="29">
        <f t="shared" si="34"/>
        <v>0.1009913115471619</v>
      </c>
      <c r="BF7" s="29">
        <f t="shared" si="35"/>
        <v>1.1154605340177426E-2</v>
      </c>
      <c r="BG7" s="29">
        <f t="shared" si="36"/>
        <v>6.0749427463235861E-3</v>
      </c>
      <c r="BH7" s="29">
        <f t="shared" si="37"/>
        <v>3.5241256548417255E-3</v>
      </c>
      <c r="BI7" s="29">
        <f t="shared" si="38"/>
        <v>7.9406597112097188E-3</v>
      </c>
      <c r="BJ7" s="29">
        <f t="shared" si="39"/>
        <v>9.6752655234180196E-3</v>
      </c>
      <c r="BK7" s="29">
        <f t="shared" si="40"/>
        <v>6.2010047325484763E-3</v>
      </c>
      <c r="BL7" s="29">
        <f t="shared" si="41"/>
        <v>1.0345975357584081E-2</v>
      </c>
      <c r="BM7" s="29">
        <f t="shared" si="42"/>
        <v>2.3095921354387983E-2</v>
      </c>
      <c r="BN7" s="29">
        <f t="shared" si="43"/>
        <v>3.0536723860081771E-2</v>
      </c>
      <c r="BO7" s="20"/>
      <c r="BP7" s="19"/>
      <c r="BR7" s="19"/>
      <c r="BS7" s="19"/>
      <c r="BT7" s="19"/>
      <c r="BU7" s="19"/>
      <c r="BW7" s="19"/>
      <c r="BX7" s="20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20"/>
      <c r="CO7" s="19"/>
      <c r="CP7" s="20"/>
      <c r="CQ7" s="19"/>
      <c r="CR7" s="19"/>
      <c r="CS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G7" s="20"/>
      <c r="DH7" s="19"/>
      <c r="DI7" s="19"/>
      <c r="DJ7" s="19"/>
      <c r="DK7" s="19"/>
      <c r="DL7" s="19"/>
      <c r="DM7" s="19"/>
      <c r="DN7" s="19"/>
      <c r="DO7" s="20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20"/>
      <c r="EF7" s="20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20"/>
      <c r="GI7" s="19"/>
      <c r="GJ7" s="22"/>
    </row>
    <row r="8" spans="1:192" x14ac:dyDescent="0.25">
      <c r="A8" s="18">
        <v>1876</v>
      </c>
      <c r="B8" s="19">
        <v>4772</v>
      </c>
      <c r="C8" s="19">
        <v>5345</v>
      </c>
      <c r="D8" s="19">
        <v>10951</v>
      </c>
      <c r="E8" s="19">
        <v>4128</v>
      </c>
      <c r="F8" s="19">
        <v>1994</v>
      </c>
      <c r="G8" s="19">
        <v>1928</v>
      </c>
      <c r="H8" s="19">
        <v>38398</v>
      </c>
      <c r="I8" s="19">
        <v>41491</v>
      </c>
      <c r="J8" s="19">
        <v>28837</v>
      </c>
      <c r="K8" s="19">
        <v>35713</v>
      </c>
      <c r="L8" s="19">
        <v>3832</v>
      </c>
      <c r="M8" s="19">
        <v>434</v>
      </c>
      <c r="N8" s="19">
        <v>1829</v>
      </c>
      <c r="O8" s="19">
        <v>4484</v>
      </c>
      <c r="P8" s="19">
        <v>16545</v>
      </c>
      <c r="Q8" s="19">
        <v>2930</v>
      </c>
      <c r="R8" s="19">
        <v>4406</v>
      </c>
      <c r="S8" s="19">
        <v>2768</v>
      </c>
      <c r="T8" s="19">
        <v>33200</v>
      </c>
      <c r="U8" s="19">
        <v>46287</v>
      </c>
      <c r="V8" s="19">
        <v>411</v>
      </c>
      <c r="W8" s="20"/>
      <c r="X8" s="27">
        <f t="shared" si="1"/>
        <v>8.4705207832178075</v>
      </c>
      <c r="Y8" s="27">
        <f t="shared" si="2"/>
        <v>8.5839168234591448</v>
      </c>
      <c r="Z8" s="27">
        <f t="shared" si="3"/>
        <v>9.3011860552757586</v>
      </c>
      <c r="AA8" s="27">
        <f t="shared" si="4"/>
        <v>8.325548307161398</v>
      </c>
      <c r="AB8" s="27">
        <f t="shared" si="5"/>
        <v>7.5978979505217836</v>
      </c>
      <c r="AC8" s="27">
        <f t="shared" si="6"/>
        <v>7.564238475170491</v>
      </c>
      <c r="AD8" s="27">
        <f t="shared" si="7"/>
        <v>10.5557606538861</v>
      </c>
      <c r="AE8" s="27">
        <f t="shared" si="8"/>
        <v>10.63323181522976</v>
      </c>
      <c r="AF8" s="27">
        <f t="shared" si="9"/>
        <v>10.269414563796801</v>
      </c>
      <c r="AG8" s="27">
        <f t="shared" si="10"/>
        <v>10.483270047141055</v>
      </c>
      <c r="AH8" s="27">
        <f t="shared" si="11"/>
        <v>8.2511421390907511</v>
      </c>
      <c r="AI8" s="27">
        <f t="shared" si="12"/>
        <v>6.0730445341004051</v>
      </c>
      <c r="AJ8" s="27">
        <f t="shared" si="13"/>
        <v>7.511524648390866</v>
      </c>
      <c r="AK8" s="27">
        <f t="shared" si="14"/>
        <v>8.4082707841920499</v>
      </c>
      <c r="AL8" s="27">
        <f t="shared" si="15"/>
        <v>9.7138392203557125</v>
      </c>
      <c r="AM8" s="27">
        <f t="shared" si="16"/>
        <v>7.9827577020111127</v>
      </c>
      <c r="AN8" s="27">
        <f t="shared" si="17"/>
        <v>8.3907225273622892</v>
      </c>
      <c r="AO8" s="27">
        <f t="shared" si="18"/>
        <v>7.92588031673756</v>
      </c>
      <c r="AP8" s="27">
        <f t="shared" si="19"/>
        <v>10.410305154904579</v>
      </c>
      <c r="AQ8" s="27">
        <f t="shared" si="20"/>
        <v>10.742616423111135</v>
      </c>
      <c r="AR8" s="27">
        <f t="shared" si="21"/>
        <v>6.0185932144962342</v>
      </c>
      <c r="AS8" s="19"/>
      <c r="AT8" s="29">
        <f t="shared" si="23"/>
        <v>8.8403017318281485E-3</v>
      </c>
      <c r="AU8" s="29">
        <f t="shared" si="24"/>
        <v>7.8888463220145866E-3</v>
      </c>
      <c r="AV8" s="29">
        <f t="shared" si="25"/>
        <v>1.8618049302695283E-2</v>
      </c>
      <c r="AW8" s="29">
        <f t="shared" si="26"/>
        <v>1.3904358658418658E-2</v>
      </c>
      <c r="AX8" s="29">
        <f t="shared" si="27"/>
        <v>1.0587444499168264E-2</v>
      </c>
      <c r="AY8" s="29">
        <f t="shared" si="28"/>
        <v>1.5155764358205204E-2</v>
      </c>
      <c r="AZ8" s="29">
        <f t="shared" si="29"/>
        <v>4.6202721222368126E-3</v>
      </c>
      <c r="BA8" s="29">
        <f t="shared" si="30"/>
        <v>1.441982552233334E-2</v>
      </c>
      <c r="BB8" s="29">
        <f t="shared" si="31"/>
        <v>7.2041657046391094E-3</v>
      </c>
      <c r="BC8" s="29">
        <f t="shared" si="32"/>
        <v>7.7865156091316834E-3</v>
      </c>
      <c r="BD8" s="29">
        <f t="shared" si="33"/>
        <v>1.1548684784782992E-2</v>
      </c>
      <c r="BE8" s="29">
        <f t="shared" si="34"/>
        <v>6.6691374498672573E-2</v>
      </c>
      <c r="BF8" s="29">
        <f t="shared" si="35"/>
        <v>1.4317425187548416E-2</v>
      </c>
      <c r="BG8" s="29">
        <f t="shared" si="36"/>
        <v>5.8152702462361816E-3</v>
      </c>
      <c r="BH8" s="29">
        <f t="shared" si="37"/>
        <v>3.511749794533614E-3</v>
      </c>
      <c r="BI8" s="29">
        <f t="shared" si="38"/>
        <v>7.53686335770265E-3</v>
      </c>
      <c r="BJ8" s="29">
        <f t="shared" si="39"/>
        <v>1.0036580600715439E-2</v>
      </c>
      <c r="BK8" s="29">
        <f t="shared" si="40"/>
        <v>6.524126076943304E-3</v>
      </c>
      <c r="BL8" s="29">
        <f t="shared" si="41"/>
        <v>1.0933042471760857E-2</v>
      </c>
      <c r="BM8" s="29">
        <f t="shared" si="42"/>
        <v>2.2768977325901218E-2</v>
      </c>
      <c r="BN8" s="29">
        <f t="shared" si="43"/>
        <v>2.9631797606370469E-2</v>
      </c>
      <c r="BO8" s="20"/>
      <c r="BP8" s="19"/>
      <c r="BR8" s="19"/>
      <c r="BS8" s="19"/>
      <c r="BT8" s="19"/>
      <c r="BU8" s="19"/>
      <c r="BW8" s="19"/>
      <c r="BX8" s="20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20"/>
      <c r="CO8" s="19"/>
      <c r="CP8" s="20"/>
      <c r="CQ8" s="19"/>
      <c r="CR8" s="19"/>
      <c r="CS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G8" s="20"/>
      <c r="DH8" s="19"/>
      <c r="DI8" s="19"/>
      <c r="DJ8" s="19"/>
      <c r="DK8" s="19"/>
      <c r="DL8" s="19"/>
      <c r="DM8" s="19"/>
      <c r="DN8" s="19"/>
      <c r="DO8" s="20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20"/>
      <c r="EF8" s="20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20"/>
      <c r="GI8" s="19"/>
      <c r="GJ8" s="22"/>
    </row>
    <row r="9" spans="1:192" x14ac:dyDescent="0.25">
      <c r="A9" s="18">
        <v>1877</v>
      </c>
      <c r="B9" s="19">
        <v>4815</v>
      </c>
      <c r="C9" s="19">
        <v>5394</v>
      </c>
      <c r="D9" s="19">
        <v>11156</v>
      </c>
      <c r="E9" s="19">
        <v>4184</v>
      </c>
      <c r="F9" s="19">
        <v>2019</v>
      </c>
      <c r="G9" s="19">
        <v>1957</v>
      </c>
      <c r="H9" s="19">
        <v>38576</v>
      </c>
      <c r="I9" s="19">
        <v>42034</v>
      </c>
      <c r="J9" s="19">
        <v>29067</v>
      </c>
      <c r="K9" s="19">
        <v>36018</v>
      </c>
      <c r="L9" s="19">
        <v>3883</v>
      </c>
      <c r="M9" s="19">
        <v>450</v>
      </c>
      <c r="N9" s="19">
        <v>1852</v>
      </c>
      <c r="O9" s="19">
        <v>4511</v>
      </c>
      <c r="P9" s="19">
        <v>16603</v>
      </c>
      <c r="Q9" s="19">
        <v>2952</v>
      </c>
      <c r="R9" s="19">
        <v>4457</v>
      </c>
      <c r="S9" s="19">
        <v>2786</v>
      </c>
      <c r="T9" s="19">
        <v>33576</v>
      </c>
      <c r="U9" s="19">
        <v>47325</v>
      </c>
      <c r="V9" s="19">
        <v>424</v>
      </c>
      <c r="W9" s="20"/>
      <c r="X9" s="27">
        <f t="shared" si="1"/>
        <v>8.4794913242322263</v>
      </c>
      <c r="Y9" s="27">
        <f t="shared" si="2"/>
        <v>8.5930425036996745</v>
      </c>
      <c r="Z9" s="27">
        <f t="shared" si="3"/>
        <v>9.3197327487473789</v>
      </c>
      <c r="AA9" s="27">
        <f t="shared" si="4"/>
        <v>8.3390230057447585</v>
      </c>
      <c r="AB9" s="27">
        <f t="shared" si="5"/>
        <v>7.6103576183128379</v>
      </c>
      <c r="AC9" s="27">
        <f t="shared" si="6"/>
        <v>7.5791679673960761</v>
      </c>
      <c r="AD9" s="27">
        <f t="shared" si="7"/>
        <v>10.560385600420952</v>
      </c>
      <c r="AE9" s="27">
        <f t="shared" si="8"/>
        <v>10.646234093587358</v>
      </c>
      <c r="AF9" s="27">
        <f t="shared" si="9"/>
        <v>10.277358789053114</v>
      </c>
      <c r="AG9" s="27">
        <f t="shared" si="10"/>
        <v>10.491774092479899</v>
      </c>
      <c r="AH9" s="27">
        <f t="shared" si="11"/>
        <v>8.2643633297316672</v>
      </c>
      <c r="AI9" s="27">
        <f t="shared" si="12"/>
        <v>6.1092475827643655</v>
      </c>
      <c r="AJ9" s="27">
        <f t="shared" si="13"/>
        <v>7.5240214152061249</v>
      </c>
      <c r="AK9" s="27">
        <f t="shared" si="14"/>
        <v>8.4142741374083965</v>
      </c>
      <c r="AL9" s="27">
        <f t="shared" si="15"/>
        <v>9.7173386809077869</v>
      </c>
      <c r="AM9" s="27">
        <f t="shared" si="16"/>
        <v>7.9902381857203633</v>
      </c>
      <c r="AN9" s="27">
        <f t="shared" si="17"/>
        <v>8.4022311729465553</v>
      </c>
      <c r="AO9" s="27">
        <f t="shared" si="18"/>
        <v>7.9323621543397511</v>
      </c>
      <c r="AP9" s="27">
        <f t="shared" si="19"/>
        <v>10.421566805013427</v>
      </c>
      <c r="AQ9" s="27">
        <f t="shared" si="20"/>
        <v>10.764793976077524</v>
      </c>
      <c r="AR9" s="27">
        <f t="shared" si="21"/>
        <v>6.0497334552319577</v>
      </c>
      <c r="AS9" s="19"/>
      <c r="AT9" s="29">
        <f t="shared" si="23"/>
        <v>8.9705410144187425E-3</v>
      </c>
      <c r="AU9" s="29">
        <f t="shared" si="24"/>
        <v>9.1256802405297321E-3</v>
      </c>
      <c r="AV9" s="29">
        <f t="shared" si="25"/>
        <v>1.8546693471620301E-2</v>
      </c>
      <c r="AW9" s="29">
        <f t="shared" si="26"/>
        <v>1.3474698583360478E-2</v>
      </c>
      <c r="AX9" s="29">
        <f t="shared" si="27"/>
        <v>1.245966779105423E-2</v>
      </c>
      <c r="AY9" s="29">
        <f t="shared" si="28"/>
        <v>1.492949222558515E-2</v>
      </c>
      <c r="AZ9" s="29">
        <f t="shared" si="29"/>
        <v>4.6249465348520147E-3</v>
      </c>
      <c r="BA9" s="29">
        <f t="shared" si="30"/>
        <v>1.3002278357598485E-2</v>
      </c>
      <c r="BB9" s="29">
        <f t="shared" si="31"/>
        <v>7.9442252563133309E-3</v>
      </c>
      <c r="BC9" s="29">
        <f t="shared" si="32"/>
        <v>8.5040453388440795E-3</v>
      </c>
      <c r="BD9" s="29">
        <f t="shared" si="33"/>
        <v>1.3221190640916092E-2</v>
      </c>
      <c r="BE9" s="29">
        <f t="shared" si="34"/>
        <v>3.6203048663960402E-2</v>
      </c>
      <c r="BF9" s="29">
        <f t="shared" si="35"/>
        <v>1.2496766815258908E-2</v>
      </c>
      <c r="BG9" s="29">
        <f t="shared" si="36"/>
        <v>6.0033532163465964E-3</v>
      </c>
      <c r="BH9" s="29">
        <f t="shared" si="37"/>
        <v>3.499460552074396E-3</v>
      </c>
      <c r="BI9" s="29">
        <f t="shared" si="38"/>
        <v>7.4804837092505849E-3</v>
      </c>
      <c r="BJ9" s="29">
        <f t="shared" si="39"/>
        <v>1.1508645584266119E-2</v>
      </c>
      <c r="BK9" s="29">
        <f t="shared" si="40"/>
        <v>6.4818376021911206E-3</v>
      </c>
      <c r="BL9" s="29">
        <f t="shared" si="41"/>
        <v>1.1261650108847832E-2</v>
      </c>
      <c r="BM9" s="29">
        <f t="shared" si="42"/>
        <v>2.2177552966388347E-2</v>
      </c>
      <c r="BN9" s="29">
        <f t="shared" si="43"/>
        <v>3.1140240735723523E-2</v>
      </c>
      <c r="BO9" s="20"/>
      <c r="BP9" s="19"/>
      <c r="BR9" s="19"/>
      <c r="BS9" s="19"/>
      <c r="BT9" s="19"/>
      <c r="BU9" s="19"/>
      <c r="BW9" s="19"/>
      <c r="BX9" s="20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20"/>
      <c r="CO9" s="19"/>
      <c r="CP9" s="20"/>
      <c r="CQ9" s="19"/>
      <c r="CR9" s="19"/>
      <c r="CS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G9" s="20"/>
      <c r="DH9" s="19"/>
      <c r="DI9" s="19"/>
      <c r="DJ9" s="19"/>
      <c r="DK9" s="19"/>
      <c r="DL9" s="19"/>
      <c r="DM9" s="19"/>
      <c r="DN9" s="19"/>
      <c r="DO9" s="20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20"/>
      <c r="EF9" s="20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20"/>
      <c r="GI9" s="19"/>
      <c r="GJ9" s="22"/>
    </row>
    <row r="10" spans="1:192" x14ac:dyDescent="0.25">
      <c r="A10" s="18">
        <v>1878</v>
      </c>
      <c r="B10" s="19">
        <v>4857</v>
      </c>
      <c r="C10" s="19">
        <v>5442</v>
      </c>
      <c r="D10" s="19">
        <v>11365</v>
      </c>
      <c r="E10" s="19">
        <v>4244</v>
      </c>
      <c r="F10" s="19">
        <v>2043</v>
      </c>
      <c r="G10" s="19">
        <v>1983</v>
      </c>
      <c r="H10" s="19">
        <v>38763</v>
      </c>
      <c r="I10" s="19">
        <v>42546</v>
      </c>
      <c r="J10" s="19">
        <v>29252</v>
      </c>
      <c r="K10" s="19">
        <v>36315</v>
      </c>
      <c r="L10" s="19">
        <v>3834</v>
      </c>
      <c r="M10" s="19">
        <v>467</v>
      </c>
      <c r="N10" s="19">
        <v>1877</v>
      </c>
      <c r="O10" s="19">
        <v>4538</v>
      </c>
      <c r="P10" s="19">
        <v>16677</v>
      </c>
      <c r="Q10" s="19">
        <v>2975</v>
      </c>
      <c r="R10" s="19">
        <v>4508</v>
      </c>
      <c r="S10" s="19">
        <v>2803</v>
      </c>
      <c r="T10" s="19">
        <v>33932</v>
      </c>
      <c r="U10" s="19">
        <v>48362</v>
      </c>
      <c r="V10" s="19">
        <v>437</v>
      </c>
      <c r="W10" s="20"/>
      <c r="X10" s="27">
        <f t="shared" si="1"/>
        <v>8.4881762423457445</v>
      </c>
      <c r="Y10" s="27">
        <f t="shared" si="2"/>
        <v>8.6019019193431916</v>
      </c>
      <c r="Z10" s="27">
        <f t="shared" si="3"/>
        <v>9.3382937362866443</v>
      </c>
      <c r="AA10" s="27">
        <f t="shared" si="4"/>
        <v>8.3532614997338737</v>
      </c>
      <c r="AB10" s="27">
        <f t="shared" si="5"/>
        <v>7.6221745948176221</v>
      </c>
      <c r="AC10" s="27">
        <f t="shared" si="6"/>
        <v>7.5923661285197959</v>
      </c>
      <c r="AD10" s="27">
        <f t="shared" si="7"/>
        <v>10.56522146239033</v>
      </c>
      <c r="AE10" s="27">
        <f t="shared" si="8"/>
        <v>10.658341122532052</v>
      </c>
      <c r="AF10" s="27">
        <f t="shared" si="9"/>
        <v>10.283703226390841</v>
      </c>
      <c r="AG10" s="27">
        <f t="shared" si="10"/>
        <v>10.499986158040269</v>
      </c>
      <c r="AH10" s="27">
        <f t="shared" si="11"/>
        <v>8.2516639236055891</v>
      </c>
      <c r="AI10" s="27">
        <f t="shared" si="12"/>
        <v>6.1463292576688975</v>
      </c>
      <c r="AJ10" s="27">
        <f t="shared" si="13"/>
        <v>7.5374300365865086</v>
      </c>
      <c r="AK10" s="27">
        <f t="shared" si="14"/>
        <v>8.4202416653397876</v>
      </c>
      <c r="AL10" s="27">
        <f t="shared" si="15"/>
        <v>9.7217858036215787</v>
      </c>
      <c r="AM10" s="27">
        <f t="shared" si="16"/>
        <v>7.9979993179797297</v>
      </c>
      <c r="AN10" s="27">
        <f t="shared" si="17"/>
        <v>8.4136088751596674</v>
      </c>
      <c r="AO10" s="27">
        <f t="shared" si="18"/>
        <v>7.9384455511647882</v>
      </c>
      <c r="AP10" s="27">
        <f t="shared" si="19"/>
        <v>10.432113800927626</v>
      </c>
      <c r="AQ10" s="27">
        <f t="shared" si="20"/>
        <v>10.786469660366542</v>
      </c>
      <c r="AR10" s="27">
        <f t="shared" si="21"/>
        <v>6.0799331950955899</v>
      </c>
      <c r="AS10" s="19"/>
      <c r="AT10" s="29">
        <f t="shared" si="23"/>
        <v>8.6849181135182363E-3</v>
      </c>
      <c r="AU10" s="29">
        <f t="shared" si="24"/>
        <v>8.8594156435171101E-3</v>
      </c>
      <c r="AV10" s="29">
        <f t="shared" si="25"/>
        <v>1.8560987539265383E-2</v>
      </c>
      <c r="AW10" s="29">
        <f t="shared" si="26"/>
        <v>1.4238493989115142E-2</v>
      </c>
      <c r="AX10" s="29">
        <f t="shared" si="27"/>
        <v>1.1816976504784193E-2</v>
      </c>
      <c r="AY10" s="29">
        <f t="shared" si="28"/>
        <v>1.3198161123719743E-2</v>
      </c>
      <c r="AZ10" s="29">
        <f t="shared" si="29"/>
        <v>4.8358619693775751E-3</v>
      </c>
      <c r="BA10" s="29">
        <f t="shared" si="30"/>
        <v>1.2107028944694065E-2</v>
      </c>
      <c r="BB10" s="29">
        <f t="shared" si="31"/>
        <v>6.3444373377272711E-3</v>
      </c>
      <c r="BC10" s="29">
        <f t="shared" si="32"/>
        <v>8.2120655603699078E-3</v>
      </c>
      <c r="BD10" s="29">
        <f t="shared" si="33"/>
        <v>-1.2699406126078117E-2</v>
      </c>
      <c r="BE10" s="29">
        <f t="shared" si="34"/>
        <v>3.7081674904531958E-2</v>
      </c>
      <c r="BF10" s="29">
        <f t="shared" si="35"/>
        <v>1.3408621380383678E-2</v>
      </c>
      <c r="BG10" s="29">
        <f t="shared" si="36"/>
        <v>5.9675279313911034E-3</v>
      </c>
      <c r="BH10" s="29">
        <f t="shared" si="37"/>
        <v>4.4471227137918845E-3</v>
      </c>
      <c r="BI10" s="29">
        <f t="shared" si="38"/>
        <v>7.7611322593664767E-3</v>
      </c>
      <c r="BJ10" s="29">
        <f t="shared" si="39"/>
        <v>1.1377702213112073E-2</v>
      </c>
      <c r="BK10" s="29">
        <f t="shared" si="40"/>
        <v>6.0833968250371129E-3</v>
      </c>
      <c r="BL10" s="29">
        <f t="shared" si="41"/>
        <v>1.0546995914198831E-2</v>
      </c>
      <c r="BM10" s="29">
        <f t="shared" si="42"/>
        <v>2.1675684289018449E-2</v>
      </c>
      <c r="BN10" s="29">
        <f t="shared" si="43"/>
        <v>3.0199739863632225E-2</v>
      </c>
      <c r="BO10" s="20"/>
      <c r="BP10" s="19"/>
      <c r="BR10" s="19"/>
      <c r="BS10" s="19"/>
      <c r="BT10" s="19"/>
      <c r="BU10" s="19"/>
      <c r="BW10" s="19"/>
      <c r="BX10" s="20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20"/>
      <c r="CO10" s="19"/>
      <c r="CP10" s="20"/>
      <c r="CQ10" s="19"/>
      <c r="CR10" s="19"/>
      <c r="CS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G10" s="20"/>
      <c r="DH10" s="19"/>
      <c r="DI10" s="19"/>
      <c r="DJ10" s="19"/>
      <c r="DK10" s="19"/>
      <c r="DL10" s="19"/>
      <c r="DM10" s="19"/>
      <c r="DN10" s="19"/>
      <c r="DO10" s="20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20"/>
      <c r="EF10" s="20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20"/>
      <c r="GI10" s="19"/>
      <c r="GJ10" s="22"/>
    </row>
    <row r="11" spans="1:192" x14ac:dyDescent="0.25">
      <c r="A11" s="18">
        <v>1879</v>
      </c>
      <c r="B11" s="19">
        <v>4899</v>
      </c>
      <c r="C11" s="19">
        <v>5492</v>
      </c>
      <c r="D11" s="19">
        <v>11578</v>
      </c>
      <c r="E11" s="19">
        <v>4312</v>
      </c>
      <c r="F11" s="19">
        <v>2064</v>
      </c>
      <c r="G11" s="19">
        <v>2014</v>
      </c>
      <c r="H11" s="19">
        <v>38909</v>
      </c>
      <c r="I11" s="19">
        <v>43052</v>
      </c>
      <c r="J11" s="19">
        <v>29425</v>
      </c>
      <c r="K11" s="19">
        <v>36557</v>
      </c>
      <c r="L11" s="19">
        <v>3986</v>
      </c>
      <c r="M11" s="19">
        <v>494</v>
      </c>
      <c r="N11" s="19">
        <v>1902</v>
      </c>
      <c r="O11" s="19">
        <v>4571</v>
      </c>
      <c r="P11" s="19">
        <v>16768</v>
      </c>
      <c r="Q11" s="19">
        <v>2998</v>
      </c>
      <c r="R11" s="19">
        <v>4555</v>
      </c>
      <c r="S11" s="19">
        <v>2821</v>
      </c>
      <c r="T11" s="19">
        <v>34304</v>
      </c>
      <c r="U11" s="19">
        <v>49400</v>
      </c>
      <c r="V11" s="19">
        <v>450</v>
      </c>
      <c r="W11" s="20"/>
      <c r="X11" s="27">
        <f t="shared" si="1"/>
        <v>8.4967863816385751</v>
      </c>
      <c r="Y11" s="27">
        <f t="shared" si="2"/>
        <v>8.6110477668878609</v>
      </c>
      <c r="Z11" s="27">
        <f t="shared" si="3"/>
        <v>9.35686202463895</v>
      </c>
      <c r="AA11" s="27">
        <f t="shared" si="4"/>
        <v>8.3691571125888338</v>
      </c>
      <c r="AB11" s="27">
        <f t="shared" si="5"/>
        <v>7.6324011266014535</v>
      </c>
      <c r="AC11" s="27">
        <f t="shared" si="6"/>
        <v>7.6078780732785072</v>
      </c>
      <c r="AD11" s="27">
        <f t="shared" si="7"/>
        <v>10.568980865314236</v>
      </c>
      <c r="AE11" s="27">
        <f t="shared" si="8"/>
        <v>10.670163966384189</v>
      </c>
      <c r="AF11" s="27">
        <f t="shared" si="9"/>
        <v>10.289599932128478</v>
      </c>
      <c r="AG11" s="27">
        <f t="shared" si="10"/>
        <v>10.506627965308457</v>
      </c>
      <c r="AH11" s="27">
        <f t="shared" si="11"/>
        <v>8.2905435007727402</v>
      </c>
      <c r="AI11" s="27">
        <f t="shared" si="12"/>
        <v>6.2025355171879228</v>
      </c>
      <c r="AJ11" s="27">
        <f t="shared" si="13"/>
        <v>7.5506612431053357</v>
      </c>
      <c r="AK11" s="27">
        <f t="shared" si="14"/>
        <v>8.4274872783317445</v>
      </c>
      <c r="AL11" s="27">
        <f t="shared" si="15"/>
        <v>9.727227587120769</v>
      </c>
      <c r="AM11" s="27">
        <f t="shared" si="16"/>
        <v>8.0057006786625422</v>
      </c>
      <c r="AN11" s="27">
        <f t="shared" si="17"/>
        <v>8.4239808096940578</v>
      </c>
      <c r="AO11" s="27">
        <f t="shared" si="18"/>
        <v>7.944846711001996</v>
      </c>
      <c r="AP11" s="27">
        <f t="shared" si="19"/>
        <v>10.443017244430473</v>
      </c>
      <c r="AQ11" s="27">
        <f t="shared" si="20"/>
        <v>10.807705703176014</v>
      </c>
      <c r="AR11" s="27">
        <f t="shared" si="21"/>
        <v>6.1092475827643655</v>
      </c>
      <c r="AS11" s="19"/>
      <c r="AT11" s="29">
        <f t="shared" si="23"/>
        <v>8.6101392928306097E-3</v>
      </c>
      <c r="AU11" s="29">
        <f t="shared" si="24"/>
        <v>9.1458475446692944E-3</v>
      </c>
      <c r="AV11" s="29">
        <f t="shared" si="25"/>
        <v>1.8568288352305728E-2</v>
      </c>
      <c r="AW11" s="29">
        <f t="shared" si="26"/>
        <v>1.5895612854960106E-2</v>
      </c>
      <c r="AX11" s="29">
        <f t="shared" si="27"/>
        <v>1.0226531783831483E-2</v>
      </c>
      <c r="AY11" s="29">
        <f t="shared" si="28"/>
        <v>1.5511944758711316E-2</v>
      </c>
      <c r="AZ11" s="29">
        <f t="shared" si="29"/>
        <v>3.7594029239063076E-3</v>
      </c>
      <c r="BA11" s="29">
        <f t="shared" si="30"/>
        <v>1.1822843852137055E-2</v>
      </c>
      <c r="BB11" s="29">
        <f t="shared" si="31"/>
        <v>5.8967057376371201E-3</v>
      </c>
      <c r="BC11" s="29">
        <f t="shared" si="32"/>
        <v>6.6418072681884155E-3</v>
      </c>
      <c r="BD11" s="29">
        <f t="shared" si="33"/>
        <v>3.8879577167151069E-2</v>
      </c>
      <c r="BE11" s="29">
        <f t="shared" si="34"/>
        <v>5.6206259519025359E-2</v>
      </c>
      <c r="BF11" s="29">
        <f t="shared" si="35"/>
        <v>1.3231206518827143E-2</v>
      </c>
      <c r="BG11" s="29">
        <f t="shared" si="36"/>
        <v>7.2456129919569179E-3</v>
      </c>
      <c r="BH11" s="29">
        <f t="shared" si="37"/>
        <v>5.4417834991902225E-3</v>
      </c>
      <c r="BI11" s="29">
        <f t="shared" si="38"/>
        <v>7.7013606828124637E-3</v>
      </c>
      <c r="BJ11" s="29">
        <f t="shared" si="39"/>
        <v>1.0371934534390448E-2</v>
      </c>
      <c r="BK11" s="29">
        <f t="shared" si="40"/>
        <v>6.4011598372077927E-3</v>
      </c>
      <c r="BL11" s="29">
        <f t="shared" si="41"/>
        <v>1.0903443502847665E-2</v>
      </c>
      <c r="BM11" s="29">
        <f t="shared" si="42"/>
        <v>2.1236042809471556E-2</v>
      </c>
      <c r="BN11" s="29">
        <f t="shared" si="43"/>
        <v>2.9314387668775588E-2</v>
      </c>
      <c r="BO11" s="20"/>
      <c r="BP11" s="19"/>
      <c r="BR11" s="19"/>
      <c r="BS11" s="19"/>
      <c r="BT11" s="19"/>
      <c r="BU11" s="19"/>
      <c r="BW11" s="19"/>
      <c r="BX11" s="20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20"/>
      <c r="CO11" s="19"/>
      <c r="CP11" s="20"/>
      <c r="CQ11" s="19"/>
      <c r="CR11" s="19"/>
      <c r="CS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G11" s="20"/>
      <c r="DH11" s="19"/>
      <c r="DI11" s="19"/>
      <c r="DJ11" s="19"/>
      <c r="DK11" s="19"/>
      <c r="DL11" s="19"/>
      <c r="DM11" s="19"/>
      <c r="DN11" s="19"/>
      <c r="DO11" s="20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20"/>
      <c r="EF11" s="20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20"/>
      <c r="GI11" s="19"/>
      <c r="GJ11" s="22"/>
    </row>
    <row r="12" spans="1:192" x14ac:dyDescent="0.25">
      <c r="A12" s="18">
        <v>1880</v>
      </c>
      <c r="B12" s="19">
        <v>4941</v>
      </c>
      <c r="C12" s="19">
        <v>5541</v>
      </c>
      <c r="D12" s="19">
        <v>11794</v>
      </c>
      <c r="E12" s="19">
        <v>4384</v>
      </c>
      <c r="F12" s="19">
        <v>2081</v>
      </c>
      <c r="G12" s="19">
        <v>2047</v>
      </c>
      <c r="H12" s="19">
        <v>39045</v>
      </c>
      <c r="I12" s="19">
        <v>43500</v>
      </c>
      <c r="J12" s="19">
        <v>29534</v>
      </c>
      <c r="K12" s="19">
        <v>36807</v>
      </c>
      <c r="L12" s="19">
        <v>4043</v>
      </c>
      <c r="M12" s="19">
        <v>520</v>
      </c>
      <c r="N12" s="19">
        <v>1919</v>
      </c>
      <c r="O12" s="19">
        <v>4610</v>
      </c>
      <c r="P12" s="19">
        <v>16859</v>
      </c>
      <c r="Q12" s="19">
        <v>3021</v>
      </c>
      <c r="R12" s="19">
        <v>4572</v>
      </c>
      <c r="S12" s="19">
        <v>2839</v>
      </c>
      <c r="T12" s="19">
        <v>34623</v>
      </c>
      <c r="U12" s="19">
        <v>50458</v>
      </c>
      <c r="V12" s="19">
        <v>464</v>
      </c>
      <c r="W12" s="20"/>
      <c r="X12" s="27">
        <f t="shared" si="1"/>
        <v>8.5053230188457505</v>
      </c>
      <c r="Y12" s="27">
        <f t="shared" si="2"/>
        <v>8.6199302688673498</v>
      </c>
      <c r="Z12" s="27">
        <f t="shared" si="3"/>
        <v>9.3753462065604491</v>
      </c>
      <c r="AA12" s="27">
        <f t="shared" si="4"/>
        <v>8.3857168286278512</v>
      </c>
      <c r="AB12" s="27">
        <f t="shared" si="5"/>
        <v>7.640603826393634</v>
      </c>
      <c r="AC12" s="27">
        <f t="shared" si="6"/>
        <v>7.6241305856612893</v>
      </c>
      <c r="AD12" s="27">
        <f t="shared" si="7"/>
        <v>10.572470106096775</v>
      </c>
      <c r="AE12" s="27">
        <f t="shared" si="8"/>
        <v>10.680516217076775</v>
      </c>
      <c r="AF12" s="27">
        <f t="shared" si="9"/>
        <v>10.293297421033719</v>
      </c>
      <c r="AG12" s="27">
        <f t="shared" si="10"/>
        <v>10.513443323459292</v>
      </c>
      <c r="AH12" s="27">
        <f t="shared" si="11"/>
        <v>8.3047422696407711</v>
      </c>
      <c r="AI12" s="27">
        <f t="shared" si="12"/>
        <v>6.253828811575473</v>
      </c>
      <c r="AJ12" s="27">
        <f t="shared" si="13"/>
        <v>7.5595594960076999</v>
      </c>
      <c r="AK12" s="27">
        <f t="shared" si="14"/>
        <v>8.4359831359906945</v>
      </c>
      <c r="AL12" s="27">
        <f t="shared" si="15"/>
        <v>9.732639917815801</v>
      </c>
      <c r="AM12" s="27">
        <f t="shared" si="16"/>
        <v>8.0133431813866718</v>
      </c>
      <c r="AN12" s="27">
        <f t="shared" si="17"/>
        <v>8.427706024914702</v>
      </c>
      <c r="AO12" s="27">
        <f t="shared" si="18"/>
        <v>7.9512071564729716</v>
      </c>
      <c r="AP12" s="27">
        <f t="shared" si="19"/>
        <v>10.452273480088515</v>
      </c>
      <c r="AQ12" s="27">
        <f t="shared" si="20"/>
        <v>10.82889658605481</v>
      </c>
      <c r="AR12" s="27">
        <f t="shared" si="21"/>
        <v>6.1398845522262553</v>
      </c>
      <c r="AS12" s="19"/>
      <c r="AT12" s="29">
        <f t="shared" si="23"/>
        <v>8.536637207175346E-3</v>
      </c>
      <c r="AU12" s="29">
        <f t="shared" si="24"/>
        <v>8.8825019794889215E-3</v>
      </c>
      <c r="AV12" s="29">
        <f t="shared" si="25"/>
        <v>1.8484181921499143E-2</v>
      </c>
      <c r="AW12" s="29">
        <f t="shared" si="26"/>
        <v>1.6559716039017403E-2</v>
      </c>
      <c r="AX12" s="29">
        <f t="shared" si="27"/>
        <v>8.2026997921804679E-3</v>
      </c>
      <c r="AY12" s="29">
        <f t="shared" si="28"/>
        <v>1.6252512382782136E-2</v>
      </c>
      <c r="AZ12" s="29">
        <f t="shared" si="29"/>
        <v>3.4892407825388716E-3</v>
      </c>
      <c r="BA12" s="29">
        <f t="shared" si="30"/>
        <v>1.035225069258594E-2</v>
      </c>
      <c r="BB12" s="29">
        <f t="shared" si="31"/>
        <v>3.6974889052405757E-3</v>
      </c>
      <c r="BC12" s="29">
        <f t="shared" si="32"/>
        <v>6.8153581508347827E-3</v>
      </c>
      <c r="BD12" s="29">
        <f t="shared" si="33"/>
        <v>1.4198768868030953E-2</v>
      </c>
      <c r="BE12" s="29">
        <f t="shared" si="34"/>
        <v>5.1293294387550148E-2</v>
      </c>
      <c r="BF12" s="29">
        <f t="shared" si="35"/>
        <v>8.8982529023642343E-3</v>
      </c>
      <c r="BG12" s="29">
        <f t="shared" si="36"/>
        <v>8.4958576589500012E-3</v>
      </c>
      <c r="BH12" s="29">
        <f t="shared" si="37"/>
        <v>5.4123306950319972E-3</v>
      </c>
      <c r="BI12" s="29">
        <f t="shared" si="38"/>
        <v>7.6425027241295851E-3</v>
      </c>
      <c r="BJ12" s="29">
        <f t="shared" si="39"/>
        <v>3.7252152206441735E-3</v>
      </c>
      <c r="BK12" s="29">
        <f t="shared" si="40"/>
        <v>6.3604454709755842E-3</v>
      </c>
      <c r="BL12" s="29">
        <f t="shared" si="41"/>
        <v>9.2562356580412342E-3</v>
      </c>
      <c r="BM12" s="29">
        <f t="shared" si="42"/>
        <v>2.1190882878796558E-2</v>
      </c>
      <c r="BN12" s="29">
        <f t="shared" si="43"/>
        <v>3.0636969461889763E-2</v>
      </c>
      <c r="BO12" s="20"/>
      <c r="BP12" s="19"/>
      <c r="BR12" s="19"/>
      <c r="BS12" s="19"/>
      <c r="BT12" s="19"/>
      <c r="BU12" s="19"/>
      <c r="BW12" s="19"/>
      <c r="BX12" s="20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20"/>
      <c r="CO12" s="19"/>
      <c r="CP12" s="20"/>
      <c r="CQ12" s="19"/>
      <c r="CR12" s="19"/>
      <c r="CS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G12" s="20"/>
      <c r="DH12" s="19"/>
      <c r="DI12" s="19"/>
      <c r="DJ12" s="19"/>
      <c r="DK12" s="19"/>
      <c r="DL12" s="19"/>
      <c r="DM12" s="19"/>
      <c r="DN12" s="19"/>
      <c r="DO12" s="20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20"/>
      <c r="EF12" s="20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20"/>
      <c r="GI12" s="19"/>
      <c r="GJ12" s="22"/>
    </row>
    <row r="13" spans="1:192" x14ac:dyDescent="0.25">
      <c r="A13" s="18">
        <v>1881</v>
      </c>
      <c r="B13" s="19">
        <v>4985</v>
      </c>
      <c r="C13" s="19">
        <v>5606</v>
      </c>
      <c r="D13" s="19">
        <v>12015</v>
      </c>
      <c r="E13" s="19">
        <v>4451</v>
      </c>
      <c r="F13" s="19">
        <v>2101</v>
      </c>
      <c r="G13" s="19">
        <v>2072</v>
      </c>
      <c r="H13" s="19">
        <v>39191</v>
      </c>
      <c r="I13" s="19">
        <v>43827</v>
      </c>
      <c r="J13" s="19">
        <v>29672</v>
      </c>
      <c r="K13" s="19">
        <v>37112</v>
      </c>
      <c r="L13" s="19">
        <v>4079</v>
      </c>
      <c r="M13" s="19">
        <v>539</v>
      </c>
      <c r="N13" s="19">
        <v>1923</v>
      </c>
      <c r="O13" s="19">
        <v>4651</v>
      </c>
      <c r="P13" s="19">
        <v>16951</v>
      </c>
      <c r="Q13" s="19">
        <v>3044</v>
      </c>
      <c r="R13" s="19">
        <v>4570</v>
      </c>
      <c r="S13" s="19">
        <v>2853</v>
      </c>
      <c r="T13" s="19">
        <v>34935</v>
      </c>
      <c r="U13" s="19">
        <v>51743</v>
      </c>
      <c r="V13" s="19">
        <v>482</v>
      </c>
      <c r="W13" s="20"/>
      <c r="X13" s="27">
        <f t="shared" si="1"/>
        <v>8.5141886823959378</v>
      </c>
      <c r="Y13" s="27">
        <f t="shared" si="2"/>
        <v>8.6315927317247336</v>
      </c>
      <c r="Z13" s="27">
        <f t="shared" si="3"/>
        <v>9.3939111481705702</v>
      </c>
      <c r="AA13" s="27">
        <f t="shared" si="4"/>
        <v>8.4008840690158539</v>
      </c>
      <c r="AB13" s="27">
        <f t="shared" si="5"/>
        <v>7.6501687008450006</v>
      </c>
      <c r="AC13" s="27">
        <f t="shared" si="6"/>
        <v>7.6362696033793735</v>
      </c>
      <c r="AD13" s="27">
        <f t="shared" si="7"/>
        <v>10.576202407581579</v>
      </c>
      <c r="AE13" s="27">
        <f t="shared" si="8"/>
        <v>10.688005344800624</v>
      </c>
      <c r="AF13" s="27">
        <f t="shared" si="9"/>
        <v>10.297959119169427</v>
      </c>
      <c r="AG13" s="27">
        <f t="shared" si="10"/>
        <v>10.52169564643158</v>
      </c>
      <c r="AH13" s="27">
        <f t="shared" si="11"/>
        <v>8.3136071393175577</v>
      </c>
      <c r="AI13" s="27">
        <f t="shared" si="12"/>
        <v>6.2897155709089976</v>
      </c>
      <c r="AJ13" s="27">
        <f t="shared" si="13"/>
        <v>7.5616417455887799</v>
      </c>
      <c r="AK13" s="27">
        <f t="shared" si="14"/>
        <v>8.4448375292240971</v>
      </c>
      <c r="AL13" s="27">
        <f t="shared" si="15"/>
        <v>9.738082108118487</v>
      </c>
      <c r="AM13" s="27">
        <f t="shared" si="16"/>
        <v>8.0209277189815769</v>
      </c>
      <c r="AN13" s="27">
        <f t="shared" si="17"/>
        <v>8.4272684838882501</v>
      </c>
      <c r="AO13" s="27">
        <f t="shared" si="18"/>
        <v>7.9561263512135003</v>
      </c>
      <c r="AP13" s="27">
        <f t="shared" si="19"/>
        <v>10.461244470986552</v>
      </c>
      <c r="AQ13" s="27">
        <f t="shared" si="20"/>
        <v>10.854044436277903</v>
      </c>
      <c r="AR13" s="27">
        <f t="shared" si="21"/>
        <v>6.1779441140506002</v>
      </c>
      <c r="AS13" s="19"/>
      <c r="AT13" s="29">
        <f t="shared" si="23"/>
        <v>8.8656635501873637E-3</v>
      </c>
      <c r="AU13" s="29">
        <f t="shared" si="24"/>
        <v>1.1662462857383815E-2</v>
      </c>
      <c r="AV13" s="29">
        <f t="shared" si="25"/>
        <v>1.8564941610121011E-2</v>
      </c>
      <c r="AW13" s="29">
        <f t="shared" si="26"/>
        <v>1.5167240388002767E-2</v>
      </c>
      <c r="AX13" s="29">
        <f t="shared" si="27"/>
        <v>9.5648744513665562E-3</v>
      </c>
      <c r="AY13" s="29">
        <f t="shared" si="28"/>
        <v>1.2139017718084233E-2</v>
      </c>
      <c r="AZ13" s="29">
        <f t="shared" si="29"/>
        <v>3.7323014848045233E-3</v>
      </c>
      <c r="BA13" s="29">
        <f t="shared" si="30"/>
        <v>7.4891277238489096E-3</v>
      </c>
      <c r="BB13" s="29">
        <f t="shared" si="31"/>
        <v>4.6616981357079368E-3</v>
      </c>
      <c r="BC13" s="29">
        <f t="shared" si="32"/>
        <v>8.2523229722877289E-3</v>
      </c>
      <c r="BD13" s="29">
        <f t="shared" si="33"/>
        <v>8.8648696767865687E-3</v>
      </c>
      <c r="BE13" s="29">
        <f t="shared" si="34"/>
        <v>3.5886759333524587E-2</v>
      </c>
      <c r="BF13" s="29">
        <f t="shared" si="35"/>
        <v>2.0822495810799424E-3</v>
      </c>
      <c r="BG13" s="29">
        <f t="shared" si="36"/>
        <v>8.8543932334026465E-3</v>
      </c>
      <c r="BH13" s="29">
        <f t="shared" si="37"/>
        <v>5.4421903026860008E-3</v>
      </c>
      <c r="BI13" s="29">
        <f t="shared" si="38"/>
        <v>7.584537594905072E-3</v>
      </c>
      <c r="BJ13" s="29">
        <f t="shared" si="39"/>
        <v>-4.3754102645188198E-4</v>
      </c>
      <c r="BK13" s="29">
        <f t="shared" si="40"/>
        <v>4.9191947405287095E-3</v>
      </c>
      <c r="BL13" s="29">
        <f t="shared" si="41"/>
        <v>8.9709908980371011E-3</v>
      </c>
      <c r="BM13" s="29">
        <f t="shared" si="42"/>
        <v>2.5147850223092405E-2</v>
      </c>
      <c r="BN13" s="29">
        <f t="shared" si="43"/>
        <v>3.805956182434489E-2</v>
      </c>
      <c r="BO13" s="20"/>
      <c r="BP13" s="19"/>
      <c r="BR13" s="19"/>
      <c r="BS13" s="19"/>
      <c r="BT13" s="19"/>
      <c r="BU13" s="19"/>
      <c r="BW13" s="19"/>
      <c r="BX13" s="20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20"/>
      <c r="CO13" s="19"/>
      <c r="CP13" s="20"/>
      <c r="CQ13" s="19"/>
      <c r="CR13" s="19"/>
      <c r="CS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G13" s="20"/>
      <c r="DH13" s="19"/>
      <c r="DI13" s="19"/>
      <c r="DJ13" s="19"/>
      <c r="DK13" s="19"/>
      <c r="DL13" s="19"/>
      <c r="DM13" s="19"/>
      <c r="DN13" s="19"/>
      <c r="DO13" s="20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20"/>
      <c r="EF13" s="20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20"/>
      <c r="GI13" s="19"/>
      <c r="GJ13" s="22"/>
    </row>
    <row r="14" spans="1:192" x14ac:dyDescent="0.25">
      <c r="A14" s="18">
        <v>1882</v>
      </c>
      <c r="B14" s="19">
        <v>5030</v>
      </c>
      <c r="C14" s="19">
        <v>5673</v>
      </c>
      <c r="D14" s="19">
        <v>12240</v>
      </c>
      <c r="E14" s="19">
        <v>4503</v>
      </c>
      <c r="F14" s="19">
        <v>2120</v>
      </c>
      <c r="G14" s="19">
        <v>2098</v>
      </c>
      <c r="H14" s="19">
        <v>39337</v>
      </c>
      <c r="I14" s="19">
        <v>44112</v>
      </c>
      <c r="J14" s="19">
        <v>29898</v>
      </c>
      <c r="K14" s="19">
        <v>37414</v>
      </c>
      <c r="L14" s="19">
        <v>4130</v>
      </c>
      <c r="M14" s="19">
        <v>555</v>
      </c>
      <c r="N14" s="19">
        <v>1920</v>
      </c>
      <c r="O14" s="19">
        <v>4691</v>
      </c>
      <c r="P14" s="19">
        <v>17043</v>
      </c>
      <c r="Q14" s="19">
        <v>3073</v>
      </c>
      <c r="R14" s="19">
        <v>4576</v>
      </c>
      <c r="S14" s="19">
        <v>2863</v>
      </c>
      <c r="T14" s="19">
        <v>35206</v>
      </c>
      <c r="U14" s="19">
        <v>53027</v>
      </c>
      <c r="V14" s="19">
        <v>502</v>
      </c>
      <c r="W14" s="20"/>
      <c r="X14" s="27">
        <f t="shared" si="1"/>
        <v>8.5231752630937851</v>
      </c>
      <c r="Y14" s="27">
        <f t="shared" si="2"/>
        <v>8.6434733573265667</v>
      </c>
      <c r="Z14" s="27">
        <f t="shared" si="3"/>
        <v>9.4124645560663165</v>
      </c>
      <c r="AA14" s="27">
        <f t="shared" si="4"/>
        <v>8.4124991203015718</v>
      </c>
      <c r="AB14" s="27">
        <f t="shared" si="5"/>
        <v>7.6591713676660582</v>
      </c>
      <c r="AC14" s="27">
        <f t="shared" si="6"/>
        <v>7.6487397889562425</v>
      </c>
      <c r="AD14" s="27">
        <f t="shared" si="7"/>
        <v>10.579920830773929</v>
      </c>
      <c r="AE14" s="27">
        <f t="shared" si="8"/>
        <v>10.694487133263578</v>
      </c>
      <c r="AF14" s="27">
        <f t="shared" si="9"/>
        <v>10.305546867509459</v>
      </c>
      <c r="AG14" s="27">
        <f t="shared" si="10"/>
        <v>10.52980024490885</v>
      </c>
      <c r="AH14" s="27">
        <f t="shared" si="11"/>
        <v>8.3260326859550791</v>
      </c>
      <c r="AI14" s="27">
        <f t="shared" si="12"/>
        <v>6.3189681137464344</v>
      </c>
      <c r="AJ14" s="27">
        <f t="shared" si="13"/>
        <v>7.5600804650218274</v>
      </c>
      <c r="AK14" s="27">
        <f t="shared" si="14"/>
        <v>8.453401058328458</v>
      </c>
      <c r="AL14" s="27">
        <f t="shared" si="15"/>
        <v>9.7434948412252371</v>
      </c>
      <c r="AM14" s="27">
        <f t="shared" si="16"/>
        <v>8.030409562130485</v>
      </c>
      <c r="AN14" s="27">
        <f t="shared" si="17"/>
        <v>8.428580533059634</v>
      </c>
      <c r="AO14" s="27">
        <f t="shared" si="18"/>
        <v>7.9596253050981147</v>
      </c>
      <c r="AP14" s="27">
        <f t="shared" si="19"/>
        <v>10.468971801605917</v>
      </c>
      <c r="AQ14" s="27">
        <f t="shared" si="20"/>
        <v>10.878556496779096</v>
      </c>
      <c r="AR14" s="27">
        <f t="shared" si="21"/>
        <v>6.2186001196917289</v>
      </c>
      <c r="AS14" s="19"/>
      <c r="AT14" s="29">
        <f t="shared" si="23"/>
        <v>8.9865806978473017E-3</v>
      </c>
      <c r="AU14" s="29">
        <f t="shared" si="24"/>
        <v>1.1880625601833117E-2</v>
      </c>
      <c r="AV14" s="29">
        <f t="shared" si="25"/>
        <v>1.8553407895746332E-2</v>
      </c>
      <c r="AW14" s="29">
        <f t="shared" si="26"/>
        <v>1.1615051285717826E-2</v>
      </c>
      <c r="AX14" s="29">
        <f t="shared" si="27"/>
        <v>9.0026668210576588E-3</v>
      </c>
      <c r="AY14" s="29">
        <f t="shared" si="28"/>
        <v>1.2470185576868964E-2</v>
      </c>
      <c r="AZ14" s="29">
        <f t="shared" si="29"/>
        <v>3.718423192349718E-3</v>
      </c>
      <c r="BA14" s="29">
        <f t="shared" si="30"/>
        <v>6.4817884629544409E-3</v>
      </c>
      <c r="BB14" s="29">
        <f t="shared" si="31"/>
        <v>7.5877483400326184E-3</v>
      </c>
      <c r="BC14" s="29">
        <f t="shared" si="32"/>
        <v>8.1045984772707413E-3</v>
      </c>
      <c r="BD14" s="29">
        <f t="shared" si="33"/>
        <v>1.2425546637521379E-2</v>
      </c>
      <c r="BE14" s="29">
        <f t="shared" si="34"/>
        <v>2.9252542837436835E-2</v>
      </c>
      <c r="BF14" s="29">
        <f t="shared" si="35"/>
        <v>-1.5612805669524832E-3</v>
      </c>
      <c r="BG14" s="29">
        <f t="shared" si="36"/>
        <v>8.5635291043608674E-3</v>
      </c>
      <c r="BH14" s="29">
        <f t="shared" si="37"/>
        <v>5.4127331067501672E-3</v>
      </c>
      <c r="BI14" s="29">
        <f t="shared" si="38"/>
        <v>9.4818431489080979E-3</v>
      </c>
      <c r="BJ14" s="29">
        <f t="shared" si="39"/>
        <v>1.3120491713838334E-3</v>
      </c>
      <c r="BK14" s="29">
        <f t="shared" si="40"/>
        <v>3.4989538846144086E-3</v>
      </c>
      <c r="BL14" s="29">
        <f t="shared" si="41"/>
        <v>7.7273306193657021E-3</v>
      </c>
      <c r="BM14" s="29">
        <f t="shared" si="42"/>
        <v>2.4512060501193034E-2</v>
      </c>
      <c r="BN14" s="29">
        <f t="shared" si="43"/>
        <v>4.0656005641128701E-2</v>
      </c>
      <c r="BO14" s="20"/>
      <c r="BP14" s="19"/>
      <c r="BR14" s="19"/>
      <c r="BS14" s="19"/>
      <c r="BT14" s="19"/>
      <c r="BU14" s="19"/>
      <c r="BW14" s="19"/>
      <c r="BX14" s="20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20"/>
      <c r="CO14" s="19"/>
      <c r="CP14" s="20"/>
      <c r="CQ14" s="19"/>
      <c r="CR14" s="19"/>
      <c r="CS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G14" s="20"/>
      <c r="DH14" s="19"/>
      <c r="DI14" s="19"/>
      <c r="DJ14" s="19"/>
      <c r="DK14" s="19"/>
      <c r="DL14" s="19"/>
      <c r="DM14" s="19"/>
      <c r="DN14" s="19"/>
      <c r="DO14" s="20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20"/>
      <c r="EF14" s="20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20"/>
      <c r="GI14" s="19"/>
      <c r="GJ14" s="22"/>
    </row>
    <row r="15" spans="1:192" x14ac:dyDescent="0.25">
      <c r="A15" s="18">
        <v>1883</v>
      </c>
      <c r="B15" s="19">
        <v>5075</v>
      </c>
      <c r="C15" s="19">
        <v>5740</v>
      </c>
      <c r="D15" s="19">
        <v>12470</v>
      </c>
      <c r="E15" s="19">
        <v>4560</v>
      </c>
      <c r="F15" s="19">
        <v>2137</v>
      </c>
      <c r="G15" s="19">
        <v>2130</v>
      </c>
      <c r="H15" s="19">
        <v>39472</v>
      </c>
      <c r="I15" s="19">
        <v>44404</v>
      </c>
      <c r="J15" s="19">
        <v>30113</v>
      </c>
      <c r="K15" s="19">
        <v>37766</v>
      </c>
      <c r="L15" s="19">
        <v>4180</v>
      </c>
      <c r="M15" s="19">
        <v>574</v>
      </c>
      <c r="N15" s="19">
        <v>1919</v>
      </c>
      <c r="O15" s="19">
        <v>4732</v>
      </c>
      <c r="P15" s="19">
        <v>17136</v>
      </c>
      <c r="Q15" s="19">
        <v>3107</v>
      </c>
      <c r="R15" s="19">
        <v>4591</v>
      </c>
      <c r="S15" s="19">
        <v>2874</v>
      </c>
      <c r="T15" s="19">
        <v>35450</v>
      </c>
      <c r="U15" s="19">
        <v>54311</v>
      </c>
      <c r="V15" s="19">
        <v>522</v>
      </c>
      <c r="W15" s="20"/>
      <c r="X15" s="27">
        <f t="shared" si="1"/>
        <v>8.5320818039099873</v>
      </c>
      <c r="Y15" s="27">
        <f t="shared" si="2"/>
        <v>8.6552144893136127</v>
      </c>
      <c r="Z15" s="27">
        <f t="shared" si="3"/>
        <v>9.4310810386740815</v>
      </c>
      <c r="AA15" s="27">
        <f t="shared" si="4"/>
        <v>8.4250779025084324</v>
      </c>
      <c r="AB15" s="27">
        <f t="shared" si="5"/>
        <v>7.6671582553191477</v>
      </c>
      <c r="AC15" s="27">
        <f t="shared" si="6"/>
        <v>7.6638772587034705</v>
      </c>
      <c r="AD15" s="27">
        <f t="shared" si="7"/>
        <v>10.583346838769138</v>
      </c>
      <c r="AE15" s="27">
        <f t="shared" si="8"/>
        <v>10.701084834452537</v>
      </c>
      <c r="AF15" s="27">
        <f t="shared" si="9"/>
        <v>10.312712251185442</v>
      </c>
      <c r="AG15" s="27">
        <f t="shared" si="10"/>
        <v>10.539164505941523</v>
      </c>
      <c r="AH15" s="27">
        <f t="shared" si="11"/>
        <v>8.3380665255188013</v>
      </c>
      <c r="AI15" s="27">
        <f t="shared" si="12"/>
        <v>6.3526293963195668</v>
      </c>
      <c r="AJ15" s="27">
        <f t="shared" si="13"/>
        <v>7.5595594960076999</v>
      </c>
      <c r="AK15" s="27">
        <f t="shared" si="14"/>
        <v>8.4621032250982768</v>
      </c>
      <c r="AL15" s="27">
        <f t="shared" si="15"/>
        <v>9.7489367926875303</v>
      </c>
      <c r="AM15" s="27">
        <f t="shared" si="16"/>
        <v>8.0414129093930473</v>
      </c>
      <c r="AN15" s="27">
        <f t="shared" si="17"/>
        <v>8.4318531442492226</v>
      </c>
      <c r="AO15" s="27">
        <f t="shared" si="18"/>
        <v>7.9634600666389703</v>
      </c>
      <c r="AP15" s="27">
        <f t="shared" si="19"/>
        <v>10.475878531960273</v>
      </c>
      <c r="AQ15" s="27">
        <f t="shared" si="20"/>
        <v>10.902482063674697</v>
      </c>
      <c r="AR15" s="27">
        <f t="shared" si="21"/>
        <v>6.2576675878826391</v>
      </c>
      <c r="AS15" s="19"/>
      <c r="AT15" s="29">
        <f t="shared" si="23"/>
        <v>8.9065408162021242E-3</v>
      </c>
      <c r="AU15" s="29">
        <f t="shared" si="24"/>
        <v>1.1741131987045961E-2</v>
      </c>
      <c r="AV15" s="29">
        <f t="shared" si="25"/>
        <v>1.861648260776505E-2</v>
      </c>
      <c r="AW15" s="29">
        <f t="shared" si="26"/>
        <v>1.2578782206860595E-2</v>
      </c>
      <c r="AX15" s="29">
        <f t="shared" si="27"/>
        <v>7.986887653089525E-3</v>
      </c>
      <c r="AY15" s="29">
        <f t="shared" si="28"/>
        <v>1.5137469747227961E-2</v>
      </c>
      <c r="AZ15" s="29">
        <f t="shared" si="29"/>
        <v>3.4260079952090905E-3</v>
      </c>
      <c r="BA15" s="29">
        <f t="shared" si="30"/>
        <v>6.5977011889586379E-3</v>
      </c>
      <c r="BB15" s="29">
        <f t="shared" si="31"/>
        <v>7.1653836759821843E-3</v>
      </c>
      <c r="BC15" s="29">
        <f t="shared" si="32"/>
        <v>9.3642610326725162E-3</v>
      </c>
      <c r="BD15" s="29">
        <f t="shared" si="33"/>
        <v>1.2033839563722282E-2</v>
      </c>
      <c r="BE15" s="29">
        <f t="shared" si="34"/>
        <v>3.3661282573132389E-2</v>
      </c>
      <c r="BF15" s="29">
        <f t="shared" si="35"/>
        <v>-5.2096901412745922E-4</v>
      </c>
      <c r="BG15" s="29">
        <f t="shared" si="36"/>
        <v>8.702166769818831E-3</v>
      </c>
      <c r="BH15" s="29">
        <f t="shared" si="37"/>
        <v>5.4419514622932041E-3</v>
      </c>
      <c r="BI15" s="29">
        <f t="shared" si="38"/>
        <v>1.1003347262562357E-2</v>
      </c>
      <c r="BJ15" s="29">
        <f t="shared" si="39"/>
        <v>3.2726111895886589E-3</v>
      </c>
      <c r="BK15" s="29">
        <f t="shared" si="40"/>
        <v>3.8347615408556024E-3</v>
      </c>
      <c r="BL15" s="29">
        <f t="shared" si="41"/>
        <v>6.906730354355517E-3</v>
      </c>
      <c r="BM15" s="29">
        <f t="shared" si="42"/>
        <v>2.392556689560088E-2</v>
      </c>
      <c r="BN15" s="29">
        <f t="shared" si="43"/>
        <v>3.9067468190910226E-2</v>
      </c>
      <c r="BO15" s="20"/>
      <c r="BP15" s="19"/>
      <c r="BR15" s="19"/>
      <c r="BS15" s="19"/>
      <c r="BT15" s="19"/>
      <c r="BU15" s="19"/>
      <c r="BW15" s="19"/>
      <c r="BX15" s="20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20"/>
      <c r="CO15" s="19"/>
      <c r="CP15" s="20"/>
      <c r="CQ15" s="19"/>
      <c r="CR15" s="19"/>
      <c r="CS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G15" s="20"/>
      <c r="DH15" s="19"/>
      <c r="DI15" s="19"/>
      <c r="DJ15" s="19"/>
      <c r="DK15" s="19"/>
      <c r="DL15" s="19"/>
      <c r="DM15" s="19"/>
      <c r="DN15" s="19"/>
      <c r="DO15" s="20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20"/>
      <c r="EF15" s="20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20"/>
      <c r="GI15" s="19"/>
      <c r="GJ15" s="22"/>
    </row>
    <row r="16" spans="1:192" x14ac:dyDescent="0.25">
      <c r="A16" s="18">
        <v>1884</v>
      </c>
      <c r="B16" s="19">
        <v>5121</v>
      </c>
      <c r="C16" s="19">
        <v>5807</v>
      </c>
      <c r="D16" s="19">
        <v>12703</v>
      </c>
      <c r="E16" s="19">
        <v>4617</v>
      </c>
      <c r="F16" s="19">
        <v>2160</v>
      </c>
      <c r="G16" s="19">
        <v>2164</v>
      </c>
      <c r="H16" s="19">
        <v>39629</v>
      </c>
      <c r="I16" s="19">
        <v>44777</v>
      </c>
      <c r="J16" s="19">
        <v>30366</v>
      </c>
      <c r="K16" s="19">
        <v>38138</v>
      </c>
      <c r="L16" s="19">
        <v>4226</v>
      </c>
      <c r="M16" s="19">
        <v>598</v>
      </c>
      <c r="N16" s="19">
        <v>1929</v>
      </c>
      <c r="O16" s="19">
        <v>4773</v>
      </c>
      <c r="P16" s="19">
        <v>17230</v>
      </c>
      <c r="Q16" s="19">
        <v>3144</v>
      </c>
      <c r="R16" s="19">
        <v>4624</v>
      </c>
      <c r="S16" s="19">
        <v>2885</v>
      </c>
      <c r="T16" s="19">
        <v>35724</v>
      </c>
      <c r="U16" s="19">
        <v>55595</v>
      </c>
      <c r="V16" s="19">
        <v>543</v>
      </c>
      <c r="W16" s="20"/>
      <c r="X16" s="27">
        <f t="shared" si="1"/>
        <v>8.54110501146255</v>
      </c>
      <c r="Y16" s="27">
        <f t="shared" si="2"/>
        <v>8.6668193653720493</v>
      </c>
      <c r="Z16" s="27">
        <f t="shared" si="3"/>
        <v>9.4495934650234599</v>
      </c>
      <c r="AA16" s="27">
        <f t="shared" si="4"/>
        <v>8.4375004225069894</v>
      </c>
      <c r="AB16" s="27">
        <f t="shared" si="5"/>
        <v>7.6778635006782103</v>
      </c>
      <c r="AC16" s="27">
        <f t="shared" si="6"/>
        <v>7.6797136399663719</v>
      </c>
      <c r="AD16" s="27">
        <f t="shared" si="7"/>
        <v>10.587316452457079</v>
      </c>
      <c r="AE16" s="27">
        <f t="shared" si="8"/>
        <v>10.709449893714698</v>
      </c>
      <c r="AF16" s="27">
        <f t="shared" si="9"/>
        <v>10.321078840442134</v>
      </c>
      <c r="AG16" s="27">
        <f t="shared" si="10"/>
        <v>10.548966439394572</v>
      </c>
      <c r="AH16" s="27">
        <f t="shared" si="11"/>
        <v>8.3490111981760027</v>
      </c>
      <c r="AI16" s="27">
        <f t="shared" si="12"/>
        <v>6.3935907539506314</v>
      </c>
      <c r="AJ16" s="27">
        <f t="shared" si="13"/>
        <v>7.5647570129057291</v>
      </c>
      <c r="AK16" s="27">
        <f t="shared" si="14"/>
        <v>8.4707303170058967</v>
      </c>
      <c r="AL16" s="27">
        <f t="shared" si="15"/>
        <v>9.7544073295219746</v>
      </c>
      <c r="AM16" s="27">
        <f t="shared" si="16"/>
        <v>8.0532511535490965</v>
      </c>
      <c r="AN16" s="27">
        <f t="shared" si="17"/>
        <v>8.4390154103522139</v>
      </c>
      <c r="AO16" s="27">
        <f t="shared" si="18"/>
        <v>7.9672801789422003</v>
      </c>
      <c r="AP16" s="27">
        <f t="shared" si="19"/>
        <v>10.483578010803777</v>
      </c>
      <c r="AQ16" s="27">
        <f t="shared" si="20"/>
        <v>10.925848548137349</v>
      </c>
      <c r="AR16" s="27">
        <f t="shared" si="21"/>
        <v>6.2971093199339352</v>
      </c>
      <c r="AS16" s="19"/>
      <c r="AT16" s="29">
        <f t="shared" si="23"/>
        <v>9.0232075525626954E-3</v>
      </c>
      <c r="AU16" s="29">
        <f t="shared" si="24"/>
        <v>1.1604876058436631E-2</v>
      </c>
      <c r="AV16" s="29">
        <f t="shared" si="25"/>
        <v>1.851242634937833E-2</v>
      </c>
      <c r="AW16" s="29">
        <f t="shared" si="26"/>
        <v>1.2422519998557036E-2</v>
      </c>
      <c r="AX16" s="29">
        <f t="shared" si="27"/>
        <v>1.0705245359062587E-2</v>
      </c>
      <c r="AY16" s="29">
        <f t="shared" si="28"/>
        <v>1.5836381262901433E-2</v>
      </c>
      <c r="AZ16" s="29">
        <f t="shared" si="29"/>
        <v>3.9696136879410204E-3</v>
      </c>
      <c r="BA16" s="29">
        <f t="shared" si="30"/>
        <v>8.3650592621609121E-3</v>
      </c>
      <c r="BB16" s="29">
        <f t="shared" si="31"/>
        <v>8.3665892566919808E-3</v>
      </c>
      <c r="BC16" s="29">
        <f t="shared" si="32"/>
        <v>9.8019334530494717E-3</v>
      </c>
      <c r="BD16" s="29">
        <f t="shared" si="33"/>
        <v>1.0944672657201338E-2</v>
      </c>
      <c r="BE16" s="29">
        <f t="shared" si="34"/>
        <v>4.0961357631064566E-2</v>
      </c>
      <c r="BF16" s="29">
        <f t="shared" si="35"/>
        <v>5.1975168980291642E-3</v>
      </c>
      <c r="BG16" s="29">
        <f t="shared" si="36"/>
        <v>8.6270919076198993E-3</v>
      </c>
      <c r="BH16" s="29">
        <f t="shared" si="37"/>
        <v>5.4705368344443173E-3</v>
      </c>
      <c r="BI16" s="29">
        <f t="shared" si="38"/>
        <v>1.1838244156049171E-2</v>
      </c>
      <c r="BJ16" s="29">
        <f t="shared" si="39"/>
        <v>7.1622661029913104E-3</v>
      </c>
      <c r="BK16" s="29">
        <f t="shared" si="40"/>
        <v>3.8201123032299833E-3</v>
      </c>
      <c r="BL16" s="29">
        <f t="shared" si="41"/>
        <v>7.6994788435040817E-3</v>
      </c>
      <c r="BM16" s="29">
        <f t="shared" si="42"/>
        <v>2.3366484462652437E-2</v>
      </c>
      <c r="BN16" s="29">
        <f t="shared" si="43"/>
        <v>3.9441732051296086E-2</v>
      </c>
      <c r="BO16" s="20"/>
      <c r="BP16" s="19"/>
      <c r="BR16" s="19"/>
      <c r="BS16" s="19"/>
      <c r="BT16" s="19"/>
      <c r="BU16" s="19"/>
      <c r="BW16" s="19"/>
      <c r="BX16" s="20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20"/>
      <c r="CO16" s="19"/>
      <c r="CP16" s="20"/>
      <c r="CQ16" s="19"/>
      <c r="CR16" s="19"/>
      <c r="CS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G16" s="20"/>
      <c r="DH16" s="19"/>
      <c r="DI16" s="19"/>
      <c r="DJ16" s="19"/>
      <c r="DK16" s="19"/>
      <c r="DL16" s="19"/>
      <c r="DM16" s="19"/>
      <c r="DN16" s="19"/>
      <c r="DO16" s="20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20"/>
      <c r="EF16" s="20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20"/>
      <c r="GI16" s="19"/>
      <c r="GJ16" s="22"/>
    </row>
    <row r="17" spans="1:192" x14ac:dyDescent="0.25">
      <c r="A17" s="18">
        <v>1885</v>
      </c>
      <c r="B17" s="19">
        <v>5166</v>
      </c>
      <c r="C17" s="19">
        <v>5876</v>
      </c>
      <c r="D17" s="19">
        <v>12941</v>
      </c>
      <c r="E17" s="19">
        <v>4666</v>
      </c>
      <c r="F17" s="19">
        <v>2186</v>
      </c>
      <c r="G17" s="19">
        <v>2195</v>
      </c>
      <c r="H17" s="19">
        <v>39733</v>
      </c>
      <c r="I17" s="19">
        <v>45084</v>
      </c>
      <c r="J17" s="19">
        <v>30644</v>
      </c>
      <c r="K17" s="19">
        <v>38427</v>
      </c>
      <c r="L17" s="19">
        <v>4276</v>
      </c>
      <c r="M17" s="19">
        <v>614</v>
      </c>
      <c r="N17" s="19">
        <v>1944</v>
      </c>
      <c r="O17" s="19">
        <v>4815</v>
      </c>
      <c r="P17" s="19">
        <v>17323</v>
      </c>
      <c r="Q17" s="19">
        <v>3170</v>
      </c>
      <c r="R17" s="19">
        <v>4664</v>
      </c>
      <c r="S17" s="19">
        <v>2896</v>
      </c>
      <c r="T17" s="19">
        <v>36015</v>
      </c>
      <c r="U17" s="19">
        <v>56879</v>
      </c>
      <c r="V17" s="19">
        <v>564</v>
      </c>
      <c r="W17" s="20"/>
      <c r="X17" s="27">
        <f t="shared" si="1"/>
        <v>8.5498539736557859</v>
      </c>
      <c r="Y17" s="27">
        <f t="shared" si="2"/>
        <v>8.6786315372937679</v>
      </c>
      <c r="Z17" s="27">
        <f t="shared" si="3"/>
        <v>9.4681558448216698</v>
      </c>
      <c r="AA17" s="27">
        <f t="shared" si="4"/>
        <v>8.4480574525813754</v>
      </c>
      <c r="AB17" s="27">
        <f t="shared" si="5"/>
        <v>7.6898286687364843</v>
      </c>
      <c r="AC17" s="27">
        <f t="shared" si="6"/>
        <v>7.693937325509272</v>
      </c>
      <c r="AD17" s="27">
        <f t="shared" si="7"/>
        <v>10.589937355648342</v>
      </c>
      <c r="AE17" s="27">
        <f t="shared" si="8"/>
        <v>10.716282695361969</v>
      </c>
      <c r="AF17" s="27">
        <f t="shared" si="9"/>
        <v>10.330192163636712</v>
      </c>
      <c r="AG17" s="27">
        <f t="shared" si="10"/>
        <v>10.556515616499246</v>
      </c>
      <c r="AH17" s="27">
        <f t="shared" si="11"/>
        <v>8.3607732721449359</v>
      </c>
      <c r="AI17" s="27">
        <f t="shared" si="12"/>
        <v>6.4199949281471422</v>
      </c>
      <c r="AJ17" s="27">
        <f t="shared" si="13"/>
        <v>7.5725029850203844</v>
      </c>
      <c r="AK17" s="27">
        <f t="shared" si="14"/>
        <v>8.4794913242322263</v>
      </c>
      <c r="AL17" s="27">
        <f t="shared" si="15"/>
        <v>9.7597903772789412</v>
      </c>
      <c r="AM17" s="27">
        <f t="shared" si="16"/>
        <v>8.0614868668713271</v>
      </c>
      <c r="AN17" s="27">
        <f t="shared" si="17"/>
        <v>8.4476287280303275</v>
      </c>
      <c r="AO17" s="27">
        <f t="shared" si="18"/>
        <v>7.9710857535056068</v>
      </c>
      <c r="AP17" s="27">
        <f t="shared" si="19"/>
        <v>10.491690797323463</v>
      </c>
      <c r="AQ17" s="27">
        <f t="shared" si="20"/>
        <v>10.948681483450565</v>
      </c>
      <c r="AR17" s="27">
        <f t="shared" si="21"/>
        <v>6.3350542514980592</v>
      </c>
      <c r="AS17" s="19"/>
      <c r="AT17" s="29">
        <f t="shared" si="23"/>
        <v>8.748962193235954E-3</v>
      </c>
      <c r="AU17" s="29">
        <f t="shared" si="24"/>
        <v>1.1812171921718573E-2</v>
      </c>
      <c r="AV17" s="29">
        <f t="shared" si="25"/>
        <v>1.856237979820996E-2</v>
      </c>
      <c r="AW17" s="29">
        <f t="shared" si="26"/>
        <v>1.055703007438602E-2</v>
      </c>
      <c r="AX17" s="29">
        <f t="shared" si="27"/>
        <v>1.1965168058273967E-2</v>
      </c>
      <c r="AY17" s="29">
        <f t="shared" si="28"/>
        <v>1.42236855429001E-2</v>
      </c>
      <c r="AZ17" s="29">
        <f t="shared" si="29"/>
        <v>2.6209031912625136E-3</v>
      </c>
      <c r="BA17" s="29">
        <f t="shared" si="30"/>
        <v>6.8328016472705144E-3</v>
      </c>
      <c r="BB17" s="29">
        <f t="shared" si="31"/>
        <v>9.1133231945779158E-3</v>
      </c>
      <c r="BC17" s="29">
        <f t="shared" si="32"/>
        <v>7.549177104673177E-3</v>
      </c>
      <c r="BD17" s="29">
        <f t="shared" si="33"/>
        <v>1.1762073968933251E-2</v>
      </c>
      <c r="BE17" s="29">
        <f t="shared" si="34"/>
        <v>2.6404174196510866E-2</v>
      </c>
      <c r="BF17" s="29">
        <f t="shared" si="35"/>
        <v>7.7459721146553306E-3</v>
      </c>
      <c r="BG17" s="29">
        <f t="shared" si="36"/>
        <v>8.7610072263295535E-3</v>
      </c>
      <c r="BH17" s="29">
        <f t="shared" si="37"/>
        <v>5.3830477569665192E-3</v>
      </c>
      <c r="BI17" s="29">
        <f t="shared" si="38"/>
        <v>8.2357133222306089E-3</v>
      </c>
      <c r="BJ17" s="29">
        <f t="shared" si="39"/>
        <v>8.6133176781135745E-3</v>
      </c>
      <c r="BK17" s="29">
        <f t="shared" si="40"/>
        <v>3.8055745634064664E-3</v>
      </c>
      <c r="BL17" s="29">
        <f t="shared" si="41"/>
        <v>8.1127865196854998E-3</v>
      </c>
      <c r="BM17" s="29">
        <f t="shared" si="42"/>
        <v>2.2832935313216396E-2</v>
      </c>
      <c r="BN17" s="29">
        <f t="shared" si="43"/>
        <v>3.794493156412404E-2</v>
      </c>
      <c r="BO17" s="20"/>
      <c r="BP17" s="19"/>
      <c r="BR17" s="19"/>
      <c r="BS17" s="19"/>
      <c r="BT17" s="19"/>
      <c r="BU17" s="19"/>
      <c r="BW17" s="19"/>
      <c r="BX17" s="20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20"/>
      <c r="CO17" s="19"/>
      <c r="CP17" s="20"/>
      <c r="CQ17" s="19"/>
      <c r="CR17" s="19"/>
      <c r="CS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G17" s="20"/>
      <c r="DH17" s="19"/>
      <c r="DI17" s="19"/>
      <c r="DJ17" s="19"/>
      <c r="DK17" s="19"/>
      <c r="DL17" s="19"/>
      <c r="DM17" s="19"/>
      <c r="DN17" s="19"/>
      <c r="DO17" s="20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20"/>
      <c r="EF17" s="20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20"/>
      <c r="GI17" s="19"/>
      <c r="GJ17" s="22"/>
    </row>
    <row r="18" spans="1:192" x14ac:dyDescent="0.25">
      <c r="A18" s="18">
        <v>1886</v>
      </c>
      <c r="B18" s="19">
        <v>5212</v>
      </c>
      <c r="C18" s="19">
        <v>5919</v>
      </c>
      <c r="D18" s="19">
        <v>13183</v>
      </c>
      <c r="E18" s="19">
        <v>4711</v>
      </c>
      <c r="F18" s="19">
        <v>2213</v>
      </c>
      <c r="G18" s="19">
        <v>2224</v>
      </c>
      <c r="H18" s="19">
        <v>39858</v>
      </c>
      <c r="I18" s="19">
        <v>45505</v>
      </c>
      <c r="J18" s="19">
        <v>30857</v>
      </c>
      <c r="K18" s="19">
        <v>38622</v>
      </c>
      <c r="L18" s="19">
        <v>4326</v>
      </c>
      <c r="M18" s="19">
        <v>626</v>
      </c>
      <c r="N18" s="19">
        <v>1958</v>
      </c>
      <c r="O18" s="19">
        <v>4857</v>
      </c>
      <c r="P18" s="19">
        <v>17418</v>
      </c>
      <c r="Q18" s="19">
        <v>3194</v>
      </c>
      <c r="R18" s="19">
        <v>4700</v>
      </c>
      <c r="S18" s="19">
        <v>2907</v>
      </c>
      <c r="T18" s="19">
        <v>36313</v>
      </c>
      <c r="U18" s="19">
        <v>58164</v>
      </c>
      <c r="V18" s="19">
        <v>587</v>
      </c>
      <c r="W18" s="20"/>
      <c r="X18" s="27">
        <f t="shared" si="1"/>
        <v>8.558718938244736</v>
      </c>
      <c r="Y18" s="27">
        <f t="shared" si="2"/>
        <v>8.6859227946907254</v>
      </c>
      <c r="Z18" s="27">
        <f t="shared" si="3"/>
        <v>9.48668339975797</v>
      </c>
      <c r="AA18" s="27">
        <f t="shared" si="4"/>
        <v>8.4576554787000404</v>
      </c>
      <c r="AB18" s="27">
        <f t="shared" si="5"/>
        <v>7.7021043400510498</v>
      </c>
      <c r="AC18" s="27">
        <f t="shared" si="6"/>
        <v>7.7070626553704731</v>
      </c>
      <c r="AD18" s="27">
        <f t="shared" si="7"/>
        <v>10.593078416893297</v>
      </c>
      <c r="AE18" s="27">
        <f t="shared" si="8"/>
        <v>10.725577489011457</v>
      </c>
      <c r="AF18" s="27">
        <f t="shared" si="9"/>
        <v>10.337118907970643</v>
      </c>
      <c r="AG18" s="27">
        <f t="shared" si="10"/>
        <v>10.561577341280671</v>
      </c>
      <c r="AH18" s="27">
        <f t="shared" si="11"/>
        <v>8.3723986065130038</v>
      </c>
      <c r="AI18" s="27">
        <f t="shared" si="12"/>
        <v>6.4393503711000983</v>
      </c>
      <c r="AJ18" s="27">
        <f t="shared" si="13"/>
        <v>7.5796788230904557</v>
      </c>
      <c r="AK18" s="27">
        <f t="shared" si="14"/>
        <v>8.4881762423457445</v>
      </c>
      <c r="AL18" s="27">
        <f t="shared" si="15"/>
        <v>9.7652594332526856</v>
      </c>
      <c r="AM18" s="27">
        <f t="shared" si="16"/>
        <v>8.0690293287749579</v>
      </c>
      <c r="AN18" s="27">
        <f t="shared" si="17"/>
        <v>8.4553177876981493</v>
      </c>
      <c r="AO18" s="27">
        <f t="shared" si="18"/>
        <v>7.9748769005588755</v>
      </c>
      <c r="AP18" s="27">
        <f t="shared" si="19"/>
        <v>10.499931082862638</v>
      </c>
      <c r="AQ18" s="27">
        <f t="shared" si="20"/>
        <v>10.971021885633377</v>
      </c>
      <c r="AR18" s="27">
        <f t="shared" si="21"/>
        <v>6.3750248198280968</v>
      </c>
      <c r="AS18" s="19"/>
      <c r="AT18" s="29">
        <f t="shared" si="23"/>
        <v>8.8649645889500306E-3</v>
      </c>
      <c r="AU18" s="29">
        <f t="shared" si="24"/>
        <v>7.2912573969574623E-3</v>
      </c>
      <c r="AV18" s="29">
        <f t="shared" si="25"/>
        <v>1.8527554936300206E-2</v>
      </c>
      <c r="AW18" s="29">
        <f t="shared" si="26"/>
        <v>9.598026118665004E-3</v>
      </c>
      <c r="AX18" s="29">
        <f t="shared" si="27"/>
        <v>1.2275671314565528E-2</v>
      </c>
      <c r="AY18" s="29">
        <f t="shared" si="28"/>
        <v>1.3125329861201074E-2</v>
      </c>
      <c r="AZ18" s="29">
        <f t="shared" si="29"/>
        <v>3.1410612449551678E-3</v>
      </c>
      <c r="BA18" s="29">
        <f t="shared" si="30"/>
        <v>9.2947936494880423E-3</v>
      </c>
      <c r="BB18" s="29">
        <f t="shared" si="31"/>
        <v>6.9267443339313672E-3</v>
      </c>
      <c r="BC18" s="29">
        <f t="shared" si="32"/>
        <v>5.0617247814255251E-3</v>
      </c>
      <c r="BD18" s="29">
        <f t="shared" si="33"/>
        <v>1.1625334368067897E-2</v>
      </c>
      <c r="BE18" s="29">
        <f t="shared" si="34"/>
        <v>1.9355442952956103E-2</v>
      </c>
      <c r="BF18" s="29">
        <f t="shared" si="35"/>
        <v>7.1758380700712721E-3</v>
      </c>
      <c r="BG18" s="29">
        <f t="shared" si="36"/>
        <v>8.6849181135182363E-3</v>
      </c>
      <c r="BH18" s="29">
        <f t="shared" si="37"/>
        <v>5.4690559737444744E-3</v>
      </c>
      <c r="BI18" s="29">
        <f t="shared" si="38"/>
        <v>7.5424619036308371E-3</v>
      </c>
      <c r="BJ18" s="29">
        <f t="shared" si="39"/>
        <v>7.6890596678218515E-3</v>
      </c>
      <c r="BK18" s="29">
        <f t="shared" si="40"/>
        <v>3.791147053268773E-3</v>
      </c>
      <c r="BL18" s="29">
        <f t="shared" si="41"/>
        <v>8.2402855391752183E-3</v>
      </c>
      <c r="BM18" s="29">
        <f t="shared" si="42"/>
        <v>2.2340402182811303E-2</v>
      </c>
      <c r="BN18" s="29">
        <f t="shared" si="43"/>
        <v>3.9970568330037537E-2</v>
      </c>
      <c r="BO18" s="20"/>
      <c r="BP18" s="19"/>
      <c r="BR18" s="19"/>
      <c r="BS18" s="19"/>
      <c r="BT18" s="19"/>
      <c r="BU18" s="19"/>
      <c r="BW18" s="19"/>
      <c r="BX18" s="20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20"/>
      <c r="CO18" s="19"/>
      <c r="CP18" s="20"/>
      <c r="CQ18" s="19"/>
      <c r="CR18" s="19"/>
      <c r="CS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G18" s="20"/>
      <c r="DH18" s="19"/>
      <c r="DI18" s="19"/>
      <c r="DJ18" s="19"/>
      <c r="DK18" s="19"/>
      <c r="DL18" s="19"/>
      <c r="DM18" s="19"/>
      <c r="DN18" s="19"/>
      <c r="DO18" s="20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20"/>
      <c r="EF18" s="20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20"/>
      <c r="GI18" s="19"/>
      <c r="GJ18" s="22"/>
    </row>
    <row r="19" spans="1:192" x14ac:dyDescent="0.25">
      <c r="A19" s="18">
        <v>1887</v>
      </c>
      <c r="B19" s="19">
        <v>5257</v>
      </c>
      <c r="C19" s="19">
        <v>5962</v>
      </c>
      <c r="D19" s="19">
        <v>13430</v>
      </c>
      <c r="E19" s="19">
        <v>4760</v>
      </c>
      <c r="F19" s="19">
        <v>2237</v>
      </c>
      <c r="G19" s="19">
        <v>2259</v>
      </c>
      <c r="H19" s="19">
        <v>39889</v>
      </c>
      <c r="I19" s="19">
        <v>46001</v>
      </c>
      <c r="J19" s="19">
        <v>31049</v>
      </c>
      <c r="K19" s="19">
        <v>38866</v>
      </c>
      <c r="L19" s="19">
        <v>4378</v>
      </c>
      <c r="M19" s="19">
        <v>640</v>
      </c>
      <c r="N19" s="19">
        <v>1970</v>
      </c>
      <c r="O19" s="19">
        <v>4899</v>
      </c>
      <c r="P19" s="19">
        <v>17513</v>
      </c>
      <c r="Q19" s="19">
        <v>3221</v>
      </c>
      <c r="R19" s="19">
        <v>4726</v>
      </c>
      <c r="S19" s="19">
        <v>2918</v>
      </c>
      <c r="T19" s="19">
        <v>36598</v>
      </c>
      <c r="U19" s="19">
        <v>59448</v>
      </c>
      <c r="V19" s="19">
        <v>610</v>
      </c>
      <c r="W19" s="20"/>
      <c r="X19" s="27">
        <f t="shared" si="1"/>
        <v>8.5673158008194488</v>
      </c>
      <c r="Y19" s="27">
        <f t="shared" si="2"/>
        <v>8.6931612742380171</v>
      </c>
      <c r="Z19" s="27">
        <f t="shared" si="3"/>
        <v>9.5052462895172827</v>
      </c>
      <c r="AA19" s="27">
        <f t="shared" si="4"/>
        <v>8.4680029472254663</v>
      </c>
      <c r="AB19" s="27">
        <f t="shared" si="5"/>
        <v>7.71289096149013</v>
      </c>
      <c r="AC19" s="27">
        <f t="shared" si="6"/>
        <v>7.7226775164680035</v>
      </c>
      <c r="AD19" s="27">
        <f t="shared" si="7"/>
        <v>10.593855875645637</v>
      </c>
      <c r="AE19" s="27">
        <f t="shared" si="8"/>
        <v>10.736418414365376</v>
      </c>
      <c r="AF19" s="27">
        <f t="shared" si="9"/>
        <v>10.343321880723835</v>
      </c>
      <c r="AG19" s="27">
        <f t="shared" si="10"/>
        <v>10.567875111424648</v>
      </c>
      <c r="AH19" s="27">
        <f t="shared" si="11"/>
        <v>8.3843472780828083</v>
      </c>
      <c r="AI19" s="27">
        <f t="shared" si="12"/>
        <v>6.4614681763537174</v>
      </c>
      <c r="AJ19" s="27">
        <f t="shared" si="13"/>
        <v>7.5857888217320344</v>
      </c>
      <c r="AK19" s="27">
        <f t="shared" si="14"/>
        <v>8.4967863816385751</v>
      </c>
      <c r="AL19" s="27">
        <f t="shared" si="15"/>
        <v>9.770698741272664</v>
      </c>
      <c r="AM19" s="27">
        <f t="shared" si="16"/>
        <v>8.0774471493311992</v>
      </c>
      <c r="AN19" s="27">
        <f t="shared" si="17"/>
        <v>8.4608344577468539</v>
      </c>
      <c r="AO19" s="27">
        <f t="shared" si="18"/>
        <v>7.9786537290827306</v>
      </c>
      <c r="AP19" s="27">
        <f t="shared" si="19"/>
        <v>10.507748873087632</v>
      </c>
      <c r="AQ19" s="27">
        <f t="shared" si="20"/>
        <v>10.992857259837304</v>
      </c>
      <c r="AR19" s="27">
        <f t="shared" si="21"/>
        <v>6.4134589571673573</v>
      </c>
      <c r="AS19" s="19"/>
      <c r="AT19" s="29">
        <f t="shared" si="23"/>
        <v>8.5968625747128158E-3</v>
      </c>
      <c r="AU19" s="29">
        <f t="shared" si="24"/>
        <v>7.2384795472917318E-3</v>
      </c>
      <c r="AV19" s="29">
        <f t="shared" si="25"/>
        <v>1.856288975931264E-2</v>
      </c>
      <c r="AW19" s="29">
        <f t="shared" si="26"/>
        <v>1.0347468525425896E-2</v>
      </c>
      <c r="AX19" s="29">
        <f t="shared" si="27"/>
        <v>1.0786621439080157E-2</v>
      </c>
      <c r="AY19" s="29">
        <f t="shared" si="28"/>
        <v>1.5614861097530408E-2</v>
      </c>
      <c r="AZ19" s="29">
        <f t="shared" si="29"/>
        <v>7.7745875234036532E-4</v>
      </c>
      <c r="BA19" s="29">
        <f t="shared" si="30"/>
        <v>1.0840925353919673E-2</v>
      </c>
      <c r="BB19" s="29">
        <f t="shared" si="31"/>
        <v>6.2029727531918155E-3</v>
      </c>
      <c r="BC19" s="29">
        <f t="shared" si="32"/>
        <v>6.2977701439770328E-3</v>
      </c>
      <c r="BD19" s="29">
        <f t="shared" si="33"/>
        <v>1.1948671569804503E-2</v>
      </c>
      <c r="BE19" s="29">
        <f t="shared" si="34"/>
        <v>2.2117805253619061E-2</v>
      </c>
      <c r="BF19" s="29">
        <f t="shared" si="35"/>
        <v>6.1099986415786844E-3</v>
      </c>
      <c r="BG19" s="29">
        <f t="shared" si="36"/>
        <v>8.6101392928306097E-3</v>
      </c>
      <c r="BH19" s="29">
        <f t="shared" si="37"/>
        <v>5.4393080199783839E-3</v>
      </c>
      <c r="BI19" s="29">
        <f t="shared" si="38"/>
        <v>8.4178205562412955E-3</v>
      </c>
      <c r="BJ19" s="29">
        <f t="shared" si="39"/>
        <v>5.5166700487045972E-3</v>
      </c>
      <c r="BK19" s="29">
        <f t="shared" si="40"/>
        <v>3.7768285238550803E-3</v>
      </c>
      <c r="BL19" s="29">
        <f t="shared" si="41"/>
        <v>7.8177902249940701E-3</v>
      </c>
      <c r="BM19" s="29">
        <f t="shared" si="42"/>
        <v>2.1835374203927671E-2</v>
      </c>
      <c r="BN19" s="29">
        <f t="shared" si="43"/>
        <v>3.8434137339260488E-2</v>
      </c>
      <c r="BO19" s="20"/>
      <c r="BP19" s="19"/>
      <c r="BR19" s="19"/>
      <c r="BS19" s="19"/>
      <c r="BT19" s="19"/>
      <c r="BU19" s="19"/>
      <c r="BW19" s="19"/>
      <c r="BX19" s="20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20"/>
      <c r="CO19" s="19"/>
      <c r="CP19" s="20"/>
      <c r="CQ19" s="19"/>
      <c r="CR19" s="19"/>
      <c r="CS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G19" s="20"/>
      <c r="DH19" s="19"/>
      <c r="DI19" s="19"/>
      <c r="DJ19" s="19"/>
      <c r="DK19" s="19"/>
      <c r="DL19" s="19"/>
      <c r="DM19" s="19"/>
      <c r="DN19" s="19"/>
      <c r="DO19" s="20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20"/>
      <c r="EF19" s="20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20"/>
      <c r="GI19" s="19"/>
      <c r="GJ19" s="22"/>
    </row>
    <row r="20" spans="1:192" x14ac:dyDescent="0.25">
      <c r="A20" s="18">
        <v>1888</v>
      </c>
      <c r="B20" s="19">
        <v>5303</v>
      </c>
      <c r="C20" s="19">
        <v>6007</v>
      </c>
      <c r="D20" s="19">
        <v>13682</v>
      </c>
      <c r="E20" s="19">
        <v>4813</v>
      </c>
      <c r="F20" s="19">
        <v>2257</v>
      </c>
      <c r="G20" s="19">
        <v>2296</v>
      </c>
      <c r="H20" s="19">
        <v>39920</v>
      </c>
      <c r="I20" s="19">
        <v>46538</v>
      </c>
      <c r="J20" s="19">
        <v>31243</v>
      </c>
      <c r="K20" s="19">
        <v>39251</v>
      </c>
      <c r="L20" s="19">
        <v>4432</v>
      </c>
      <c r="M20" s="19">
        <v>649</v>
      </c>
      <c r="N20" s="19">
        <v>1977</v>
      </c>
      <c r="O20" s="19">
        <v>4942</v>
      </c>
      <c r="P20" s="19">
        <v>17600</v>
      </c>
      <c r="Q20" s="19">
        <v>3261</v>
      </c>
      <c r="R20" s="19">
        <v>4741</v>
      </c>
      <c r="S20" s="19">
        <v>2929</v>
      </c>
      <c r="T20" s="19">
        <v>36881</v>
      </c>
      <c r="U20" s="19">
        <v>60732</v>
      </c>
      <c r="V20" s="19">
        <v>635</v>
      </c>
      <c r="W20" s="20"/>
      <c r="X20" s="27">
        <f t="shared" si="1"/>
        <v>8.5760279771371302</v>
      </c>
      <c r="Y20" s="27">
        <f t="shared" si="2"/>
        <v>8.7006807348501614</v>
      </c>
      <c r="Z20" s="27">
        <f t="shared" si="3"/>
        <v>9.5238363793209437</v>
      </c>
      <c r="AA20" s="27">
        <f t="shared" si="4"/>
        <v>8.4790758693031094</v>
      </c>
      <c r="AB20" s="27">
        <f t="shared" si="5"/>
        <v>7.7217917768175353</v>
      </c>
      <c r="AC20" s="27">
        <f t="shared" si="6"/>
        <v>7.7389237574394567</v>
      </c>
      <c r="AD20" s="27">
        <f t="shared" si="7"/>
        <v>10.594632730425401</v>
      </c>
      <c r="AE20" s="27">
        <f t="shared" si="8"/>
        <v>10.748024462146892</v>
      </c>
      <c r="AF20" s="27">
        <f t="shared" si="9"/>
        <v>10.3495506300728</v>
      </c>
      <c r="AG20" s="27">
        <f t="shared" si="10"/>
        <v>10.57773220059301</v>
      </c>
      <c r="AH20" s="27">
        <f t="shared" si="11"/>
        <v>8.3966062284271192</v>
      </c>
      <c r="AI20" s="27">
        <f t="shared" si="12"/>
        <v>6.4754327167040904</v>
      </c>
      <c r="AJ20" s="27">
        <f t="shared" si="13"/>
        <v>7.5893358231706172</v>
      </c>
      <c r="AK20" s="27">
        <f t="shared" si="14"/>
        <v>8.5055253865485554</v>
      </c>
      <c r="AL20" s="27">
        <f t="shared" si="15"/>
        <v>9.7756541810262423</v>
      </c>
      <c r="AM20" s="27">
        <f t="shared" si="16"/>
        <v>8.0897891757893188</v>
      </c>
      <c r="AN20" s="27">
        <f t="shared" si="17"/>
        <v>8.464003362902119</v>
      </c>
      <c r="AO20" s="27">
        <f t="shared" si="18"/>
        <v>7.9824163468277334</v>
      </c>
      <c r="AP20" s="27">
        <f t="shared" si="19"/>
        <v>10.515451792270389</v>
      </c>
      <c r="AQ20" s="27">
        <f t="shared" si="20"/>
        <v>11.014226021002079</v>
      </c>
      <c r="AR20" s="27">
        <f t="shared" si="21"/>
        <v>6.4536249988926917</v>
      </c>
      <c r="AS20" s="19"/>
      <c r="AT20" s="29">
        <f t="shared" si="23"/>
        <v>8.7121763176813971E-3</v>
      </c>
      <c r="AU20" s="29">
        <f t="shared" si="24"/>
        <v>7.5194606121442575E-3</v>
      </c>
      <c r="AV20" s="29">
        <f t="shared" si="25"/>
        <v>1.8590089803661058E-2</v>
      </c>
      <c r="AW20" s="29">
        <f t="shared" si="26"/>
        <v>1.1072922077643099E-2</v>
      </c>
      <c r="AX20" s="29">
        <f t="shared" si="27"/>
        <v>8.9008153274052759E-3</v>
      </c>
      <c r="AY20" s="29">
        <f t="shared" si="28"/>
        <v>1.6246240971453219E-2</v>
      </c>
      <c r="AZ20" s="29">
        <f t="shared" si="29"/>
        <v>7.7685477976352502E-4</v>
      </c>
      <c r="BA20" s="29">
        <f t="shared" si="30"/>
        <v>1.1606047781516082E-2</v>
      </c>
      <c r="BB20" s="29">
        <f t="shared" si="31"/>
        <v>6.2287493489652235E-3</v>
      </c>
      <c r="BC20" s="29">
        <f t="shared" si="32"/>
        <v>9.85708916836181E-3</v>
      </c>
      <c r="BD20" s="29">
        <f t="shared" si="33"/>
        <v>1.2258950344310904E-2</v>
      </c>
      <c r="BE20" s="29">
        <f t="shared" si="34"/>
        <v>1.3964540350372978E-2</v>
      </c>
      <c r="BF20" s="29">
        <f t="shared" si="35"/>
        <v>3.5470014385827753E-3</v>
      </c>
      <c r="BG20" s="29">
        <f t="shared" si="36"/>
        <v>8.7390049099802525E-3</v>
      </c>
      <c r="BH20" s="29">
        <f t="shared" si="37"/>
        <v>4.9554397535782613E-3</v>
      </c>
      <c r="BI20" s="29">
        <f t="shared" si="38"/>
        <v>1.2342026458119548E-2</v>
      </c>
      <c r="BJ20" s="29">
        <f t="shared" si="39"/>
        <v>3.1689051552650227E-3</v>
      </c>
      <c r="BK20" s="29">
        <f t="shared" si="40"/>
        <v>3.7626177450027498E-3</v>
      </c>
      <c r="BL20" s="29">
        <f t="shared" si="41"/>
        <v>7.7029191827566734E-3</v>
      </c>
      <c r="BM20" s="29">
        <f t="shared" si="42"/>
        <v>2.1368761164774597E-2</v>
      </c>
      <c r="BN20" s="29">
        <f t="shared" si="43"/>
        <v>4.0166041725334445E-2</v>
      </c>
      <c r="BO20" s="20"/>
      <c r="BP20" s="19"/>
      <c r="BR20" s="19"/>
      <c r="BS20" s="19"/>
      <c r="BT20" s="19"/>
      <c r="BU20" s="19"/>
      <c r="BW20" s="19"/>
      <c r="BX20" s="20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20"/>
      <c r="CO20" s="19"/>
      <c r="CP20" s="20"/>
      <c r="CQ20" s="19"/>
      <c r="CR20" s="19"/>
      <c r="CS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G20" s="20"/>
      <c r="DH20" s="19"/>
      <c r="DI20" s="19"/>
      <c r="DJ20" s="19"/>
      <c r="DK20" s="19"/>
      <c r="DL20" s="19"/>
      <c r="DM20" s="19"/>
      <c r="DN20" s="19"/>
      <c r="DO20" s="20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20"/>
      <c r="EF20" s="20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20"/>
      <c r="GI20" s="19"/>
      <c r="GJ20" s="22"/>
    </row>
    <row r="21" spans="1:192" x14ac:dyDescent="0.25">
      <c r="A21" s="18">
        <v>1889</v>
      </c>
      <c r="B21" s="19">
        <v>5348</v>
      </c>
      <c r="C21" s="19">
        <v>6051</v>
      </c>
      <c r="D21" s="19">
        <v>13938</v>
      </c>
      <c r="E21" s="19">
        <v>4865</v>
      </c>
      <c r="F21" s="19">
        <v>2276</v>
      </c>
      <c r="G21" s="19">
        <v>2331</v>
      </c>
      <c r="H21" s="19">
        <v>40004</v>
      </c>
      <c r="I21" s="19">
        <v>47083</v>
      </c>
      <c r="J21" s="19">
        <v>31468</v>
      </c>
      <c r="K21" s="19">
        <v>39688</v>
      </c>
      <c r="L21" s="19">
        <v>4485</v>
      </c>
      <c r="M21" s="19">
        <v>656</v>
      </c>
      <c r="N21" s="19">
        <v>1984</v>
      </c>
      <c r="O21" s="19">
        <v>4985</v>
      </c>
      <c r="P21" s="19">
        <v>17678</v>
      </c>
      <c r="Q21" s="19">
        <v>3311</v>
      </c>
      <c r="R21" s="19">
        <v>4761</v>
      </c>
      <c r="S21" s="19">
        <v>2940</v>
      </c>
      <c r="T21" s="19">
        <v>37178</v>
      </c>
      <c r="U21" s="19">
        <v>62016</v>
      </c>
      <c r="V21" s="19">
        <v>660</v>
      </c>
      <c r="W21" s="20"/>
      <c r="X21" s="27">
        <f t="shared" si="1"/>
        <v>8.5844779382218341</v>
      </c>
      <c r="Y21" s="27">
        <f t="shared" si="2"/>
        <v>8.7079788266223215</v>
      </c>
      <c r="Z21" s="27">
        <f t="shared" si="3"/>
        <v>9.5423742019984648</v>
      </c>
      <c r="AA21" s="27">
        <f t="shared" si="4"/>
        <v>8.4898219946201046</v>
      </c>
      <c r="AB21" s="27">
        <f t="shared" si="5"/>
        <v>7.7301747952462216</v>
      </c>
      <c r="AC21" s="27">
        <f t="shared" si="6"/>
        <v>7.7540526390357574</v>
      </c>
      <c r="AD21" s="27">
        <f t="shared" si="7"/>
        <v>10.596734728096406</v>
      </c>
      <c r="AE21" s="27">
        <f t="shared" si="8"/>
        <v>10.759667280669499</v>
      </c>
      <c r="AF21" s="27">
        <f t="shared" si="9"/>
        <v>10.356726435449133</v>
      </c>
      <c r="AG21" s="27">
        <f t="shared" si="10"/>
        <v>10.588804153980885</v>
      </c>
      <c r="AH21" s="27">
        <f t="shared" si="11"/>
        <v>8.4084937744928965</v>
      </c>
      <c r="AI21" s="27">
        <f t="shared" si="12"/>
        <v>6.4861607889440887</v>
      </c>
      <c r="AJ21" s="27">
        <f t="shared" si="13"/>
        <v>7.5928702878448178</v>
      </c>
      <c r="AK21" s="27">
        <f t="shared" si="14"/>
        <v>8.5141886823959378</v>
      </c>
      <c r="AL21" s="27">
        <f t="shared" si="15"/>
        <v>9.780076207620894</v>
      </c>
      <c r="AM21" s="27">
        <f t="shared" si="16"/>
        <v>8.1050055375472461</v>
      </c>
      <c r="AN21" s="27">
        <f t="shared" si="17"/>
        <v>8.4682130091945194</v>
      </c>
      <c r="AO21" s="27">
        <f t="shared" si="18"/>
        <v>7.9861648603327273</v>
      </c>
      <c r="AP21" s="27">
        <f t="shared" si="19"/>
        <v>10.523472467467089</v>
      </c>
      <c r="AQ21" s="27">
        <f t="shared" si="20"/>
        <v>11.035147695250439</v>
      </c>
      <c r="AR21" s="27">
        <f t="shared" si="21"/>
        <v>6.4922398350204711</v>
      </c>
      <c r="AS21" s="19"/>
      <c r="AT21" s="29">
        <f t="shared" si="23"/>
        <v>8.4499610847039719E-3</v>
      </c>
      <c r="AU21" s="29">
        <f t="shared" si="24"/>
        <v>7.2980917721601202E-3</v>
      </c>
      <c r="AV21" s="29">
        <f t="shared" si="25"/>
        <v>1.8537822677521021E-2</v>
      </c>
      <c r="AW21" s="29">
        <f t="shared" si="26"/>
        <v>1.0746125316995148E-2</v>
      </c>
      <c r="AX21" s="29">
        <f t="shared" si="27"/>
        <v>8.383018428686384E-3</v>
      </c>
      <c r="AY21" s="29">
        <f t="shared" si="28"/>
        <v>1.5128881596300658E-2</v>
      </c>
      <c r="AZ21" s="29">
        <f t="shared" si="29"/>
        <v>2.1019976710050514E-3</v>
      </c>
      <c r="BA21" s="29">
        <f t="shared" si="30"/>
        <v>1.1642818522606291E-2</v>
      </c>
      <c r="BB21" s="29">
        <f t="shared" si="31"/>
        <v>7.1758053763328888E-3</v>
      </c>
      <c r="BC21" s="29">
        <f t="shared" si="32"/>
        <v>1.10719533878747E-2</v>
      </c>
      <c r="BD21" s="29">
        <f t="shared" si="33"/>
        <v>1.1887546065777244E-2</v>
      </c>
      <c r="BE21" s="29">
        <f t="shared" si="34"/>
        <v>1.0728072239998276E-2</v>
      </c>
      <c r="BF21" s="29">
        <f t="shared" si="35"/>
        <v>3.5344646742005992E-3</v>
      </c>
      <c r="BG21" s="29">
        <f t="shared" si="36"/>
        <v>8.6632958473824573E-3</v>
      </c>
      <c r="BH21" s="29">
        <f t="shared" si="37"/>
        <v>4.4220265946517401E-3</v>
      </c>
      <c r="BI21" s="29">
        <f t="shared" si="38"/>
        <v>1.5216361757927288E-2</v>
      </c>
      <c r="BJ21" s="29">
        <f t="shared" si="39"/>
        <v>4.209646292400393E-3</v>
      </c>
      <c r="BK21" s="29">
        <f t="shared" si="40"/>
        <v>3.7485135049939444E-3</v>
      </c>
      <c r="BL21" s="29">
        <f t="shared" si="41"/>
        <v>8.0206751967004664E-3</v>
      </c>
      <c r="BM21" s="29">
        <f t="shared" si="42"/>
        <v>2.0921674248359778E-2</v>
      </c>
      <c r="BN21" s="29">
        <f t="shared" si="43"/>
        <v>3.8614836127779384E-2</v>
      </c>
      <c r="BO21" s="20"/>
      <c r="BP21" s="19"/>
      <c r="BR21" s="19"/>
      <c r="BS21" s="19"/>
      <c r="BT21" s="19"/>
      <c r="BU21" s="19"/>
      <c r="BW21" s="19"/>
      <c r="BX21" s="20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20"/>
      <c r="CO21" s="19"/>
      <c r="CP21" s="20"/>
      <c r="CQ21" s="19"/>
      <c r="CR21" s="19"/>
      <c r="CS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G21" s="20"/>
      <c r="DH21" s="19"/>
      <c r="DI21" s="19"/>
      <c r="DJ21" s="19"/>
      <c r="DK21" s="19"/>
      <c r="DL21" s="19"/>
      <c r="DM21" s="19"/>
      <c r="DN21" s="19"/>
      <c r="DO21" s="20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20"/>
      <c r="EF21" s="20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20"/>
      <c r="GI21" s="19"/>
      <c r="GJ21" s="22"/>
    </row>
    <row r="22" spans="1:192" x14ac:dyDescent="0.25">
      <c r="A22" s="18">
        <v>1890</v>
      </c>
      <c r="B22" s="19">
        <v>5394</v>
      </c>
      <c r="C22" s="19">
        <v>6096</v>
      </c>
      <c r="D22" s="19">
        <v>14199</v>
      </c>
      <c r="E22" s="19">
        <v>4918</v>
      </c>
      <c r="F22" s="19">
        <v>2294</v>
      </c>
      <c r="G22" s="19">
        <v>2364</v>
      </c>
      <c r="H22" s="19">
        <v>40014</v>
      </c>
      <c r="I22" s="19">
        <v>47607</v>
      </c>
      <c r="J22" s="19">
        <v>31702</v>
      </c>
      <c r="K22" s="19">
        <v>40077</v>
      </c>
      <c r="L22" s="19">
        <v>4535</v>
      </c>
      <c r="M22" s="19">
        <v>665</v>
      </c>
      <c r="N22" s="19">
        <v>1997</v>
      </c>
      <c r="O22" s="19">
        <v>5028</v>
      </c>
      <c r="P22" s="19">
        <v>17757</v>
      </c>
      <c r="Q22" s="19">
        <v>3343</v>
      </c>
      <c r="R22" s="19">
        <v>4780</v>
      </c>
      <c r="S22" s="19">
        <v>2951</v>
      </c>
      <c r="T22" s="19">
        <v>37485</v>
      </c>
      <c r="U22" s="19">
        <v>63302</v>
      </c>
      <c r="V22" s="19">
        <v>686</v>
      </c>
      <c r="W22" s="20"/>
      <c r="X22" s="27">
        <f t="shared" si="1"/>
        <v>8.5930425036996745</v>
      </c>
      <c r="Y22" s="27">
        <f t="shared" si="2"/>
        <v>8.7153880973664819</v>
      </c>
      <c r="Z22" s="27">
        <f t="shared" si="3"/>
        <v>9.560926818574357</v>
      </c>
      <c r="AA22" s="27">
        <f t="shared" si="4"/>
        <v>8.5006572227761374</v>
      </c>
      <c r="AB22" s="27">
        <f t="shared" si="5"/>
        <v>7.7380522976893156</v>
      </c>
      <c r="AC22" s="27">
        <f t="shared" si="6"/>
        <v>7.7681103785259884</v>
      </c>
      <c r="AD22" s="27">
        <f t="shared" si="7"/>
        <v>10.596984671860362</v>
      </c>
      <c r="AE22" s="27">
        <f t="shared" si="8"/>
        <v>10.770735088230952</v>
      </c>
      <c r="AF22" s="27">
        <f t="shared" si="9"/>
        <v>10.364135049357838</v>
      </c>
      <c r="AG22" s="27">
        <f t="shared" si="10"/>
        <v>10.598557882657921</v>
      </c>
      <c r="AH22" s="27">
        <f t="shared" si="11"/>
        <v>8.4195803625492367</v>
      </c>
      <c r="AI22" s="27">
        <f t="shared" si="12"/>
        <v>6.4997870406558542</v>
      </c>
      <c r="AJ22" s="27">
        <f t="shared" si="13"/>
        <v>7.5994013334158153</v>
      </c>
      <c r="AK22" s="27">
        <f t="shared" si="14"/>
        <v>8.5227775697101382</v>
      </c>
      <c r="AL22" s="27">
        <f t="shared" si="15"/>
        <v>9.7845350833588345</v>
      </c>
      <c r="AM22" s="27">
        <f t="shared" si="16"/>
        <v>8.1146238864200981</v>
      </c>
      <c r="AN22" s="27">
        <f t="shared" si="17"/>
        <v>8.4721958254855014</v>
      </c>
      <c r="AO22" s="27">
        <f t="shared" si="18"/>
        <v>7.9898993749429392</v>
      </c>
      <c r="AP22" s="27">
        <f t="shared" si="19"/>
        <v>10.531696131937162</v>
      </c>
      <c r="AQ22" s="27">
        <f t="shared" si="20"/>
        <v>11.055672203209758</v>
      </c>
      <c r="AR22" s="27">
        <f t="shared" si="21"/>
        <v>6.5308776277258849</v>
      </c>
      <c r="AS22" s="19"/>
      <c r="AT22" s="29">
        <f t="shared" si="23"/>
        <v>8.5645654778403468E-3</v>
      </c>
      <c r="AU22" s="29">
        <f t="shared" si="24"/>
        <v>7.4092707441604233E-3</v>
      </c>
      <c r="AV22" s="29">
        <f t="shared" si="25"/>
        <v>1.8552616575892245E-2</v>
      </c>
      <c r="AW22" s="29">
        <f t="shared" si="26"/>
        <v>1.0835228156032883E-2</v>
      </c>
      <c r="AX22" s="29">
        <f t="shared" si="27"/>
        <v>7.8775024430939311E-3</v>
      </c>
      <c r="AY22" s="29">
        <f t="shared" si="28"/>
        <v>1.4057739490231036E-2</v>
      </c>
      <c r="AZ22" s="29">
        <f t="shared" si="29"/>
        <v>2.4994376395603979E-4</v>
      </c>
      <c r="BA22" s="29">
        <f t="shared" si="30"/>
        <v>1.106780756145298E-2</v>
      </c>
      <c r="BB22" s="29">
        <f t="shared" si="31"/>
        <v>7.408613908705064E-3</v>
      </c>
      <c r="BC22" s="29">
        <f t="shared" si="32"/>
        <v>9.7537286770368326E-3</v>
      </c>
      <c r="BD22" s="29">
        <f t="shared" si="33"/>
        <v>1.1086588056340219E-2</v>
      </c>
      <c r="BE22" s="29">
        <f t="shared" si="34"/>
        <v>1.3626251711765569E-2</v>
      </c>
      <c r="BF22" s="29">
        <f t="shared" si="35"/>
        <v>6.5310455709974846E-3</v>
      </c>
      <c r="BG22" s="29">
        <f t="shared" si="36"/>
        <v>8.5888873142003774E-3</v>
      </c>
      <c r="BH22" s="29">
        <f t="shared" si="37"/>
        <v>4.4588757379404598E-3</v>
      </c>
      <c r="BI22" s="29">
        <f t="shared" si="38"/>
        <v>9.6183488728520672E-3</v>
      </c>
      <c r="BJ22" s="29">
        <f t="shared" si="39"/>
        <v>3.9828162909820719E-3</v>
      </c>
      <c r="BK22" s="29">
        <f t="shared" si="40"/>
        <v>3.7345146102119031E-3</v>
      </c>
      <c r="BL22" s="29">
        <f t="shared" si="41"/>
        <v>8.2236644700728334E-3</v>
      </c>
      <c r="BM22" s="29">
        <f t="shared" si="42"/>
        <v>2.0524507959319038E-2</v>
      </c>
      <c r="BN22" s="29">
        <f t="shared" si="43"/>
        <v>3.8637792705413787E-2</v>
      </c>
      <c r="BO22" s="20"/>
      <c r="BP22" s="19"/>
      <c r="BR22" s="19"/>
      <c r="BS22" s="19"/>
      <c r="BT22" s="19"/>
      <c r="BU22" s="19"/>
      <c r="BW22" s="19"/>
      <c r="BX22" s="20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23"/>
      <c r="CO22" s="19"/>
      <c r="CP22" s="20"/>
      <c r="CQ22" s="19"/>
      <c r="CR22" s="19"/>
      <c r="CS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G22" s="20"/>
      <c r="DH22" s="19"/>
      <c r="DI22" s="19"/>
      <c r="DJ22" s="19"/>
      <c r="DK22" s="19"/>
      <c r="DL22" s="19"/>
      <c r="DM22" s="19"/>
      <c r="DN22" s="19"/>
      <c r="DO22" s="20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20"/>
      <c r="EF22" s="20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20"/>
      <c r="GI22" s="19"/>
      <c r="GJ22" s="22"/>
    </row>
    <row r="23" spans="1:192" x14ac:dyDescent="0.25">
      <c r="A23" s="18">
        <v>1891</v>
      </c>
      <c r="B23" s="19">
        <v>5446</v>
      </c>
      <c r="C23" s="19">
        <v>6164</v>
      </c>
      <c r="D23" s="19">
        <v>14539</v>
      </c>
      <c r="E23" s="19">
        <v>4972</v>
      </c>
      <c r="F23" s="19">
        <v>2311</v>
      </c>
      <c r="G23" s="19">
        <v>2394</v>
      </c>
      <c r="H23" s="19">
        <v>39983</v>
      </c>
      <c r="I23" s="19">
        <v>48129</v>
      </c>
      <c r="J23" s="19">
        <v>31892</v>
      </c>
      <c r="K23" s="19">
        <v>40380</v>
      </c>
      <c r="L23" s="19">
        <v>4585</v>
      </c>
      <c r="M23" s="19">
        <v>674</v>
      </c>
      <c r="N23" s="19">
        <v>2013</v>
      </c>
      <c r="O23" s="19">
        <v>5068</v>
      </c>
      <c r="P23" s="19">
        <v>17836</v>
      </c>
      <c r="Q23" s="19">
        <v>3404</v>
      </c>
      <c r="R23" s="19">
        <v>4794</v>
      </c>
      <c r="S23" s="19">
        <v>2965</v>
      </c>
      <c r="T23" s="19">
        <v>37802</v>
      </c>
      <c r="U23" s="19">
        <v>64612</v>
      </c>
      <c r="V23" s="19">
        <v>706</v>
      </c>
      <c r="W23" s="20"/>
      <c r="X23" s="27">
        <f t="shared" si="1"/>
        <v>8.6026366732337056</v>
      </c>
      <c r="Y23" s="27">
        <f t="shared" si="2"/>
        <v>8.7264811964400071</v>
      </c>
      <c r="Z23" s="27">
        <f t="shared" si="3"/>
        <v>9.5845899729314255</v>
      </c>
      <c r="AA23" s="27">
        <f t="shared" si="4"/>
        <v>8.5115774526306023</v>
      </c>
      <c r="AB23" s="27">
        <f t="shared" si="5"/>
        <v>7.7454356102743809</v>
      </c>
      <c r="AC23" s="27">
        <f t="shared" si="6"/>
        <v>7.7807208861179182</v>
      </c>
      <c r="AD23" s="27">
        <f t="shared" si="7"/>
        <v>10.596209642757977</v>
      </c>
      <c r="AE23" s="27">
        <f t="shared" si="8"/>
        <v>10.781640185019185</v>
      </c>
      <c r="AF23" s="27">
        <f t="shared" si="9"/>
        <v>10.370110473622386</v>
      </c>
      <c r="AG23" s="27">
        <f t="shared" si="10"/>
        <v>10.606089891866828</v>
      </c>
      <c r="AH23" s="27">
        <f t="shared" si="11"/>
        <v>8.430545384690566</v>
      </c>
      <c r="AI23" s="27">
        <f t="shared" si="12"/>
        <v>6.513230110912307</v>
      </c>
      <c r="AJ23" s="27">
        <f t="shared" si="13"/>
        <v>7.6073814256397911</v>
      </c>
      <c r="AK23" s="27">
        <f t="shared" si="14"/>
        <v>8.5307015414410294</v>
      </c>
      <c r="AL23" s="27">
        <f t="shared" si="15"/>
        <v>9.7889741657473675</v>
      </c>
      <c r="AM23" s="27">
        <f t="shared" si="16"/>
        <v>8.1327064896932644</v>
      </c>
      <c r="AN23" s="27">
        <f t="shared" si="17"/>
        <v>8.4751204149943291</v>
      </c>
      <c r="AO23" s="27">
        <f t="shared" si="18"/>
        <v>7.9946323114318254</v>
      </c>
      <c r="AP23" s="27">
        <f t="shared" si="19"/>
        <v>10.540117290260902</v>
      </c>
      <c r="AQ23" s="27">
        <f t="shared" si="20"/>
        <v>11.076155431033648</v>
      </c>
      <c r="AR23" s="27">
        <f t="shared" si="21"/>
        <v>6.5596152374932419</v>
      </c>
      <c r="AS23" s="19"/>
      <c r="AT23" s="29">
        <f t="shared" si="23"/>
        <v>9.5941695340311384E-3</v>
      </c>
      <c r="AU23" s="29">
        <f t="shared" si="24"/>
        <v>1.1093099073525181E-2</v>
      </c>
      <c r="AV23" s="29">
        <f t="shared" si="25"/>
        <v>2.366315435706845E-2</v>
      </c>
      <c r="AW23" s="29">
        <f t="shared" si="26"/>
        <v>1.0920229854464836E-2</v>
      </c>
      <c r="AX23" s="29">
        <f t="shared" si="27"/>
        <v>7.3833125850653047E-3</v>
      </c>
      <c r="AY23" s="29">
        <f t="shared" si="28"/>
        <v>1.2610507591929832E-2</v>
      </c>
      <c r="AZ23" s="29">
        <f t="shared" si="29"/>
        <v>-7.750291023853606E-4</v>
      </c>
      <c r="BA23" s="29">
        <f t="shared" si="30"/>
        <v>1.0905096788233593E-2</v>
      </c>
      <c r="BB23" s="29">
        <f t="shared" si="31"/>
        <v>5.9754242645482236E-3</v>
      </c>
      <c r="BC23" s="29">
        <f t="shared" si="32"/>
        <v>7.5320092089068424E-3</v>
      </c>
      <c r="BD23" s="29">
        <f t="shared" si="33"/>
        <v>1.0965022141329328E-2</v>
      </c>
      <c r="BE23" s="29">
        <f t="shared" si="34"/>
        <v>1.3443070256452749E-2</v>
      </c>
      <c r="BF23" s="29">
        <f t="shared" si="35"/>
        <v>7.9800922239758876E-3</v>
      </c>
      <c r="BG23" s="29">
        <f t="shared" si="36"/>
        <v>7.9239717308912105E-3</v>
      </c>
      <c r="BH23" s="29">
        <f t="shared" si="37"/>
        <v>4.4390823885329667E-3</v>
      </c>
      <c r="BI23" s="29">
        <f t="shared" si="38"/>
        <v>1.8082603273166242E-2</v>
      </c>
      <c r="BJ23" s="29">
        <f t="shared" si="39"/>
        <v>2.9245895088276797E-3</v>
      </c>
      <c r="BK23" s="29">
        <f t="shared" si="40"/>
        <v>4.7329364888861747E-3</v>
      </c>
      <c r="BL23" s="29">
        <f t="shared" si="41"/>
        <v>8.42115832374013E-3</v>
      </c>
      <c r="BM23" s="29">
        <f t="shared" si="42"/>
        <v>2.0483227823890005E-2</v>
      </c>
      <c r="BN23" s="29">
        <f t="shared" si="43"/>
        <v>2.8737609767357064E-2</v>
      </c>
      <c r="BO23" s="20"/>
      <c r="BP23" s="19"/>
      <c r="BR23" s="19"/>
      <c r="BS23" s="19"/>
      <c r="BT23" s="19"/>
      <c r="BU23" s="19"/>
      <c r="BW23" s="19"/>
      <c r="BX23" s="20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20"/>
      <c r="CO23" s="19"/>
      <c r="CP23" s="20"/>
      <c r="CQ23" s="19"/>
      <c r="CR23" s="19"/>
      <c r="CS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G23" s="20"/>
      <c r="DH23" s="19"/>
      <c r="DI23" s="19"/>
      <c r="DJ23" s="19"/>
      <c r="DK23" s="19"/>
      <c r="DL23" s="19"/>
      <c r="DM23" s="19"/>
      <c r="DN23" s="19"/>
      <c r="DO23" s="20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20"/>
      <c r="EF23" s="20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20"/>
      <c r="GI23" s="19"/>
      <c r="GJ23" s="22"/>
    </row>
    <row r="24" spans="1:192" x14ac:dyDescent="0.25">
      <c r="A24" s="18">
        <v>1892</v>
      </c>
      <c r="B24" s="19">
        <v>5504</v>
      </c>
      <c r="C24" s="19">
        <v>6231</v>
      </c>
      <c r="D24" s="19">
        <v>14886</v>
      </c>
      <c r="E24" s="19">
        <v>5022</v>
      </c>
      <c r="F24" s="19">
        <v>2327</v>
      </c>
      <c r="G24" s="19">
        <v>2451</v>
      </c>
      <c r="H24" s="19">
        <v>39993</v>
      </c>
      <c r="I24" s="19">
        <v>48633</v>
      </c>
      <c r="J24" s="19">
        <v>32091</v>
      </c>
      <c r="K24" s="19">
        <v>40684</v>
      </c>
      <c r="L24" s="19">
        <v>4632</v>
      </c>
      <c r="M24" s="19">
        <v>686</v>
      </c>
      <c r="N24" s="19">
        <v>2026</v>
      </c>
      <c r="O24" s="19">
        <v>5104</v>
      </c>
      <c r="P24" s="19">
        <v>17916</v>
      </c>
      <c r="Q24" s="19">
        <v>3470</v>
      </c>
      <c r="R24" s="19">
        <v>4805</v>
      </c>
      <c r="S24" s="19">
        <v>3002</v>
      </c>
      <c r="T24" s="19">
        <v>38134</v>
      </c>
      <c r="U24" s="19">
        <v>65922</v>
      </c>
      <c r="V24" s="19">
        <v>727</v>
      </c>
      <c r="W24" s="20"/>
      <c r="X24" s="27">
        <f t="shared" si="1"/>
        <v>8.6132303796131797</v>
      </c>
      <c r="Y24" s="27">
        <f t="shared" si="2"/>
        <v>8.7372921125442211</v>
      </c>
      <c r="Z24" s="27">
        <f t="shared" si="3"/>
        <v>9.6081764529198566</v>
      </c>
      <c r="AA24" s="27">
        <f t="shared" si="4"/>
        <v>8.5215835397175308</v>
      </c>
      <c r="AB24" s="27">
        <f t="shared" si="5"/>
        <v>7.7523351633022921</v>
      </c>
      <c r="AC24" s="27">
        <f t="shared" si="6"/>
        <v>7.8042513835281122</v>
      </c>
      <c r="AD24" s="27">
        <f t="shared" si="7"/>
        <v>10.596459717781787</v>
      </c>
      <c r="AE24" s="27">
        <f t="shared" si="8"/>
        <v>10.792057591809684</v>
      </c>
      <c r="AF24" s="27">
        <f t="shared" si="9"/>
        <v>10.37633089597424</v>
      </c>
      <c r="AG24" s="27">
        <f t="shared" si="10"/>
        <v>10.613590173745488</v>
      </c>
      <c r="AH24" s="27">
        <f t="shared" si="11"/>
        <v>8.4407440192528309</v>
      </c>
      <c r="AI24" s="27">
        <f t="shared" si="12"/>
        <v>6.5308776277258849</v>
      </c>
      <c r="AJ24" s="27">
        <f t="shared" si="13"/>
        <v>7.6138186848086287</v>
      </c>
      <c r="AK24" s="27">
        <f t="shared" si="14"/>
        <v>8.5377798250246251</v>
      </c>
      <c r="AL24" s="27">
        <f t="shared" si="15"/>
        <v>9.7934494473271911</v>
      </c>
      <c r="AM24" s="27">
        <f t="shared" si="16"/>
        <v>8.1519098729409052</v>
      </c>
      <c r="AN24" s="27">
        <f t="shared" si="17"/>
        <v>8.4774123214043922</v>
      </c>
      <c r="AO24" s="27">
        <f t="shared" si="18"/>
        <v>8.007034012193408</v>
      </c>
      <c r="AP24" s="27">
        <f t="shared" si="19"/>
        <v>10.548861551624389</v>
      </c>
      <c r="AQ24" s="27">
        <f t="shared" si="20"/>
        <v>11.096227503928937</v>
      </c>
      <c r="AR24" s="27">
        <f t="shared" si="21"/>
        <v>6.5889264775335192</v>
      </c>
      <c r="AS24" s="19"/>
      <c r="AT24" s="29">
        <f t="shared" si="23"/>
        <v>1.0593706379474099E-2</v>
      </c>
      <c r="AU24" s="29">
        <f t="shared" si="24"/>
        <v>1.081091610421403E-2</v>
      </c>
      <c r="AV24" s="29">
        <f t="shared" si="25"/>
        <v>2.3586479988431108E-2</v>
      </c>
      <c r="AW24" s="29">
        <f t="shared" si="26"/>
        <v>1.0006087086928517E-2</v>
      </c>
      <c r="AX24" s="29">
        <f t="shared" si="27"/>
        <v>6.8995530279112316E-3</v>
      </c>
      <c r="AY24" s="29">
        <f t="shared" si="28"/>
        <v>2.3530497410193973E-2</v>
      </c>
      <c r="AZ24" s="29">
        <f t="shared" si="29"/>
        <v>2.5007502381058089E-4</v>
      </c>
      <c r="BA24" s="29">
        <f t="shared" si="30"/>
        <v>1.0417406790498518E-2</v>
      </c>
      <c r="BB24" s="29">
        <f t="shared" si="31"/>
        <v>6.2204223518538271E-3</v>
      </c>
      <c r="BC24" s="29">
        <f t="shared" si="32"/>
        <v>7.500281878659365E-3</v>
      </c>
      <c r="BD24" s="29">
        <f t="shared" si="33"/>
        <v>1.0198634562264886E-2</v>
      </c>
      <c r="BE24" s="29">
        <f t="shared" si="34"/>
        <v>1.7647516813577901E-2</v>
      </c>
      <c r="BF24" s="29">
        <f t="shared" si="35"/>
        <v>6.437259168837528E-3</v>
      </c>
      <c r="BG24" s="29">
        <f t="shared" si="36"/>
        <v>7.0782835835956348E-3</v>
      </c>
      <c r="BH24" s="29">
        <f t="shared" si="37"/>
        <v>4.4752815798236867E-3</v>
      </c>
      <c r="BI24" s="29">
        <f t="shared" si="38"/>
        <v>1.9203383247640815E-2</v>
      </c>
      <c r="BJ24" s="29">
        <f t="shared" si="39"/>
        <v>2.2919064100630493E-3</v>
      </c>
      <c r="BK24" s="29">
        <f t="shared" si="40"/>
        <v>1.2401700761582646E-2</v>
      </c>
      <c r="BL24" s="29">
        <f t="shared" si="41"/>
        <v>8.7442613634873823E-3</v>
      </c>
      <c r="BM24" s="29">
        <f t="shared" si="42"/>
        <v>2.0072072895288784E-2</v>
      </c>
      <c r="BN24" s="29">
        <f t="shared" si="43"/>
        <v>2.9311240040277298E-2</v>
      </c>
      <c r="BO24" s="20"/>
      <c r="BP24" s="19"/>
      <c r="BR24" s="19"/>
      <c r="BS24" s="19"/>
      <c r="BT24" s="19"/>
      <c r="BU24" s="19"/>
      <c r="BW24" s="19"/>
      <c r="BX24" s="20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20"/>
      <c r="CO24" s="19"/>
      <c r="CP24" s="20"/>
      <c r="CQ24" s="19"/>
      <c r="CR24" s="19"/>
      <c r="CS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G24" s="20"/>
      <c r="DH24" s="19"/>
      <c r="DI24" s="19"/>
      <c r="DJ24" s="19"/>
      <c r="DK24" s="19"/>
      <c r="DL24" s="19"/>
      <c r="DM24" s="19"/>
      <c r="DN24" s="19"/>
      <c r="DO24" s="20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20"/>
      <c r="EF24" s="20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20"/>
      <c r="GI24" s="19"/>
      <c r="GJ24" s="22"/>
    </row>
    <row r="25" spans="1:192" x14ac:dyDescent="0.25">
      <c r="A25" s="18">
        <v>1893</v>
      </c>
      <c r="B25" s="19">
        <v>5563</v>
      </c>
      <c r="C25" s="19">
        <v>6300</v>
      </c>
      <c r="D25" s="19">
        <v>15242</v>
      </c>
      <c r="E25" s="19">
        <v>5072</v>
      </c>
      <c r="F25" s="19">
        <v>2344</v>
      </c>
      <c r="G25" s="19">
        <v>2430</v>
      </c>
      <c r="H25" s="19">
        <v>40014</v>
      </c>
      <c r="I25" s="19">
        <v>49123</v>
      </c>
      <c r="J25" s="19">
        <v>32303</v>
      </c>
      <c r="K25" s="19">
        <v>41001</v>
      </c>
      <c r="L25" s="19">
        <v>4684</v>
      </c>
      <c r="M25" s="19">
        <v>705</v>
      </c>
      <c r="N25" s="19">
        <v>2038</v>
      </c>
      <c r="O25" s="19">
        <v>5141</v>
      </c>
      <c r="P25" s="19">
        <v>17996</v>
      </c>
      <c r="Q25" s="19">
        <v>3524</v>
      </c>
      <c r="R25" s="19">
        <v>4816</v>
      </c>
      <c r="S25" s="19">
        <v>3040</v>
      </c>
      <c r="T25" s="19">
        <v>38490</v>
      </c>
      <c r="U25" s="19">
        <v>67231</v>
      </c>
      <c r="V25" s="19">
        <v>748</v>
      </c>
      <c r="W25" s="20"/>
      <c r="X25" s="27">
        <f t="shared" si="1"/>
        <v>8.6238928100752936</v>
      </c>
      <c r="Y25" s="27">
        <f t="shared" si="2"/>
        <v>8.7483049123796235</v>
      </c>
      <c r="Z25" s="27">
        <f t="shared" si="3"/>
        <v>9.6318100542260634</v>
      </c>
      <c r="AA25" s="27">
        <f t="shared" si="4"/>
        <v>8.5314904961170619</v>
      </c>
      <c r="AB25" s="27">
        <f t="shared" si="5"/>
        <v>7.759614150696903</v>
      </c>
      <c r="AC25" s="27">
        <f t="shared" si="6"/>
        <v>7.7956465363345941</v>
      </c>
      <c r="AD25" s="27">
        <f t="shared" si="7"/>
        <v>10.596984671860362</v>
      </c>
      <c r="AE25" s="27">
        <f t="shared" si="8"/>
        <v>10.802082635874594</v>
      </c>
      <c r="AF25" s="27">
        <f t="shared" si="9"/>
        <v>10.382915384154703</v>
      </c>
      <c r="AG25" s="27">
        <f t="shared" si="10"/>
        <v>10.62135173563291</v>
      </c>
      <c r="AH25" s="27">
        <f t="shared" si="11"/>
        <v>8.4519077247176071</v>
      </c>
      <c r="AI25" s="27">
        <f t="shared" si="12"/>
        <v>6.5581978028122689</v>
      </c>
      <c r="AJ25" s="27">
        <f t="shared" si="13"/>
        <v>7.6197242137826704</v>
      </c>
      <c r="AK25" s="27">
        <f t="shared" si="14"/>
        <v>8.5450028920555052</v>
      </c>
      <c r="AL25" s="27">
        <f t="shared" si="15"/>
        <v>9.7979047899610627</v>
      </c>
      <c r="AM25" s="27">
        <f t="shared" si="16"/>
        <v>8.1673519870560707</v>
      </c>
      <c r="AN25" s="27">
        <f t="shared" si="17"/>
        <v>8.479698986988657</v>
      </c>
      <c r="AO25" s="27">
        <f t="shared" si="18"/>
        <v>8.0196127944002669</v>
      </c>
      <c r="AP25" s="27">
        <f t="shared" si="19"/>
        <v>10.558153746277792</v>
      </c>
      <c r="AQ25" s="27">
        <f t="shared" si="20"/>
        <v>11.115889729664524</v>
      </c>
      <c r="AR25" s="27">
        <f t="shared" si="21"/>
        <v>6.6174029779744776</v>
      </c>
      <c r="AS25" s="19"/>
      <c r="AT25" s="29">
        <f t="shared" si="23"/>
        <v>1.0662430462113903E-2</v>
      </c>
      <c r="AU25" s="29">
        <f t="shared" si="24"/>
        <v>1.1012799835402376E-2</v>
      </c>
      <c r="AV25" s="29">
        <f t="shared" si="25"/>
        <v>2.3633601306206842E-2</v>
      </c>
      <c r="AW25" s="29">
        <f t="shared" si="26"/>
        <v>9.9069563995310972E-3</v>
      </c>
      <c r="AX25" s="29">
        <f t="shared" si="27"/>
        <v>7.2789873946108585E-3</v>
      </c>
      <c r="AY25" s="29">
        <f t="shared" si="28"/>
        <v>-8.6048471935180615E-3</v>
      </c>
      <c r="AZ25" s="29">
        <f t="shared" si="29"/>
        <v>5.2495407857477971E-4</v>
      </c>
      <c r="BA25" s="29">
        <f t="shared" si="30"/>
        <v>1.002504406491056E-2</v>
      </c>
      <c r="BB25" s="29">
        <f t="shared" si="31"/>
        <v>6.5844881804633104E-3</v>
      </c>
      <c r="BC25" s="29">
        <f t="shared" si="32"/>
        <v>7.7615618874222747E-3</v>
      </c>
      <c r="BD25" s="29">
        <f t="shared" si="33"/>
        <v>1.1163705464776186E-2</v>
      </c>
      <c r="BE25" s="29">
        <f t="shared" si="34"/>
        <v>2.7320175086384069E-2</v>
      </c>
      <c r="BF25" s="29">
        <f t="shared" si="35"/>
        <v>5.9055289740417294E-3</v>
      </c>
      <c r="BG25" s="29">
        <f t="shared" si="36"/>
        <v>7.2230670308801592E-3</v>
      </c>
      <c r="BH25" s="29">
        <f t="shared" si="37"/>
        <v>4.4553426338715951E-3</v>
      </c>
      <c r="BI25" s="29">
        <f t="shared" si="38"/>
        <v>1.5442114115165495E-2</v>
      </c>
      <c r="BJ25" s="29">
        <f t="shared" si="39"/>
        <v>2.2866655842648242E-3</v>
      </c>
      <c r="BK25" s="29">
        <f t="shared" si="40"/>
        <v>1.2578782206858818E-2</v>
      </c>
      <c r="BL25" s="29">
        <f t="shared" si="41"/>
        <v>9.2921946534030297E-3</v>
      </c>
      <c r="BM25" s="29">
        <f t="shared" si="42"/>
        <v>1.9662225735586958E-2</v>
      </c>
      <c r="BN25" s="29">
        <f t="shared" si="43"/>
        <v>2.8476500440958397E-2</v>
      </c>
      <c r="BO25" s="20"/>
      <c r="BP25" s="19"/>
      <c r="BR25" s="19"/>
      <c r="BS25" s="19"/>
      <c r="BT25" s="19"/>
      <c r="BU25" s="19"/>
      <c r="BW25" s="19"/>
      <c r="BX25" s="20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20"/>
      <c r="CO25" s="19"/>
      <c r="CP25" s="20"/>
      <c r="CQ25" s="19"/>
      <c r="CR25" s="19"/>
      <c r="CS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G25" s="20"/>
      <c r="DH25" s="19"/>
      <c r="DI25" s="19"/>
      <c r="DJ25" s="19"/>
      <c r="DK25" s="19"/>
      <c r="DL25" s="19"/>
      <c r="DM25" s="19"/>
      <c r="DN25" s="19"/>
      <c r="DO25" s="20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20"/>
      <c r="EF25" s="20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20"/>
      <c r="GI25" s="19"/>
      <c r="GJ25" s="22"/>
    </row>
    <row r="26" spans="1:192" x14ac:dyDescent="0.25">
      <c r="A26" s="18">
        <v>1894</v>
      </c>
      <c r="B26" s="19">
        <v>5622</v>
      </c>
      <c r="C26" s="19">
        <v>6370</v>
      </c>
      <c r="D26" s="19">
        <v>15607</v>
      </c>
      <c r="E26" s="19">
        <v>5121</v>
      </c>
      <c r="F26" s="19">
        <v>2367</v>
      </c>
      <c r="G26" s="19">
        <v>2511</v>
      </c>
      <c r="H26" s="19">
        <v>40056</v>
      </c>
      <c r="I26" s="19">
        <v>49703</v>
      </c>
      <c r="J26" s="19">
        <v>32513</v>
      </c>
      <c r="K26" s="19">
        <v>41350</v>
      </c>
      <c r="L26" s="19">
        <v>4743</v>
      </c>
      <c r="M26" s="19">
        <v>722</v>
      </c>
      <c r="N26" s="19">
        <v>2057</v>
      </c>
      <c r="O26" s="19">
        <v>5178</v>
      </c>
      <c r="P26" s="19">
        <v>18076</v>
      </c>
      <c r="Q26" s="19">
        <v>3584</v>
      </c>
      <c r="R26" s="19">
        <v>4849</v>
      </c>
      <c r="S26" s="19">
        <v>3077</v>
      </c>
      <c r="T26" s="19">
        <v>38859</v>
      </c>
      <c r="U26" s="19">
        <v>68541</v>
      </c>
      <c r="V26" s="19">
        <v>770</v>
      </c>
      <c r="W26" s="20"/>
      <c r="X26" s="27">
        <f t="shared" si="1"/>
        <v>8.6344427514664766</v>
      </c>
      <c r="Y26" s="27">
        <f t="shared" si="2"/>
        <v>8.7593547485662082</v>
      </c>
      <c r="Z26" s="27">
        <f t="shared" si="3"/>
        <v>9.6554748105425539</v>
      </c>
      <c r="AA26" s="27">
        <f t="shared" si="4"/>
        <v>8.54110501146255</v>
      </c>
      <c r="AB26" s="27">
        <f t="shared" si="5"/>
        <v>7.7693786095139838</v>
      </c>
      <c r="AC26" s="27">
        <f t="shared" si="6"/>
        <v>7.8284363591575854</v>
      </c>
      <c r="AD26" s="27">
        <f t="shared" si="7"/>
        <v>10.59803375400978</v>
      </c>
      <c r="AE26" s="27">
        <f t="shared" si="8"/>
        <v>10.813820572436036</v>
      </c>
      <c r="AF26" s="27">
        <f t="shared" si="9"/>
        <v>10.389395288339156</v>
      </c>
      <c r="AG26" s="27">
        <f t="shared" si="10"/>
        <v>10.629827700451838</v>
      </c>
      <c r="AH26" s="27">
        <f t="shared" si="11"/>
        <v>8.4644251258775824</v>
      </c>
      <c r="AI26" s="27">
        <f t="shared" si="12"/>
        <v>6.5820251388928259</v>
      </c>
      <c r="AJ26" s="27">
        <f t="shared" si="13"/>
        <v>7.6290038896529575</v>
      </c>
      <c r="AK26" s="27">
        <f t="shared" si="14"/>
        <v>8.5521741603114823</v>
      </c>
      <c r="AL26" s="27">
        <f t="shared" si="15"/>
        <v>9.8023403705311711</v>
      </c>
      <c r="AM26" s="27">
        <f t="shared" si="16"/>
        <v>8.1842347740948203</v>
      </c>
      <c r="AN26" s="27">
        <f t="shared" si="17"/>
        <v>8.4865277771053531</v>
      </c>
      <c r="AO26" s="27">
        <f t="shared" si="18"/>
        <v>8.0317103753220422</v>
      </c>
      <c r="AP26" s="27">
        <f t="shared" si="19"/>
        <v>10.567694989198365</v>
      </c>
      <c r="AQ26" s="27">
        <f t="shared" si="20"/>
        <v>11.135187385342592</v>
      </c>
      <c r="AR26" s="27">
        <f t="shared" si="21"/>
        <v>6.6463905148477291</v>
      </c>
      <c r="AS26" s="19"/>
      <c r="AT26" s="29">
        <f t="shared" si="23"/>
        <v>1.0549941391182927E-2</v>
      </c>
      <c r="AU26" s="29">
        <f t="shared" si="24"/>
        <v>1.1049836186584727E-2</v>
      </c>
      <c r="AV26" s="29">
        <f t="shared" si="25"/>
        <v>2.3664756316490454E-2</v>
      </c>
      <c r="AW26" s="29">
        <f t="shared" si="26"/>
        <v>9.6145153454880727E-3</v>
      </c>
      <c r="AX26" s="29">
        <f t="shared" si="27"/>
        <v>9.7644588170808788E-3</v>
      </c>
      <c r="AY26" s="29">
        <f t="shared" si="28"/>
        <v>3.2789822822991255E-2</v>
      </c>
      <c r="AZ26" s="29">
        <f t="shared" si="29"/>
        <v>1.0490821494180125E-3</v>
      </c>
      <c r="BA26" s="29">
        <f t="shared" si="30"/>
        <v>1.1737936561441842E-2</v>
      </c>
      <c r="BB26" s="29">
        <f t="shared" si="31"/>
        <v>6.4799041844523231E-3</v>
      </c>
      <c r="BC26" s="29">
        <f t="shared" si="32"/>
        <v>8.4759648189276504E-3</v>
      </c>
      <c r="BD26" s="29">
        <f t="shared" si="33"/>
        <v>1.251740115997535E-2</v>
      </c>
      <c r="BE26" s="29">
        <f t="shared" si="34"/>
        <v>2.3827336080556982E-2</v>
      </c>
      <c r="BF26" s="29">
        <f t="shared" si="35"/>
        <v>9.2796758702871074E-3</v>
      </c>
      <c r="BG26" s="29">
        <f t="shared" si="36"/>
        <v>7.1712682559770258E-3</v>
      </c>
      <c r="BH26" s="29">
        <f t="shared" si="37"/>
        <v>4.4355805701083995E-3</v>
      </c>
      <c r="BI26" s="29">
        <f t="shared" si="38"/>
        <v>1.6882787038749569E-2</v>
      </c>
      <c r="BJ26" s="29">
        <f t="shared" si="39"/>
        <v>6.8287901166961262E-3</v>
      </c>
      <c r="BK26" s="29">
        <f t="shared" si="40"/>
        <v>1.2097580921775375E-2</v>
      </c>
      <c r="BL26" s="29">
        <f t="shared" si="41"/>
        <v>9.541242920573012E-3</v>
      </c>
      <c r="BM26" s="29">
        <f t="shared" si="42"/>
        <v>1.9297655678068182E-2</v>
      </c>
      <c r="BN26" s="29">
        <f t="shared" si="43"/>
        <v>2.8987536873251507E-2</v>
      </c>
      <c r="BO26" s="20"/>
      <c r="BP26" s="19"/>
      <c r="BR26" s="19"/>
      <c r="BS26" s="19"/>
      <c r="BT26" s="19"/>
      <c r="BU26" s="19"/>
      <c r="BW26" s="19"/>
      <c r="BX26" s="20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20"/>
      <c r="CO26" s="19"/>
      <c r="CP26" s="20"/>
      <c r="CQ26" s="19"/>
      <c r="CR26" s="19"/>
      <c r="CS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G26" s="20"/>
      <c r="DH26" s="19"/>
      <c r="DI26" s="19"/>
      <c r="DJ26" s="19"/>
      <c r="DK26" s="19"/>
      <c r="DL26" s="19"/>
      <c r="DM26" s="19"/>
      <c r="DN26" s="19"/>
      <c r="DO26" s="20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20"/>
      <c r="EF26" s="20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20"/>
      <c r="GI26" s="19"/>
      <c r="GJ26" s="22"/>
    </row>
    <row r="27" spans="1:192" x14ac:dyDescent="0.25">
      <c r="A27" s="18">
        <v>1895</v>
      </c>
      <c r="B27" s="19">
        <v>5680</v>
      </c>
      <c r="C27" s="19">
        <v>6439</v>
      </c>
      <c r="D27" s="19">
        <v>15980</v>
      </c>
      <c r="E27" s="19">
        <v>5169</v>
      </c>
      <c r="F27" s="19">
        <v>2397</v>
      </c>
      <c r="G27" s="19">
        <v>2483</v>
      </c>
      <c r="H27" s="19">
        <v>40098</v>
      </c>
      <c r="I27" s="19">
        <v>50363</v>
      </c>
      <c r="J27" s="19">
        <v>32689</v>
      </c>
      <c r="K27" s="19">
        <v>41775</v>
      </c>
      <c r="L27" s="19">
        <v>4803</v>
      </c>
      <c r="M27" s="19">
        <v>735</v>
      </c>
      <c r="N27" s="19">
        <v>2083</v>
      </c>
      <c r="O27" s="19">
        <v>5215</v>
      </c>
      <c r="P27" s="19">
        <v>18157</v>
      </c>
      <c r="Q27" s="19">
        <v>3626</v>
      </c>
      <c r="R27" s="19">
        <v>4896</v>
      </c>
      <c r="S27" s="19">
        <v>3114</v>
      </c>
      <c r="T27" s="19">
        <v>39221</v>
      </c>
      <c r="U27" s="19">
        <v>69851</v>
      </c>
      <c r="V27" s="19">
        <v>792</v>
      </c>
      <c r="W27" s="20"/>
      <c r="X27" s="27">
        <f t="shared" si="1"/>
        <v>8.6447065117151975</v>
      </c>
      <c r="Y27" s="27">
        <f t="shared" si="2"/>
        <v>8.7701285275381835</v>
      </c>
      <c r="Z27" s="27">
        <f t="shared" si="3"/>
        <v>9.679093219320265</v>
      </c>
      <c r="AA27" s="27">
        <f t="shared" si="4"/>
        <v>8.5504345251960387</v>
      </c>
      <c r="AB27" s="27">
        <f t="shared" si="5"/>
        <v>7.7819732344343846</v>
      </c>
      <c r="AC27" s="27">
        <f t="shared" si="6"/>
        <v>7.8172227855081662</v>
      </c>
      <c r="AD27" s="27">
        <f t="shared" si="7"/>
        <v>10.599081736739125</v>
      </c>
      <c r="AE27" s="27">
        <f t="shared" si="8"/>
        <v>10.827012057472162</v>
      </c>
      <c r="AF27" s="27">
        <f t="shared" si="9"/>
        <v>10.394793908855744</v>
      </c>
      <c r="AG27" s="27">
        <f t="shared" si="10"/>
        <v>10.640053353463594</v>
      </c>
      <c r="AH27" s="27">
        <f t="shared" si="11"/>
        <v>8.4769960016648245</v>
      </c>
      <c r="AI27" s="27">
        <f t="shared" si="12"/>
        <v>6.5998704992128365</v>
      </c>
      <c r="AJ27" s="27">
        <f t="shared" si="13"/>
        <v>7.6415644412609716</v>
      </c>
      <c r="AK27" s="27">
        <f t="shared" si="14"/>
        <v>8.5592943674348732</v>
      </c>
      <c r="AL27" s="27">
        <f t="shared" si="15"/>
        <v>9.8068114402706676</v>
      </c>
      <c r="AM27" s="27">
        <f t="shared" si="16"/>
        <v>8.1958853913147962</v>
      </c>
      <c r="AN27" s="27">
        <f t="shared" si="17"/>
        <v>8.4961738241921623</v>
      </c>
      <c r="AO27" s="27">
        <f t="shared" si="18"/>
        <v>8.0436633523939438</v>
      </c>
      <c r="AP27" s="27">
        <f t="shared" si="19"/>
        <v>10.576967596620598</v>
      </c>
      <c r="AQ27" s="27">
        <f t="shared" si="20"/>
        <v>11.154119680974899</v>
      </c>
      <c r="AR27" s="27">
        <f t="shared" si="21"/>
        <v>6.674561391814426</v>
      </c>
      <c r="AS27" s="19"/>
      <c r="AT27" s="29">
        <f t="shared" si="23"/>
        <v>1.0263760248720999E-2</v>
      </c>
      <c r="AU27" s="29">
        <f t="shared" si="24"/>
        <v>1.077377897197529E-2</v>
      </c>
      <c r="AV27" s="29">
        <f t="shared" si="25"/>
        <v>2.3618408777711153E-2</v>
      </c>
      <c r="AW27" s="29">
        <f t="shared" si="26"/>
        <v>9.3295137334887812E-3</v>
      </c>
      <c r="AX27" s="29">
        <f t="shared" si="27"/>
        <v>1.2594624920400754E-2</v>
      </c>
      <c r="AY27" s="29">
        <f t="shared" si="28"/>
        <v>-1.1213573649419217E-2</v>
      </c>
      <c r="AZ27" s="29">
        <f t="shared" si="29"/>
        <v>1.0479827293448096E-3</v>
      </c>
      <c r="BA27" s="29">
        <f t="shared" si="30"/>
        <v>1.3191485036125883E-2</v>
      </c>
      <c r="BB27" s="29">
        <f t="shared" si="31"/>
        <v>5.3986205165887924E-3</v>
      </c>
      <c r="BC27" s="29">
        <f t="shared" si="32"/>
        <v>1.0225653011756819E-2</v>
      </c>
      <c r="BD27" s="29">
        <f t="shared" si="33"/>
        <v>1.2570875787242031E-2</v>
      </c>
      <c r="BE27" s="29">
        <f t="shared" si="34"/>
        <v>1.7845360320010606E-2</v>
      </c>
      <c r="BF27" s="29">
        <f t="shared" si="35"/>
        <v>1.2560551608014059E-2</v>
      </c>
      <c r="BG27" s="29">
        <f t="shared" si="36"/>
        <v>7.1202071233908981E-3</v>
      </c>
      <c r="BH27" s="29">
        <f t="shared" si="37"/>
        <v>4.4710697394965138E-3</v>
      </c>
      <c r="BI27" s="29">
        <f t="shared" si="38"/>
        <v>1.1650617219975956E-2</v>
      </c>
      <c r="BJ27" s="29">
        <f t="shared" si="39"/>
        <v>9.6460470868091619E-3</v>
      </c>
      <c r="BK27" s="29">
        <f t="shared" si="40"/>
        <v>1.1952977071901572E-2</v>
      </c>
      <c r="BL27" s="29">
        <f t="shared" si="41"/>
        <v>9.2726074222326815E-3</v>
      </c>
      <c r="BM27" s="29">
        <f t="shared" si="42"/>
        <v>1.8932295632307472E-2</v>
      </c>
      <c r="BN27" s="29">
        <f t="shared" si="43"/>
        <v>2.8170876966696845E-2</v>
      </c>
      <c r="BO27" s="20"/>
      <c r="BP27" s="19"/>
      <c r="BR27" s="19"/>
      <c r="BS27" s="19"/>
      <c r="BT27" s="19"/>
      <c r="BU27" s="19"/>
      <c r="BW27" s="19"/>
      <c r="BX27" s="20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20"/>
      <c r="CO27" s="19"/>
      <c r="CP27" s="20"/>
      <c r="CQ27" s="19"/>
      <c r="CR27" s="19"/>
      <c r="CS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G27" s="20"/>
      <c r="DH27" s="19"/>
      <c r="DI27" s="19"/>
      <c r="DJ27" s="19"/>
      <c r="DK27" s="19"/>
      <c r="DL27" s="19"/>
      <c r="DM27" s="19"/>
      <c r="DN27" s="19"/>
      <c r="DO27" s="20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20"/>
      <c r="EF27" s="20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20"/>
      <c r="GI27" s="19"/>
      <c r="GJ27" s="22"/>
    </row>
    <row r="28" spans="1:192" x14ac:dyDescent="0.25">
      <c r="A28" s="18">
        <v>1896</v>
      </c>
      <c r="B28" s="19">
        <v>5739</v>
      </c>
      <c r="C28" s="19">
        <v>6494</v>
      </c>
      <c r="D28" s="19">
        <v>16362</v>
      </c>
      <c r="E28" s="19">
        <v>5218</v>
      </c>
      <c r="F28" s="19">
        <v>2428</v>
      </c>
      <c r="G28" s="19">
        <v>2515</v>
      </c>
      <c r="H28" s="19">
        <v>40192</v>
      </c>
      <c r="I28" s="19">
        <v>51111</v>
      </c>
      <c r="J28" s="19">
        <v>32863</v>
      </c>
      <c r="K28" s="19">
        <v>42196</v>
      </c>
      <c r="L28" s="19">
        <v>4866</v>
      </c>
      <c r="M28" s="19">
        <v>748</v>
      </c>
      <c r="N28" s="19">
        <v>2112</v>
      </c>
      <c r="O28" s="19">
        <v>5252</v>
      </c>
      <c r="P28" s="19">
        <v>18238</v>
      </c>
      <c r="Q28" s="19">
        <v>3693</v>
      </c>
      <c r="R28" s="19">
        <v>4941</v>
      </c>
      <c r="S28" s="19">
        <v>3151</v>
      </c>
      <c r="T28" s="19">
        <v>39599</v>
      </c>
      <c r="U28" s="19">
        <v>71161</v>
      </c>
      <c r="V28" s="19">
        <v>815</v>
      </c>
      <c r="W28" s="20"/>
      <c r="X28" s="27">
        <f t="shared" si="1"/>
        <v>8.6550402581083627</v>
      </c>
      <c r="Y28" s="27">
        <f t="shared" si="2"/>
        <v>8.7786339526627906</v>
      </c>
      <c r="Z28" s="27">
        <f t="shared" si="3"/>
        <v>9.7027168520736442</v>
      </c>
      <c r="AA28" s="27">
        <f t="shared" si="4"/>
        <v>8.5598694656966732</v>
      </c>
      <c r="AB28" s="27">
        <f t="shared" si="5"/>
        <v>7.7948231521793891</v>
      </c>
      <c r="AC28" s="27">
        <f t="shared" si="6"/>
        <v>7.8300280825338398</v>
      </c>
      <c r="AD28" s="27">
        <f t="shared" si="7"/>
        <v>10.601423249827871</v>
      </c>
      <c r="AE28" s="27">
        <f t="shared" si="8"/>
        <v>10.841755017213652</v>
      </c>
      <c r="AF28" s="27">
        <f t="shared" si="9"/>
        <v>10.400102683833003</v>
      </c>
      <c r="AG28" s="27">
        <f t="shared" si="10"/>
        <v>10.650080708801699</v>
      </c>
      <c r="AH28" s="27">
        <f t="shared" si="11"/>
        <v>8.4900275233434677</v>
      </c>
      <c r="AI28" s="27">
        <f t="shared" si="12"/>
        <v>6.6174029779744776</v>
      </c>
      <c r="AJ28" s="27">
        <f t="shared" si="13"/>
        <v>7.6553906448261522</v>
      </c>
      <c r="AK28" s="27">
        <f t="shared" si="14"/>
        <v>8.5663642354226877</v>
      </c>
      <c r="AL28" s="27">
        <f t="shared" si="15"/>
        <v>9.8112626084936103</v>
      </c>
      <c r="AM28" s="27">
        <f t="shared" si="16"/>
        <v>8.2141944148525639</v>
      </c>
      <c r="AN28" s="27">
        <f t="shared" si="17"/>
        <v>8.5053230188457505</v>
      </c>
      <c r="AO28" s="27">
        <f t="shared" si="18"/>
        <v>8.0554751417572739</v>
      </c>
      <c r="AP28" s="27">
        <f t="shared" si="19"/>
        <v>10.586559144398469</v>
      </c>
      <c r="AQ28" s="27">
        <f t="shared" si="20"/>
        <v>11.172700194519704</v>
      </c>
      <c r="AR28" s="27">
        <f t="shared" si="21"/>
        <v>6.7031881132408628</v>
      </c>
      <c r="AS28" s="19"/>
      <c r="AT28" s="29">
        <f t="shared" si="23"/>
        <v>1.03337463931652E-2</v>
      </c>
      <c r="AU28" s="29">
        <f t="shared" si="24"/>
        <v>8.5054251246070578E-3</v>
      </c>
      <c r="AV28" s="29">
        <f t="shared" si="25"/>
        <v>2.3623632753379198E-2</v>
      </c>
      <c r="AW28" s="29">
        <f t="shared" si="26"/>
        <v>9.4349405006344256E-3</v>
      </c>
      <c r="AX28" s="29">
        <f t="shared" si="27"/>
        <v>1.2849917745004547E-2</v>
      </c>
      <c r="AY28" s="29">
        <f t="shared" si="28"/>
        <v>1.2805297025673568E-2</v>
      </c>
      <c r="AZ28" s="29">
        <f t="shared" si="29"/>
        <v>2.3415130887460833E-3</v>
      </c>
      <c r="BA28" s="29">
        <f t="shared" si="30"/>
        <v>1.4742959741489869E-2</v>
      </c>
      <c r="BB28" s="29">
        <f t="shared" si="31"/>
        <v>5.308774977258679E-3</v>
      </c>
      <c r="BC28" s="29">
        <f t="shared" si="32"/>
        <v>1.0027355338104726E-2</v>
      </c>
      <c r="BD28" s="29">
        <f t="shared" si="33"/>
        <v>1.3031521678643188E-2</v>
      </c>
      <c r="BE28" s="29">
        <f t="shared" si="34"/>
        <v>1.7532478761641102E-2</v>
      </c>
      <c r="BF28" s="29">
        <f t="shared" si="35"/>
        <v>1.3826203565180606E-2</v>
      </c>
      <c r="BG28" s="29">
        <f t="shared" si="36"/>
        <v>7.0698679878145043E-3</v>
      </c>
      <c r="BH28" s="29">
        <f t="shared" si="37"/>
        <v>4.4511682229426697E-3</v>
      </c>
      <c r="BI28" s="29">
        <f t="shared" si="38"/>
        <v>1.8309023537767644E-2</v>
      </c>
      <c r="BJ28" s="29">
        <f t="shared" si="39"/>
        <v>9.1491946535882107E-3</v>
      </c>
      <c r="BK28" s="29">
        <f t="shared" si="40"/>
        <v>1.181178936333005E-2</v>
      </c>
      <c r="BL28" s="29">
        <f t="shared" si="41"/>
        <v>9.591547777871412E-3</v>
      </c>
      <c r="BM28" s="29">
        <f t="shared" si="42"/>
        <v>1.8580513544804944E-2</v>
      </c>
      <c r="BN28" s="29">
        <f t="shared" si="43"/>
        <v>2.8626721426436852E-2</v>
      </c>
      <c r="BO28" s="20"/>
      <c r="BP28" s="19"/>
      <c r="BR28" s="19"/>
      <c r="BS28" s="19"/>
      <c r="BT28" s="19"/>
      <c r="BU28" s="19"/>
      <c r="BW28" s="19"/>
      <c r="BX28" s="20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20"/>
      <c r="CO28" s="19"/>
      <c r="CP28" s="20"/>
      <c r="CQ28" s="19"/>
      <c r="CR28" s="19"/>
      <c r="CS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G28" s="20"/>
      <c r="DH28" s="19"/>
      <c r="DI28" s="19"/>
      <c r="DJ28" s="19"/>
      <c r="DK28" s="19"/>
      <c r="DL28" s="19"/>
      <c r="DM28" s="19"/>
      <c r="DN28" s="19"/>
      <c r="DO28" s="20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20"/>
      <c r="EF28" s="20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20"/>
      <c r="GI28" s="19"/>
      <c r="GJ28" s="22"/>
    </row>
    <row r="29" spans="1:192" x14ac:dyDescent="0.25">
      <c r="A29" s="18">
        <v>1897</v>
      </c>
      <c r="B29" s="19">
        <v>5798</v>
      </c>
      <c r="C29" s="19">
        <v>6548</v>
      </c>
      <c r="D29" s="19">
        <v>16753</v>
      </c>
      <c r="E29" s="19">
        <v>5269</v>
      </c>
      <c r="F29" s="19">
        <v>2462</v>
      </c>
      <c r="G29" s="19">
        <v>2549</v>
      </c>
      <c r="H29" s="19">
        <v>40348</v>
      </c>
      <c r="I29" s="19">
        <v>51921</v>
      </c>
      <c r="J29" s="19">
        <v>33078</v>
      </c>
      <c r="K29" s="19">
        <v>42643</v>
      </c>
      <c r="L29" s="19">
        <v>4935</v>
      </c>
      <c r="M29" s="19">
        <v>764</v>
      </c>
      <c r="N29" s="19">
        <v>2142</v>
      </c>
      <c r="O29" s="19">
        <v>5290</v>
      </c>
      <c r="P29" s="19">
        <v>18320</v>
      </c>
      <c r="Q29" s="19">
        <v>3752</v>
      </c>
      <c r="R29" s="19">
        <v>4986</v>
      </c>
      <c r="S29" s="19">
        <v>3188</v>
      </c>
      <c r="T29" s="19">
        <v>39987</v>
      </c>
      <c r="U29" s="19">
        <v>72471</v>
      </c>
      <c r="V29" s="19">
        <v>839</v>
      </c>
      <c r="W29" s="20"/>
      <c r="X29" s="27">
        <f t="shared" si="1"/>
        <v>8.6652683094816005</v>
      </c>
      <c r="Y29" s="27">
        <f t="shared" si="2"/>
        <v>8.7869149384910248</v>
      </c>
      <c r="Z29" s="27">
        <f t="shared" si="3"/>
        <v>9.7263326256935319</v>
      </c>
      <c r="AA29" s="27">
        <f t="shared" si="4"/>
        <v>8.5695958702092856</v>
      </c>
      <c r="AB29" s="27">
        <f t="shared" si="5"/>
        <v>7.8087293067443992</v>
      </c>
      <c r="AC29" s="27">
        <f t="shared" si="6"/>
        <v>7.8434564043761155</v>
      </c>
      <c r="AD29" s="27">
        <f t="shared" si="7"/>
        <v>10.605297106174726</v>
      </c>
      <c r="AE29" s="27">
        <f t="shared" si="8"/>
        <v>10.857478611593109</v>
      </c>
      <c r="AF29" s="27">
        <f t="shared" si="9"/>
        <v>10.406623687817738</v>
      </c>
      <c r="AG29" s="27">
        <f t="shared" si="10"/>
        <v>10.660618412837621</v>
      </c>
      <c r="AH29" s="27">
        <f t="shared" si="11"/>
        <v>8.5041079518675815</v>
      </c>
      <c r="AI29" s="27">
        <f t="shared" si="12"/>
        <v>6.6385677891665207</v>
      </c>
      <c r="AJ29" s="27">
        <f t="shared" si="13"/>
        <v>7.6694952510076941</v>
      </c>
      <c r="AK29" s="27">
        <f t="shared" si="14"/>
        <v>8.5735735248523444</v>
      </c>
      <c r="AL29" s="27">
        <f t="shared" si="15"/>
        <v>9.815748638228122</v>
      </c>
      <c r="AM29" s="27">
        <f t="shared" si="16"/>
        <v>8.2300443101261145</v>
      </c>
      <c r="AN29" s="27">
        <f t="shared" si="17"/>
        <v>8.5143892640835031</v>
      </c>
      <c r="AO29" s="27">
        <f t="shared" si="18"/>
        <v>8.067149039910106</v>
      </c>
      <c r="AP29" s="27">
        <f t="shared" si="19"/>
        <v>10.596309680272128</v>
      </c>
      <c r="AQ29" s="27">
        <f t="shared" si="20"/>
        <v>11.190941760821426</v>
      </c>
      <c r="AR29" s="27">
        <f t="shared" si="21"/>
        <v>6.7322107064672059</v>
      </c>
      <c r="AS29" s="19"/>
      <c r="AT29" s="29">
        <f t="shared" si="23"/>
        <v>1.022805137323779E-2</v>
      </c>
      <c r="AU29" s="29">
        <f t="shared" si="24"/>
        <v>8.2809858282342219E-3</v>
      </c>
      <c r="AV29" s="29">
        <f t="shared" si="25"/>
        <v>2.3615773619887648E-2</v>
      </c>
      <c r="AW29" s="29">
        <f t="shared" si="26"/>
        <v>9.7264045126124188E-3</v>
      </c>
      <c r="AX29" s="29">
        <f t="shared" si="27"/>
        <v>1.3906154565010098E-2</v>
      </c>
      <c r="AY29" s="29">
        <f t="shared" si="28"/>
        <v>1.3428321842275714E-2</v>
      </c>
      <c r="AZ29" s="29">
        <f t="shared" si="29"/>
        <v>3.8738563468552201E-3</v>
      </c>
      <c r="BA29" s="29">
        <f t="shared" si="30"/>
        <v>1.572359437945714E-2</v>
      </c>
      <c r="BB29" s="29">
        <f t="shared" si="31"/>
        <v>6.5210039847354295E-3</v>
      </c>
      <c r="BC29" s="29">
        <f t="shared" si="32"/>
        <v>1.0537704035922246E-2</v>
      </c>
      <c r="BD29" s="29">
        <f t="shared" si="33"/>
        <v>1.4080428524113842E-2</v>
      </c>
      <c r="BE29" s="29">
        <f t="shared" si="34"/>
        <v>2.1164811192043054E-2</v>
      </c>
      <c r="BF29" s="29">
        <f t="shared" si="35"/>
        <v>1.4104606181541968E-2</v>
      </c>
      <c r="BG29" s="29">
        <f t="shared" si="36"/>
        <v>7.2092894296567067E-3</v>
      </c>
      <c r="BH29" s="29">
        <f t="shared" si="37"/>
        <v>4.4860297345117317E-3</v>
      </c>
      <c r="BI29" s="29">
        <f t="shared" si="38"/>
        <v>1.5849895273550629E-2</v>
      </c>
      <c r="BJ29" s="29">
        <f t="shared" si="39"/>
        <v>9.0662452377525682E-3</v>
      </c>
      <c r="BK29" s="29">
        <f t="shared" si="40"/>
        <v>1.1673898152832152E-2</v>
      </c>
      <c r="BL29" s="29">
        <f t="shared" si="41"/>
        <v>9.7505358736587056E-3</v>
      </c>
      <c r="BM29" s="29">
        <f t="shared" si="42"/>
        <v>1.824156630172169E-2</v>
      </c>
      <c r="BN29" s="29">
        <f t="shared" si="43"/>
        <v>2.9022593226343041E-2</v>
      </c>
      <c r="BO29" s="20"/>
      <c r="BP29" s="19"/>
      <c r="BR29" s="19"/>
      <c r="BS29" s="19"/>
      <c r="BT29" s="19"/>
      <c r="BU29" s="19"/>
      <c r="BW29" s="19"/>
      <c r="BX29" s="20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20"/>
      <c r="CO29" s="19"/>
      <c r="CP29" s="20"/>
      <c r="CQ29" s="19"/>
      <c r="CR29" s="19"/>
      <c r="CS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G29" s="20"/>
      <c r="DH29" s="19"/>
      <c r="DI29" s="19"/>
      <c r="DJ29" s="19"/>
      <c r="DK29" s="19"/>
      <c r="DL29" s="19"/>
      <c r="DM29" s="19"/>
      <c r="DN29" s="19"/>
      <c r="DO29" s="20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20"/>
      <c r="EF29" s="20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20"/>
      <c r="GI29" s="19"/>
      <c r="GJ29" s="22"/>
    </row>
    <row r="30" spans="1:192" x14ac:dyDescent="0.25">
      <c r="A30" s="18">
        <v>1898</v>
      </c>
      <c r="B30" s="19">
        <v>5856</v>
      </c>
      <c r="C30" s="19">
        <v>6604</v>
      </c>
      <c r="D30" s="19">
        <v>17154</v>
      </c>
      <c r="E30" s="19">
        <v>5325</v>
      </c>
      <c r="F30" s="19">
        <v>2497</v>
      </c>
      <c r="G30" s="19">
        <v>2589</v>
      </c>
      <c r="H30" s="19">
        <v>40473</v>
      </c>
      <c r="I30" s="19">
        <v>52753</v>
      </c>
      <c r="J30" s="19">
        <v>33285</v>
      </c>
      <c r="K30" s="19">
        <v>43145</v>
      </c>
      <c r="L30" s="19">
        <v>5003</v>
      </c>
      <c r="M30" s="19">
        <v>779</v>
      </c>
      <c r="N30" s="19">
        <v>2174</v>
      </c>
      <c r="O30" s="19">
        <v>5327</v>
      </c>
      <c r="P30" s="19">
        <v>18402</v>
      </c>
      <c r="Q30" s="19">
        <v>3820</v>
      </c>
      <c r="R30" s="19">
        <v>5036</v>
      </c>
      <c r="S30" s="19">
        <v>3226</v>
      </c>
      <c r="T30" s="19">
        <v>40381</v>
      </c>
      <c r="U30" s="19">
        <v>73781</v>
      </c>
      <c r="V30" s="19">
        <v>864</v>
      </c>
      <c r="W30" s="20"/>
      <c r="X30" s="27">
        <f t="shared" si="1"/>
        <v>8.6752220556411483</v>
      </c>
      <c r="Y30" s="27">
        <f t="shared" si="2"/>
        <v>8.7954308050400183</v>
      </c>
      <c r="Z30" s="27">
        <f t="shared" si="3"/>
        <v>9.7499866615503663</v>
      </c>
      <c r="AA30" s="27">
        <f t="shared" si="4"/>
        <v>8.5801679905776265</v>
      </c>
      <c r="AB30" s="27">
        <f t="shared" si="5"/>
        <v>7.8228452902797736</v>
      </c>
      <c r="AC30" s="27">
        <f t="shared" si="6"/>
        <v>7.8590269797515377</v>
      </c>
      <c r="AD30" s="27">
        <f t="shared" si="7"/>
        <v>10.608390364106926</v>
      </c>
      <c r="AE30" s="27">
        <f t="shared" si="8"/>
        <v>10.873375921759074</v>
      </c>
      <c r="AF30" s="27">
        <f t="shared" si="9"/>
        <v>10.412862124034804</v>
      </c>
      <c r="AG30" s="27">
        <f t="shared" si="10"/>
        <v>10.672321814942407</v>
      </c>
      <c r="AH30" s="27">
        <f t="shared" si="11"/>
        <v>8.5177930114882052</v>
      </c>
      <c r="AI30" s="27">
        <f t="shared" si="12"/>
        <v>6.6580110458707482</v>
      </c>
      <c r="AJ30" s="27">
        <f t="shared" si="13"/>
        <v>7.6843240676811551</v>
      </c>
      <c r="AK30" s="27">
        <f t="shared" si="14"/>
        <v>8.5805435069169995</v>
      </c>
      <c r="AL30" s="27">
        <f t="shared" si="15"/>
        <v>9.8202146333423066</v>
      </c>
      <c r="AM30" s="27">
        <f t="shared" si="16"/>
        <v>8.2480057016006203</v>
      </c>
      <c r="AN30" s="27">
        <f t="shared" si="17"/>
        <v>8.5243673951642371</v>
      </c>
      <c r="AO30" s="27">
        <f t="shared" si="18"/>
        <v>8.0789982586851536</v>
      </c>
      <c r="AP30" s="27">
        <f t="shared" si="19"/>
        <v>10.606114656295205</v>
      </c>
      <c r="AQ30" s="27">
        <f t="shared" si="20"/>
        <v>11.208856524867436</v>
      </c>
      <c r="AR30" s="27">
        <f t="shared" si="21"/>
        <v>6.7615727688040552</v>
      </c>
      <c r="AS30" s="19"/>
      <c r="AT30" s="29">
        <f t="shared" si="23"/>
        <v>9.953746159547805E-3</v>
      </c>
      <c r="AU30" s="29">
        <f t="shared" si="24"/>
        <v>8.5158665489935004E-3</v>
      </c>
      <c r="AV30" s="29">
        <f t="shared" si="25"/>
        <v>2.3654035856834454E-2</v>
      </c>
      <c r="AW30" s="29">
        <f t="shared" si="26"/>
        <v>1.0572120368340876E-2</v>
      </c>
      <c r="AX30" s="29">
        <f t="shared" si="27"/>
        <v>1.4115983535374355E-2</v>
      </c>
      <c r="AY30" s="29">
        <f t="shared" si="28"/>
        <v>1.557057537542228E-2</v>
      </c>
      <c r="AZ30" s="29">
        <f t="shared" si="29"/>
        <v>3.0932579321998332E-3</v>
      </c>
      <c r="BA30" s="29">
        <f t="shared" si="30"/>
        <v>1.589731016596474E-2</v>
      </c>
      <c r="BB30" s="29">
        <f t="shared" si="31"/>
        <v>6.2384362170657681E-3</v>
      </c>
      <c r="BC30" s="29">
        <f t="shared" si="32"/>
        <v>1.170340210478571E-2</v>
      </c>
      <c r="BD30" s="29">
        <f t="shared" si="33"/>
        <v>1.3685059620623719E-2</v>
      </c>
      <c r="BE30" s="29">
        <f t="shared" si="34"/>
        <v>1.9443256704227529E-2</v>
      </c>
      <c r="BF30" s="29">
        <f t="shared" si="35"/>
        <v>1.4828816673460921E-2</v>
      </c>
      <c r="BG30" s="29">
        <f t="shared" si="36"/>
        <v>6.9699820646551558E-3</v>
      </c>
      <c r="BH30" s="29">
        <f t="shared" si="37"/>
        <v>4.4659951141845511E-3</v>
      </c>
      <c r="BI30" s="29">
        <f t="shared" si="38"/>
        <v>1.7961391474505817E-2</v>
      </c>
      <c r="BJ30" s="29">
        <f t="shared" si="39"/>
        <v>9.9781310807340873E-3</v>
      </c>
      <c r="BK30" s="29">
        <f t="shared" si="40"/>
        <v>1.1849218775047632E-2</v>
      </c>
      <c r="BL30" s="29">
        <f t="shared" si="41"/>
        <v>9.804976023076506E-3</v>
      </c>
      <c r="BM30" s="29">
        <f t="shared" si="42"/>
        <v>1.7914764046009779E-2</v>
      </c>
      <c r="BN30" s="29">
        <f t="shared" si="43"/>
        <v>2.9362062336849348E-2</v>
      </c>
      <c r="BO30" s="20"/>
      <c r="BP30" s="19"/>
      <c r="BR30" s="19"/>
      <c r="BS30" s="19"/>
      <c r="BT30" s="19"/>
      <c r="BU30" s="19"/>
      <c r="BW30" s="19"/>
      <c r="BX30" s="20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20"/>
      <c r="CO30" s="19"/>
      <c r="CP30" s="20"/>
      <c r="CQ30" s="19"/>
      <c r="CR30" s="19"/>
      <c r="CS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G30" s="20"/>
      <c r="DH30" s="19"/>
      <c r="DI30" s="19"/>
      <c r="DJ30" s="19"/>
      <c r="DK30" s="19"/>
      <c r="DL30" s="19"/>
      <c r="DM30" s="19"/>
      <c r="DN30" s="19"/>
      <c r="DO30" s="20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20"/>
      <c r="EF30" s="20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20"/>
      <c r="GI30" s="19"/>
      <c r="GJ30" s="22"/>
    </row>
    <row r="31" spans="1:192" x14ac:dyDescent="0.25">
      <c r="A31" s="18">
        <v>1899</v>
      </c>
      <c r="B31" s="19">
        <v>5915</v>
      </c>
      <c r="C31" s="19">
        <v>6662</v>
      </c>
      <c r="D31" s="19">
        <v>17564</v>
      </c>
      <c r="E31" s="19">
        <v>5383</v>
      </c>
      <c r="F31" s="19">
        <v>2530</v>
      </c>
      <c r="G31" s="19">
        <v>2624</v>
      </c>
      <c r="H31" s="19">
        <v>40546</v>
      </c>
      <c r="I31" s="19">
        <v>53592</v>
      </c>
      <c r="J31" s="19">
        <v>33487</v>
      </c>
      <c r="K31" s="19">
        <v>43626</v>
      </c>
      <c r="L31" s="19">
        <v>5070</v>
      </c>
      <c r="M31" s="19">
        <v>794</v>
      </c>
      <c r="N31" s="19">
        <v>2204</v>
      </c>
      <c r="O31" s="19">
        <v>5366</v>
      </c>
      <c r="P31" s="19">
        <v>18484</v>
      </c>
      <c r="Q31" s="19">
        <v>3874</v>
      </c>
      <c r="R31" s="19">
        <v>5080</v>
      </c>
      <c r="S31" s="19">
        <v>3263</v>
      </c>
      <c r="T31" s="19">
        <v>40773</v>
      </c>
      <c r="U31" s="19">
        <v>75091</v>
      </c>
      <c r="V31" s="19">
        <v>889</v>
      </c>
      <c r="W31" s="20"/>
      <c r="X31" s="27">
        <f t="shared" si="1"/>
        <v>8.6852467764124874</v>
      </c>
      <c r="Y31" s="27">
        <f t="shared" si="2"/>
        <v>8.8041750187536252</v>
      </c>
      <c r="Z31" s="27">
        <f t="shared" si="3"/>
        <v>9.7736066316816075</v>
      </c>
      <c r="AA31" s="27">
        <f t="shared" si="4"/>
        <v>8.5910011185609569</v>
      </c>
      <c r="AB31" s="27">
        <f t="shared" si="5"/>
        <v>7.8359745817215662</v>
      </c>
      <c r="AC31" s="27">
        <f t="shared" si="6"/>
        <v>7.8724551500639794</v>
      </c>
      <c r="AD31" s="27">
        <f t="shared" si="7"/>
        <v>10.610192411028139</v>
      </c>
      <c r="AE31" s="27">
        <f t="shared" si="8"/>
        <v>10.889155082188104</v>
      </c>
      <c r="AF31" s="27">
        <f t="shared" si="9"/>
        <v>10.418912582797015</v>
      </c>
      <c r="AG31" s="27">
        <f t="shared" si="10"/>
        <v>10.683408581878112</v>
      </c>
      <c r="AH31" s="27">
        <f t="shared" si="11"/>
        <v>8.5310960965852285</v>
      </c>
      <c r="AI31" s="27">
        <f t="shared" si="12"/>
        <v>6.6770834612471361</v>
      </c>
      <c r="AJ31" s="27">
        <f t="shared" si="13"/>
        <v>7.6980291702728048</v>
      </c>
      <c r="AK31" s="27">
        <f t="shared" si="14"/>
        <v>8.5878380309855693</v>
      </c>
      <c r="AL31" s="27">
        <f t="shared" si="15"/>
        <v>9.8246607719901569</v>
      </c>
      <c r="AM31" s="27">
        <f t="shared" si="16"/>
        <v>8.2620428439669418</v>
      </c>
      <c r="AN31" s="27">
        <f t="shared" si="17"/>
        <v>8.533066540572527</v>
      </c>
      <c r="AO31" s="27">
        <f t="shared" si="18"/>
        <v>8.0904022965933198</v>
      </c>
      <c r="AP31" s="27">
        <f t="shared" si="19"/>
        <v>10.615775376623457</v>
      </c>
      <c r="AQ31" s="27">
        <f t="shared" si="20"/>
        <v>11.226455990357765</v>
      </c>
      <c r="AR31" s="27">
        <f t="shared" si="21"/>
        <v>6.7900972355139046</v>
      </c>
      <c r="AS31" s="19"/>
      <c r="AT31" s="29">
        <f t="shared" si="23"/>
        <v>1.0024720771339091E-2</v>
      </c>
      <c r="AU31" s="29">
        <f t="shared" si="24"/>
        <v>8.7442137136068965E-3</v>
      </c>
      <c r="AV31" s="29">
        <f t="shared" si="25"/>
        <v>2.3619970131241175E-2</v>
      </c>
      <c r="AW31" s="29">
        <f t="shared" si="26"/>
        <v>1.0833127983330471E-2</v>
      </c>
      <c r="AX31" s="29">
        <f t="shared" si="27"/>
        <v>1.3129291441792645E-2</v>
      </c>
      <c r="AY31" s="29">
        <f t="shared" si="28"/>
        <v>1.3428170312441701E-2</v>
      </c>
      <c r="AZ31" s="29">
        <f t="shared" si="29"/>
        <v>1.8020469212132184E-3</v>
      </c>
      <c r="BA31" s="29">
        <f t="shared" si="30"/>
        <v>1.577916042903027E-2</v>
      </c>
      <c r="BB31" s="29">
        <f t="shared" si="31"/>
        <v>6.0504587622105532E-3</v>
      </c>
      <c r="BC31" s="29">
        <f t="shared" si="32"/>
        <v>1.1086766935704873E-2</v>
      </c>
      <c r="BD31" s="29">
        <f t="shared" si="33"/>
        <v>1.3303085097023271E-2</v>
      </c>
      <c r="BE31" s="29">
        <f t="shared" si="34"/>
        <v>1.907241537638793E-2</v>
      </c>
      <c r="BF31" s="29">
        <f t="shared" si="35"/>
        <v>1.3705102591649698E-2</v>
      </c>
      <c r="BG31" s="29">
        <f t="shared" si="36"/>
        <v>7.2945240685697854E-3</v>
      </c>
      <c r="BH31" s="29">
        <f t="shared" si="37"/>
        <v>4.4461386478502618E-3</v>
      </c>
      <c r="BI31" s="29">
        <f t="shared" si="38"/>
        <v>1.4037142366321476E-2</v>
      </c>
      <c r="BJ31" s="29">
        <f t="shared" si="39"/>
        <v>8.6991454082898656E-3</v>
      </c>
      <c r="BK31" s="29">
        <f t="shared" si="40"/>
        <v>1.1404037908166131E-2</v>
      </c>
      <c r="BL31" s="29">
        <f t="shared" si="41"/>
        <v>9.6607203282523813E-3</v>
      </c>
      <c r="BM31" s="29">
        <f t="shared" si="42"/>
        <v>1.7599465490329536E-2</v>
      </c>
      <c r="BN31" s="29">
        <f t="shared" si="43"/>
        <v>2.8524466709849428E-2</v>
      </c>
      <c r="BO31" s="20"/>
      <c r="BP31" s="19"/>
      <c r="BR31" s="19"/>
      <c r="BS31" s="19"/>
      <c r="BT31" s="19"/>
      <c r="BU31" s="19"/>
      <c r="BW31" s="19"/>
      <c r="BX31" s="20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20"/>
      <c r="CO31" s="19"/>
      <c r="CP31" s="20"/>
      <c r="CQ31" s="19"/>
      <c r="CR31" s="19"/>
      <c r="CS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G31" s="20"/>
      <c r="DH31" s="19"/>
      <c r="DI31" s="19"/>
      <c r="DJ31" s="19"/>
      <c r="DK31" s="19"/>
      <c r="DL31" s="19"/>
      <c r="DM31" s="19"/>
      <c r="DN31" s="19"/>
      <c r="DO31" s="20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20"/>
      <c r="EF31" s="20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20"/>
      <c r="GI31" s="19"/>
      <c r="GJ31" s="22"/>
    </row>
    <row r="32" spans="1:192" x14ac:dyDescent="0.25">
      <c r="A32" s="18">
        <v>1900</v>
      </c>
      <c r="B32" s="19">
        <v>5973</v>
      </c>
      <c r="C32" s="19">
        <v>6719</v>
      </c>
      <c r="D32" s="19">
        <v>17984</v>
      </c>
      <c r="E32" s="19">
        <v>5457</v>
      </c>
      <c r="F32" s="19">
        <v>2561</v>
      </c>
      <c r="G32" s="19">
        <v>2646</v>
      </c>
      <c r="H32" s="19">
        <v>40598</v>
      </c>
      <c r="I32" s="19">
        <v>54388</v>
      </c>
      <c r="J32" s="19">
        <v>33672</v>
      </c>
      <c r="K32" s="19">
        <v>44103</v>
      </c>
      <c r="L32" s="19">
        <v>5142</v>
      </c>
      <c r="M32" s="19">
        <v>807</v>
      </c>
      <c r="N32" s="19">
        <v>2230</v>
      </c>
      <c r="O32" s="19">
        <v>5404</v>
      </c>
      <c r="P32" s="19">
        <v>18566</v>
      </c>
      <c r="Q32" s="19">
        <v>3912</v>
      </c>
      <c r="R32" s="19">
        <v>5117</v>
      </c>
      <c r="S32" s="19">
        <v>3300</v>
      </c>
      <c r="T32" s="19">
        <v>41155</v>
      </c>
      <c r="U32" s="19">
        <v>76391</v>
      </c>
      <c r="V32" s="19">
        <v>915</v>
      </c>
      <c r="W32" s="20"/>
      <c r="X32" s="27">
        <f t="shared" si="1"/>
        <v>8.6950045927323067</v>
      </c>
      <c r="Y32" s="27">
        <f t="shared" si="2"/>
        <v>8.8126946129201507</v>
      </c>
      <c r="Z32" s="27">
        <f t="shared" si="3"/>
        <v>9.7972377526934178</v>
      </c>
      <c r="AA32" s="27">
        <f t="shared" si="4"/>
        <v>8.6046544671862311</v>
      </c>
      <c r="AB32" s="27">
        <f t="shared" si="5"/>
        <v>7.8481530861995257</v>
      </c>
      <c r="AC32" s="27">
        <f t="shared" si="6"/>
        <v>7.8808043446749014</v>
      </c>
      <c r="AD32" s="27">
        <f t="shared" si="7"/>
        <v>10.611474083292713</v>
      </c>
      <c r="AE32" s="27">
        <f t="shared" si="8"/>
        <v>10.903898820275577</v>
      </c>
      <c r="AF32" s="27">
        <f t="shared" si="9"/>
        <v>10.424421910450407</v>
      </c>
      <c r="AG32" s="27">
        <f t="shared" si="10"/>
        <v>10.694283086332076</v>
      </c>
      <c r="AH32" s="27">
        <f t="shared" si="11"/>
        <v>8.5451973878258354</v>
      </c>
      <c r="AI32" s="27">
        <f t="shared" si="12"/>
        <v>6.6933236682699491</v>
      </c>
      <c r="AJ32" s="27">
        <f t="shared" si="13"/>
        <v>7.7097568644541647</v>
      </c>
      <c r="AK32" s="27">
        <f t="shared" si="14"/>
        <v>8.5948946990800899</v>
      </c>
      <c r="AL32" s="27">
        <f t="shared" si="15"/>
        <v>9.8290872299598782</v>
      </c>
      <c r="AM32" s="27">
        <f t="shared" si="16"/>
        <v>8.2718040311547085</v>
      </c>
      <c r="AN32" s="27">
        <f t="shared" si="17"/>
        <v>8.5403236088050924</v>
      </c>
      <c r="AO32" s="27">
        <f t="shared" si="18"/>
        <v>8.1016777474545716</v>
      </c>
      <c r="AP32" s="27">
        <f t="shared" si="19"/>
        <v>10.625100705406744</v>
      </c>
      <c r="AQ32" s="27">
        <f t="shared" si="20"/>
        <v>11.243620167168404</v>
      </c>
      <c r="AR32" s="27">
        <f t="shared" si="21"/>
        <v>6.818924065275521</v>
      </c>
      <c r="AS32" s="19"/>
      <c r="AT32" s="29">
        <f t="shared" si="23"/>
        <v>9.7578163198193124E-3</v>
      </c>
      <c r="AU32" s="29">
        <f t="shared" si="24"/>
        <v>8.5195941665254793E-3</v>
      </c>
      <c r="AV32" s="29">
        <f t="shared" si="25"/>
        <v>2.3631121011810308E-2</v>
      </c>
      <c r="AW32" s="29">
        <f t="shared" si="26"/>
        <v>1.365334862527412E-2</v>
      </c>
      <c r="AX32" s="29">
        <f t="shared" si="27"/>
        <v>1.2178504477959429E-2</v>
      </c>
      <c r="AY32" s="29">
        <f t="shared" si="28"/>
        <v>8.3491946109219839E-3</v>
      </c>
      <c r="AZ32" s="29">
        <f t="shared" si="29"/>
        <v>1.2816722645734302E-3</v>
      </c>
      <c r="BA32" s="29">
        <f t="shared" si="30"/>
        <v>1.4743738087473091E-2</v>
      </c>
      <c r="BB32" s="29">
        <f t="shared" si="31"/>
        <v>5.509327653392404E-3</v>
      </c>
      <c r="BC32" s="29">
        <f t="shared" si="32"/>
        <v>1.0874504453964207E-2</v>
      </c>
      <c r="BD32" s="29">
        <f t="shared" si="33"/>
        <v>1.4101291240606884E-2</v>
      </c>
      <c r="BE32" s="29">
        <f t="shared" si="34"/>
        <v>1.6240207022812925E-2</v>
      </c>
      <c r="BF32" s="29">
        <f t="shared" si="35"/>
        <v>1.1727694181359993E-2</v>
      </c>
      <c r="BG32" s="29">
        <f t="shared" si="36"/>
        <v>7.0566680945205462E-3</v>
      </c>
      <c r="BH32" s="29">
        <f t="shared" si="37"/>
        <v>4.426457969721298E-3</v>
      </c>
      <c r="BI32" s="29">
        <f t="shared" si="38"/>
        <v>9.7611871877667511E-3</v>
      </c>
      <c r="BJ32" s="29">
        <f t="shared" si="39"/>
        <v>7.2570682325654445E-3</v>
      </c>
      <c r="BK32" s="29">
        <f t="shared" si="40"/>
        <v>1.1275450861251812E-2</v>
      </c>
      <c r="BL32" s="29">
        <f t="shared" si="41"/>
        <v>9.32532878328729E-3</v>
      </c>
      <c r="BM32" s="29">
        <f t="shared" si="42"/>
        <v>1.716417681063831E-2</v>
      </c>
      <c r="BN32" s="29">
        <f t="shared" si="43"/>
        <v>2.8826829761616324E-2</v>
      </c>
      <c r="BO32" s="20"/>
      <c r="BP32" s="19"/>
      <c r="BR32" s="19"/>
      <c r="BS32" s="19"/>
      <c r="BT32" s="19"/>
      <c r="BU32" s="19"/>
      <c r="BW32" s="19"/>
      <c r="BX32" s="20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20"/>
      <c r="CO32" s="19"/>
      <c r="CP32" s="20"/>
      <c r="CQ32" s="19"/>
      <c r="CR32" s="19"/>
      <c r="CS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G32" s="20"/>
      <c r="DH32" s="19"/>
      <c r="DI32" s="19"/>
      <c r="DJ32" s="19"/>
      <c r="DK32" s="19"/>
      <c r="DL32" s="19"/>
      <c r="DM32" s="19"/>
      <c r="DN32" s="19"/>
      <c r="DO32" s="20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20"/>
      <c r="EF32" s="20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20"/>
      <c r="GI32" s="19"/>
      <c r="GJ32" s="22"/>
    </row>
    <row r="33" spans="1:192" x14ac:dyDescent="0.25">
      <c r="A33" s="18">
        <v>1901</v>
      </c>
      <c r="B33" s="19">
        <v>6035</v>
      </c>
      <c r="C33" s="19">
        <v>6801</v>
      </c>
      <c r="D33" s="19">
        <v>18392</v>
      </c>
      <c r="E33" s="19">
        <v>5536</v>
      </c>
      <c r="F33" s="19">
        <v>2594</v>
      </c>
      <c r="G33" s="19">
        <v>2667</v>
      </c>
      <c r="H33" s="19">
        <v>40640</v>
      </c>
      <c r="I33" s="19">
        <v>55214</v>
      </c>
      <c r="J33" s="19">
        <v>33877</v>
      </c>
      <c r="K33" s="19">
        <v>44662</v>
      </c>
      <c r="L33" s="19">
        <v>5221</v>
      </c>
      <c r="M33" s="19">
        <v>824</v>
      </c>
      <c r="N33" s="19">
        <v>2255</v>
      </c>
      <c r="O33" s="19">
        <v>5447</v>
      </c>
      <c r="P33" s="19">
        <v>18659</v>
      </c>
      <c r="Q33" s="19">
        <v>4031</v>
      </c>
      <c r="R33" s="19">
        <v>5156</v>
      </c>
      <c r="S33" s="19">
        <v>3341</v>
      </c>
      <c r="T33" s="19">
        <v>41538</v>
      </c>
      <c r="U33" s="19">
        <v>77888</v>
      </c>
      <c r="V33" s="19">
        <v>930</v>
      </c>
      <c r="W33" s="20"/>
      <c r="X33" s="27">
        <f t="shared" si="1"/>
        <v>8.7053311335316312</v>
      </c>
      <c r="Y33" s="27">
        <f t="shared" si="2"/>
        <v>8.8248249391756381</v>
      </c>
      <c r="Z33" s="27">
        <f t="shared" si="3"/>
        <v>9.8196710664430178</v>
      </c>
      <c r="AA33" s="27">
        <f t="shared" si="4"/>
        <v>8.6190274972975054</v>
      </c>
      <c r="AB33" s="27">
        <f t="shared" si="5"/>
        <v>7.8609563648763894</v>
      </c>
      <c r="AC33" s="27">
        <f t="shared" si="6"/>
        <v>7.8887095241820147</v>
      </c>
      <c r="AD33" s="27">
        <f t="shared" si="7"/>
        <v>10.612508082252363</v>
      </c>
      <c r="AE33" s="27">
        <f t="shared" si="8"/>
        <v>10.918971823296669</v>
      </c>
      <c r="AF33" s="27">
        <f t="shared" si="9"/>
        <v>10.430491597029581</v>
      </c>
      <c r="AG33" s="27">
        <f t="shared" si="10"/>
        <v>10.706878307194833</v>
      </c>
      <c r="AH33" s="27">
        <f t="shared" si="11"/>
        <v>8.5604442334105517</v>
      </c>
      <c r="AI33" s="27">
        <f t="shared" si="12"/>
        <v>6.7141705299094721</v>
      </c>
      <c r="AJ33" s="27">
        <f t="shared" si="13"/>
        <v>7.7209052519367791</v>
      </c>
      <c r="AK33" s="27">
        <f t="shared" si="14"/>
        <v>8.6028202773836746</v>
      </c>
      <c r="AL33" s="27">
        <f t="shared" si="15"/>
        <v>9.8340838823972483</v>
      </c>
      <c r="AM33" s="27">
        <f t="shared" si="16"/>
        <v>8.3017697631171661</v>
      </c>
      <c r="AN33" s="27">
        <f t="shared" si="17"/>
        <v>8.5479163640590787</v>
      </c>
      <c r="AO33" s="27">
        <f t="shared" si="18"/>
        <v>8.1140254423567573</v>
      </c>
      <c r="AP33" s="27">
        <f t="shared" si="19"/>
        <v>10.63436394990608</v>
      </c>
      <c r="AQ33" s="27">
        <f t="shared" si="20"/>
        <v>11.263027176347199</v>
      </c>
      <c r="AR33" s="27">
        <f t="shared" si="21"/>
        <v>6.8351845861473013</v>
      </c>
      <c r="AS33" s="19"/>
      <c r="AT33" s="29">
        <f t="shared" si="23"/>
        <v>1.0326540799324491E-2</v>
      </c>
      <c r="AU33" s="29">
        <f t="shared" si="24"/>
        <v>1.2130326255487489E-2</v>
      </c>
      <c r="AV33" s="29">
        <f t="shared" si="25"/>
        <v>2.2433313749600003E-2</v>
      </c>
      <c r="AW33" s="29">
        <f t="shared" si="26"/>
        <v>1.4373030111274332E-2</v>
      </c>
      <c r="AX33" s="29">
        <f t="shared" si="27"/>
        <v>1.2803278676863705E-2</v>
      </c>
      <c r="AY33" s="29">
        <f t="shared" si="28"/>
        <v>7.9051795071132247E-3</v>
      </c>
      <c r="AZ33" s="29">
        <f t="shared" si="29"/>
        <v>1.0339989596506172E-3</v>
      </c>
      <c r="BA33" s="29">
        <f t="shared" si="30"/>
        <v>1.5073003021091935E-2</v>
      </c>
      <c r="BB33" s="29">
        <f t="shared" si="31"/>
        <v>6.0696865791740606E-3</v>
      </c>
      <c r="BC33" s="29">
        <f t="shared" si="32"/>
        <v>1.2595220862756662E-2</v>
      </c>
      <c r="BD33" s="29">
        <f t="shared" si="33"/>
        <v>1.524684558471634E-2</v>
      </c>
      <c r="BE33" s="29">
        <f t="shared" si="34"/>
        <v>2.0846861639522984E-2</v>
      </c>
      <c r="BF33" s="29">
        <f t="shared" si="35"/>
        <v>1.1148387482614375E-2</v>
      </c>
      <c r="BG33" s="29">
        <f t="shared" si="36"/>
        <v>7.9255783035847571E-3</v>
      </c>
      <c r="BH33" s="29">
        <f t="shared" si="37"/>
        <v>4.9966524373701304E-3</v>
      </c>
      <c r="BI33" s="29">
        <f t="shared" si="38"/>
        <v>2.9965731962457554E-2</v>
      </c>
      <c r="BJ33" s="29">
        <f t="shared" si="39"/>
        <v>7.592755253986283E-3</v>
      </c>
      <c r="BK33" s="29">
        <f t="shared" si="40"/>
        <v>1.234769490218568E-2</v>
      </c>
      <c r="BL33" s="29">
        <f t="shared" si="41"/>
        <v>9.2632444993352436E-3</v>
      </c>
      <c r="BM33" s="29">
        <f t="shared" si="42"/>
        <v>1.9407009178795676E-2</v>
      </c>
      <c r="BN33" s="29">
        <f t="shared" si="43"/>
        <v>1.6260520871780315E-2</v>
      </c>
      <c r="BO33" s="20"/>
      <c r="BP33" s="19"/>
      <c r="BR33" s="19"/>
      <c r="BS33" s="19"/>
      <c r="BT33" s="19"/>
      <c r="BU33" s="19"/>
      <c r="BW33" s="19"/>
      <c r="BX33" s="20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20"/>
      <c r="CO33" s="19"/>
      <c r="CP33" s="20"/>
      <c r="CQ33" s="19"/>
      <c r="CR33" s="19"/>
      <c r="CS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G33" s="20"/>
      <c r="DH33" s="19"/>
      <c r="DI33" s="19"/>
      <c r="DJ33" s="19"/>
      <c r="DK33" s="19"/>
      <c r="DL33" s="19"/>
      <c r="DM33" s="19"/>
      <c r="DN33" s="19"/>
      <c r="DO33" s="20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20"/>
      <c r="EF33" s="20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20"/>
      <c r="GI33" s="19"/>
      <c r="GJ33" s="22"/>
    </row>
    <row r="34" spans="1:192" x14ac:dyDescent="0.25">
      <c r="A34" s="18">
        <v>1902</v>
      </c>
      <c r="B34" s="19">
        <v>6099</v>
      </c>
      <c r="C34" s="19">
        <v>6903</v>
      </c>
      <c r="D34" s="19">
        <v>18782</v>
      </c>
      <c r="E34" s="19">
        <v>5650</v>
      </c>
      <c r="F34" s="19">
        <v>2623</v>
      </c>
      <c r="G34" s="19">
        <v>2686</v>
      </c>
      <c r="H34" s="19">
        <v>40713</v>
      </c>
      <c r="I34" s="19">
        <v>56104</v>
      </c>
      <c r="J34" s="19">
        <v>34166</v>
      </c>
      <c r="K34" s="19">
        <v>45255</v>
      </c>
      <c r="L34" s="19">
        <v>5305</v>
      </c>
      <c r="M34" s="19">
        <v>844</v>
      </c>
      <c r="N34" s="19">
        <v>2275</v>
      </c>
      <c r="O34" s="19">
        <v>5494</v>
      </c>
      <c r="P34" s="19">
        <v>18788</v>
      </c>
      <c r="Q34" s="19">
        <v>4071</v>
      </c>
      <c r="R34" s="19">
        <v>5187</v>
      </c>
      <c r="S34" s="19">
        <v>3384</v>
      </c>
      <c r="T34" s="19">
        <v>41893</v>
      </c>
      <c r="U34" s="19">
        <v>79469</v>
      </c>
      <c r="V34" s="19">
        <v>945</v>
      </c>
      <c r="W34" s="20"/>
      <c r="X34" s="27">
        <f t="shared" si="1"/>
        <v>8.715880102296456</v>
      </c>
      <c r="Y34" s="27">
        <f t="shared" si="2"/>
        <v>8.8397113787034751</v>
      </c>
      <c r="Z34" s="27">
        <f t="shared" si="3"/>
        <v>9.8406542433645594</v>
      </c>
      <c r="AA34" s="27">
        <f t="shared" si="4"/>
        <v>8.6394108241404872</v>
      </c>
      <c r="AB34" s="27">
        <f t="shared" si="5"/>
        <v>7.8720739798668733</v>
      </c>
      <c r="AC34" s="27">
        <f t="shared" si="6"/>
        <v>7.8958083770831831</v>
      </c>
      <c r="AD34" s="27">
        <f t="shared" si="7"/>
        <v>10.614302730749481</v>
      </c>
      <c r="AE34" s="27">
        <f t="shared" si="8"/>
        <v>10.934962390216747</v>
      </c>
      <c r="AF34" s="27">
        <f t="shared" si="9"/>
        <v>10.438986276507002</v>
      </c>
      <c r="AG34" s="27">
        <f t="shared" si="10"/>
        <v>10.72006844026127</v>
      </c>
      <c r="AH34" s="27">
        <f t="shared" si="11"/>
        <v>8.5764050510480843</v>
      </c>
      <c r="AI34" s="27">
        <f t="shared" si="12"/>
        <v>6.7381524945959574</v>
      </c>
      <c r="AJ34" s="27">
        <f t="shared" si="13"/>
        <v>7.7297353313850508</v>
      </c>
      <c r="AK34" s="27">
        <f t="shared" si="14"/>
        <v>8.6114118666552191</v>
      </c>
      <c r="AL34" s="27">
        <f t="shared" si="15"/>
        <v>9.8409736471468854</v>
      </c>
      <c r="AM34" s="27">
        <f t="shared" si="16"/>
        <v>8.3116439485029794</v>
      </c>
      <c r="AN34" s="27">
        <f t="shared" si="17"/>
        <v>8.5539107743514009</v>
      </c>
      <c r="AO34" s="27">
        <f t="shared" si="18"/>
        <v>8.1268137207261137</v>
      </c>
      <c r="AP34" s="27">
        <f t="shared" si="19"/>
        <v>10.642874027514271</v>
      </c>
      <c r="AQ34" s="27">
        <f t="shared" si="20"/>
        <v>11.283122287490261</v>
      </c>
      <c r="AR34" s="27">
        <f t="shared" si="21"/>
        <v>6.8511849274937431</v>
      </c>
      <c r="AS34" s="19"/>
      <c r="AT34" s="29">
        <f t="shared" si="23"/>
        <v>1.0548968764824806E-2</v>
      </c>
      <c r="AU34" s="29">
        <f t="shared" si="24"/>
        <v>1.488643952783697E-2</v>
      </c>
      <c r="AV34" s="29">
        <f t="shared" si="25"/>
        <v>2.0983176921541613E-2</v>
      </c>
      <c r="AW34" s="29">
        <f t="shared" si="26"/>
        <v>2.038332684298183E-2</v>
      </c>
      <c r="AX34" s="29">
        <f t="shared" si="27"/>
        <v>1.1117614990483915E-2</v>
      </c>
      <c r="AY34" s="29">
        <f t="shared" si="28"/>
        <v>7.0988529011684065E-3</v>
      </c>
      <c r="AZ34" s="29">
        <f t="shared" si="29"/>
        <v>1.7946484971176346E-3</v>
      </c>
      <c r="BA34" s="29">
        <f t="shared" si="30"/>
        <v>1.5990566920077498E-2</v>
      </c>
      <c r="BB34" s="29">
        <f t="shared" si="31"/>
        <v>8.4946794774207746E-3</v>
      </c>
      <c r="BC34" s="29">
        <f t="shared" si="32"/>
        <v>1.3190133066437681E-2</v>
      </c>
      <c r="BD34" s="29">
        <f t="shared" si="33"/>
        <v>1.5960817637532543E-2</v>
      </c>
      <c r="BE34" s="29">
        <f t="shared" si="34"/>
        <v>2.3981964686485391E-2</v>
      </c>
      <c r="BF34" s="29">
        <f t="shared" si="35"/>
        <v>8.8300794482716327E-3</v>
      </c>
      <c r="BG34" s="29">
        <f t="shared" si="36"/>
        <v>8.5915892715444642E-3</v>
      </c>
      <c r="BH34" s="29">
        <f t="shared" si="37"/>
        <v>6.8897647496370951E-3</v>
      </c>
      <c r="BI34" s="29">
        <f t="shared" si="38"/>
        <v>9.8741853858133055E-3</v>
      </c>
      <c r="BJ34" s="29">
        <f t="shared" si="39"/>
        <v>5.994410292322172E-3</v>
      </c>
      <c r="BK34" s="29">
        <f t="shared" si="40"/>
        <v>1.2788278369356476E-2</v>
      </c>
      <c r="BL34" s="29">
        <f t="shared" si="41"/>
        <v>8.5100776081912244E-3</v>
      </c>
      <c r="BM34" s="29">
        <f t="shared" si="42"/>
        <v>2.0095111143062283E-2</v>
      </c>
      <c r="BN34" s="29">
        <f t="shared" si="43"/>
        <v>1.6000341346441793E-2</v>
      </c>
      <c r="BO34" s="20"/>
      <c r="BP34" s="19"/>
      <c r="BR34" s="19"/>
      <c r="BS34" s="19"/>
      <c r="BT34" s="19"/>
      <c r="BU34" s="19"/>
      <c r="BW34" s="19"/>
      <c r="BX34" s="20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20"/>
      <c r="CO34" s="19"/>
      <c r="CP34" s="20"/>
      <c r="CQ34" s="19"/>
      <c r="CR34" s="19"/>
      <c r="CS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G34" s="20"/>
      <c r="DH34" s="19"/>
      <c r="DI34" s="19"/>
      <c r="DJ34" s="19"/>
      <c r="DK34" s="19"/>
      <c r="DL34" s="19"/>
      <c r="DM34" s="19"/>
      <c r="DN34" s="19"/>
      <c r="DO34" s="20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20"/>
      <c r="EF34" s="20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20"/>
      <c r="GI34" s="19"/>
      <c r="GJ34" s="22"/>
    </row>
    <row r="35" spans="1:192" x14ac:dyDescent="0.25">
      <c r="A35" s="18">
        <v>1903</v>
      </c>
      <c r="B35" s="19">
        <v>6164</v>
      </c>
      <c r="C35" s="19">
        <v>6997</v>
      </c>
      <c r="D35" s="19">
        <v>19180</v>
      </c>
      <c r="E35" s="19">
        <v>5813</v>
      </c>
      <c r="F35" s="19">
        <v>2653</v>
      </c>
      <c r="G35" s="19">
        <v>2706</v>
      </c>
      <c r="H35" s="19">
        <v>40786</v>
      </c>
      <c r="I35" s="19">
        <v>56963</v>
      </c>
      <c r="J35" s="19">
        <v>34436</v>
      </c>
      <c r="K35" s="19">
        <v>45841</v>
      </c>
      <c r="L35" s="19">
        <v>5389</v>
      </c>
      <c r="M35" s="19">
        <v>867</v>
      </c>
      <c r="N35" s="19">
        <v>2288</v>
      </c>
      <c r="O35" s="19">
        <v>5541</v>
      </c>
      <c r="P35" s="19">
        <v>18919</v>
      </c>
      <c r="Q35" s="19">
        <v>4156</v>
      </c>
      <c r="R35" s="19">
        <v>5210</v>
      </c>
      <c r="S35" s="19">
        <v>3428</v>
      </c>
      <c r="T35" s="19">
        <v>42246</v>
      </c>
      <c r="U35" s="19">
        <v>80946</v>
      </c>
      <c r="V35" s="19">
        <v>961</v>
      </c>
      <c r="W35" s="20"/>
      <c r="X35" s="27">
        <f t="shared" si="1"/>
        <v>8.7264811964400071</v>
      </c>
      <c r="Y35" s="27">
        <f t="shared" si="2"/>
        <v>8.8532367647458976</v>
      </c>
      <c r="Z35" s="27">
        <f t="shared" si="3"/>
        <v>9.8616233484374298</v>
      </c>
      <c r="AA35" s="27">
        <f t="shared" si="4"/>
        <v>8.6678520677013502</v>
      </c>
      <c r="AB35" s="27">
        <f t="shared" si="5"/>
        <v>7.8834463541377398</v>
      </c>
      <c r="AC35" s="27">
        <f t="shared" si="6"/>
        <v>7.9032268087307331</v>
      </c>
      <c r="AD35" s="27">
        <f t="shared" si="7"/>
        <v>10.616094164252292</v>
      </c>
      <c r="AE35" s="27">
        <f t="shared" si="8"/>
        <v>10.950157213238244</v>
      </c>
      <c r="AF35" s="27">
        <f t="shared" si="9"/>
        <v>10.446857807777846</v>
      </c>
      <c r="AG35" s="27">
        <f t="shared" si="10"/>
        <v>10.732934166159403</v>
      </c>
      <c r="AH35" s="27">
        <f t="shared" si="11"/>
        <v>8.5921151179334974</v>
      </c>
      <c r="AI35" s="27">
        <f t="shared" si="12"/>
        <v>6.7650389767805414</v>
      </c>
      <c r="AJ35" s="27">
        <f t="shared" si="13"/>
        <v>7.7354333524996886</v>
      </c>
      <c r="AK35" s="27">
        <f t="shared" si="14"/>
        <v>8.6199302688673498</v>
      </c>
      <c r="AL35" s="27">
        <f t="shared" si="15"/>
        <v>9.8479219870864192</v>
      </c>
      <c r="AM35" s="27">
        <f t="shared" si="16"/>
        <v>8.3323083522191173</v>
      </c>
      <c r="AN35" s="27">
        <f t="shared" si="17"/>
        <v>8.5583351347474128</v>
      </c>
      <c r="AO35" s="27">
        <f t="shared" si="18"/>
        <v>8.1397322797176699</v>
      </c>
      <c r="AP35" s="27">
        <f t="shared" si="19"/>
        <v>10.651264953747189</v>
      </c>
      <c r="AQ35" s="27">
        <f t="shared" si="20"/>
        <v>11.301537544666871</v>
      </c>
      <c r="AR35" s="27">
        <f t="shared" si="21"/>
        <v>6.8679744089702925</v>
      </c>
      <c r="AS35" s="19"/>
      <c r="AT35" s="29">
        <f t="shared" si="23"/>
        <v>1.0601094143551038E-2</v>
      </c>
      <c r="AU35" s="29">
        <f t="shared" si="24"/>
        <v>1.3525386042422483E-2</v>
      </c>
      <c r="AV35" s="29">
        <f t="shared" si="25"/>
        <v>2.096910507287042E-2</v>
      </c>
      <c r="AW35" s="29">
        <f t="shared" si="26"/>
        <v>2.8441243560862972E-2</v>
      </c>
      <c r="AX35" s="29">
        <f t="shared" si="27"/>
        <v>1.1372374270866459E-2</v>
      </c>
      <c r="AY35" s="29">
        <f t="shared" si="28"/>
        <v>7.4184316475500722E-3</v>
      </c>
      <c r="AZ35" s="29">
        <f t="shared" si="29"/>
        <v>1.7914335028113015E-3</v>
      </c>
      <c r="BA35" s="29">
        <f t="shared" si="30"/>
        <v>1.5194823021497328E-2</v>
      </c>
      <c r="BB35" s="29">
        <f t="shared" si="31"/>
        <v>7.8715312708439455E-3</v>
      </c>
      <c r="BC35" s="29">
        <f t="shared" si="32"/>
        <v>1.2865725898132396E-2</v>
      </c>
      <c r="BD35" s="29">
        <f t="shared" si="33"/>
        <v>1.5710066885413099E-2</v>
      </c>
      <c r="BE35" s="29">
        <f t="shared" si="34"/>
        <v>2.6886482184584004E-2</v>
      </c>
      <c r="BF35" s="29">
        <f t="shared" si="35"/>
        <v>5.6980211146377968E-3</v>
      </c>
      <c r="BG35" s="29">
        <f t="shared" si="36"/>
        <v>8.5184022121307379E-3</v>
      </c>
      <c r="BH35" s="29">
        <f t="shared" si="37"/>
        <v>6.9483399395338097E-3</v>
      </c>
      <c r="BI35" s="29">
        <f t="shared" si="38"/>
        <v>2.0664403716137869E-2</v>
      </c>
      <c r="BJ35" s="29">
        <f t="shared" si="39"/>
        <v>4.424360396011906E-3</v>
      </c>
      <c r="BK35" s="29">
        <f t="shared" si="40"/>
        <v>1.2918558991556139E-2</v>
      </c>
      <c r="BL35" s="29">
        <f t="shared" si="41"/>
        <v>8.390926232918261E-3</v>
      </c>
      <c r="BM35" s="29">
        <f t="shared" si="42"/>
        <v>1.8415257176609856E-2</v>
      </c>
      <c r="BN35" s="29">
        <f t="shared" si="43"/>
        <v>1.6789481476549462E-2</v>
      </c>
      <c r="BO35" s="20"/>
      <c r="BP35" s="19"/>
      <c r="BR35" s="19"/>
      <c r="BS35" s="19"/>
      <c r="BT35" s="19"/>
      <c r="BU35" s="19"/>
      <c r="BW35" s="19"/>
      <c r="BX35" s="20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20"/>
      <c r="CO35" s="19"/>
      <c r="CP35" s="20"/>
      <c r="CQ35" s="19"/>
      <c r="CR35" s="19"/>
      <c r="CS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G35" s="20"/>
      <c r="DH35" s="19"/>
      <c r="DI35" s="19"/>
      <c r="DJ35" s="19"/>
      <c r="DK35" s="19"/>
      <c r="DL35" s="19"/>
      <c r="DM35" s="19"/>
      <c r="DN35" s="19"/>
      <c r="DO35" s="20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20"/>
      <c r="EF35" s="20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20"/>
      <c r="GI35" s="19"/>
      <c r="GJ35" s="22"/>
    </row>
    <row r="36" spans="1:192" x14ac:dyDescent="0.25">
      <c r="A36" s="18">
        <v>1904</v>
      </c>
      <c r="B36" s="19">
        <v>6228</v>
      </c>
      <c r="C36" s="19">
        <v>7086</v>
      </c>
      <c r="D36" s="19">
        <v>19587</v>
      </c>
      <c r="E36" s="19">
        <v>5994</v>
      </c>
      <c r="F36" s="19">
        <v>2681</v>
      </c>
      <c r="G36" s="19">
        <v>2735</v>
      </c>
      <c r="H36" s="19">
        <v>40859</v>
      </c>
      <c r="I36" s="19">
        <v>57806</v>
      </c>
      <c r="J36" s="19">
        <v>34715</v>
      </c>
      <c r="K36" s="19">
        <v>46378</v>
      </c>
      <c r="L36" s="19">
        <v>5470</v>
      </c>
      <c r="M36" s="19">
        <v>893</v>
      </c>
      <c r="N36" s="19">
        <v>2297</v>
      </c>
      <c r="O36" s="19">
        <v>5589</v>
      </c>
      <c r="P36" s="19">
        <v>19050</v>
      </c>
      <c r="Q36" s="19">
        <v>4233</v>
      </c>
      <c r="R36" s="19">
        <v>5241</v>
      </c>
      <c r="S36" s="19">
        <v>3472</v>
      </c>
      <c r="T36" s="19">
        <v>42611</v>
      </c>
      <c r="U36" s="19">
        <v>82485</v>
      </c>
      <c r="V36" s="19">
        <v>977</v>
      </c>
      <c r="W36" s="20"/>
      <c r="X36" s="27">
        <f t="shared" si="1"/>
        <v>8.7368105329538892</v>
      </c>
      <c r="Y36" s="27">
        <f t="shared" si="2"/>
        <v>8.8658762854254167</v>
      </c>
      <c r="Z36" s="27">
        <f t="shared" si="3"/>
        <v>9.8826213598547437</v>
      </c>
      <c r="AA36" s="27">
        <f t="shared" si="4"/>
        <v>8.6985142478766093</v>
      </c>
      <c r="AB36" s="27">
        <f t="shared" si="5"/>
        <v>7.8939451382359591</v>
      </c>
      <c r="AC36" s="27">
        <f t="shared" si="6"/>
        <v>7.9138867148560816</v>
      </c>
      <c r="AD36" s="27">
        <f t="shared" si="7"/>
        <v>10.617882394259105</v>
      </c>
      <c r="AE36" s="27">
        <f t="shared" si="8"/>
        <v>10.964847855501349</v>
      </c>
      <c r="AF36" s="27">
        <f t="shared" si="9"/>
        <v>10.454927149187373</v>
      </c>
      <c r="AG36" s="27">
        <f t="shared" si="10"/>
        <v>10.744580487844381</v>
      </c>
      <c r="AH36" s="27">
        <f t="shared" si="11"/>
        <v>8.607033895416027</v>
      </c>
      <c r="AI36" s="27">
        <f t="shared" si="12"/>
        <v>6.7945865808764987</v>
      </c>
      <c r="AJ36" s="27">
        <f t="shared" si="13"/>
        <v>7.7393592026890978</v>
      </c>
      <c r="AK36" s="27">
        <f t="shared" si="14"/>
        <v>8.6285556592696988</v>
      </c>
      <c r="AL36" s="27">
        <f t="shared" si="15"/>
        <v>9.8548223805548467</v>
      </c>
      <c r="AM36" s="27">
        <f t="shared" si="16"/>
        <v>8.3506662405209244</v>
      </c>
      <c r="AN36" s="27">
        <f t="shared" si="17"/>
        <v>8.5642675988021661</v>
      </c>
      <c r="AO36" s="27">
        <f t="shared" si="18"/>
        <v>8.1524860757802404</v>
      </c>
      <c r="AP36" s="27">
        <f t="shared" si="19"/>
        <v>10.659867714887898</v>
      </c>
      <c r="AQ36" s="27">
        <f t="shared" si="20"/>
        <v>11.320371737610024</v>
      </c>
      <c r="AR36" s="27">
        <f t="shared" si="21"/>
        <v>6.8844866520427823</v>
      </c>
      <c r="AS36" s="19"/>
      <c r="AT36" s="29">
        <f t="shared" si="23"/>
        <v>1.0329336513882126E-2</v>
      </c>
      <c r="AU36" s="29">
        <f t="shared" si="24"/>
        <v>1.2639520679519123E-2</v>
      </c>
      <c r="AV36" s="29">
        <f t="shared" si="25"/>
        <v>2.0998011417313833E-2</v>
      </c>
      <c r="AW36" s="29">
        <f t="shared" si="26"/>
        <v>3.0662180175259124E-2</v>
      </c>
      <c r="AX36" s="29">
        <f t="shared" si="27"/>
        <v>1.049878409821936E-2</v>
      </c>
      <c r="AY36" s="29">
        <f t="shared" si="28"/>
        <v>1.0659906125348506E-2</v>
      </c>
      <c r="AZ36" s="29">
        <f t="shared" si="29"/>
        <v>1.7882300068130519E-3</v>
      </c>
      <c r="BA36" s="29">
        <f t="shared" si="30"/>
        <v>1.4690642263104792E-2</v>
      </c>
      <c r="BB36" s="29">
        <f t="shared" si="31"/>
        <v>8.0693414095271976E-3</v>
      </c>
      <c r="BC36" s="29">
        <f t="shared" si="32"/>
        <v>1.1646321684978034E-2</v>
      </c>
      <c r="BD36" s="29">
        <f t="shared" si="33"/>
        <v>1.4918777482529677E-2</v>
      </c>
      <c r="BE36" s="29">
        <f t="shared" si="34"/>
        <v>2.9547604095957247E-2</v>
      </c>
      <c r="BF36" s="29">
        <f t="shared" si="35"/>
        <v>3.9258501894092745E-3</v>
      </c>
      <c r="BG36" s="29">
        <f t="shared" si="36"/>
        <v>8.625390402348998E-3</v>
      </c>
      <c r="BH36" s="29">
        <f t="shared" si="37"/>
        <v>6.9003934684275237E-3</v>
      </c>
      <c r="BI36" s="29">
        <f t="shared" si="38"/>
        <v>1.8357888301807179E-2</v>
      </c>
      <c r="BJ36" s="29">
        <f t="shared" si="39"/>
        <v>5.9324640547533392E-3</v>
      </c>
      <c r="BK36" s="29">
        <f t="shared" si="40"/>
        <v>1.2753796062570544E-2</v>
      </c>
      <c r="BL36" s="29">
        <f t="shared" si="41"/>
        <v>8.6027611407093474E-3</v>
      </c>
      <c r="BM36" s="29">
        <f t="shared" si="42"/>
        <v>1.8834192943153027E-2</v>
      </c>
      <c r="BN36" s="29">
        <f t="shared" si="43"/>
        <v>1.6512243072489774E-2</v>
      </c>
      <c r="BO36" s="20"/>
      <c r="BP36" s="19"/>
      <c r="BR36" s="19"/>
      <c r="BS36" s="19"/>
      <c r="BT36" s="19"/>
      <c r="BU36" s="19"/>
      <c r="BW36" s="19"/>
      <c r="BX36" s="20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20"/>
      <c r="CO36" s="19"/>
      <c r="CP36" s="20"/>
      <c r="CQ36" s="19"/>
      <c r="CR36" s="19"/>
      <c r="CS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G36" s="20"/>
      <c r="DH36" s="19"/>
      <c r="DI36" s="19"/>
      <c r="DJ36" s="19"/>
      <c r="DK36" s="19"/>
      <c r="DL36" s="19"/>
      <c r="DM36" s="19"/>
      <c r="DN36" s="19"/>
      <c r="DO36" s="20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20"/>
      <c r="EF36" s="20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20"/>
      <c r="GI36" s="19"/>
      <c r="GJ36" s="22"/>
    </row>
    <row r="37" spans="1:192" x14ac:dyDescent="0.25">
      <c r="A37" s="18">
        <v>1905</v>
      </c>
      <c r="B37" s="19">
        <v>6292</v>
      </c>
      <c r="C37" s="19">
        <v>7175</v>
      </c>
      <c r="D37" s="19">
        <v>20003</v>
      </c>
      <c r="E37" s="19">
        <v>6166</v>
      </c>
      <c r="F37" s="19">
        <v>2710</v>
      </c>
      <c r="G37" s="19">
        <v>2762</v>
      </c>
      <c r="H37" s="19">
        <v>40890</v>
      </c>
      <c r="I37" s="19">
        <v>58644</v>
      </c>
      <c r="J37" s="19">
        <v>35011</v>
      </c>
      <c r="K37" s="19">
        <v>46829</v>
      </c>
      <c r="L37" s="19">
        <v>5551</v>
      </c>
      <c r="M37" s="19">
        <v>919</v>
      </c>
      <c r="N37" s="19">
        <v>2309</v>
      </c>
      <c r="O37" s="19">
        <v>5637</v>
      </c>
      <c r="P37" s="19">
        <v>19133</v>
      </c>
      <c r="Q37" s="19">
        <v>4383</v>
      </c>
      <c r="R37" s="19">
        <v>5278</v>
      </c>
      <c r="S37" s="19">
        <v>3461</v>
      </c>
      <c r="T37" s="19">
        <v>42981</v>
      </c>
      <c r="U37" s="19">
        <v>84147</v>
      </c>
      <c r="V37" s="19">
        <v>993</v>
      </c>
      <c r="W37" s="20"/>
      <c r="X37" s="27">
        <f t="shared" si="1"/>
        <v>8.7470342641781684</v>
      </c>
      <c r="Y37" s="27">
        <f t="shared" si="2"/>
        <v>8.8783580406278215</v>
      </c>
      <c r="Z37" s="27">
        <f t="shared" si="3"/>
        <v>9.903637541287253</v>
      </c>
      <c r="AA37" s="27">
        <f t="shared" si="4"/>
        <v>8.7268056084460959</v>
      </c>
      <c r="AB37" s="27">
        <f t="shared" si="5"/>
        <v>7.9047039138737469</v>
      </c>
      <c r="AC37" s="27">
        <f t="shared" si="6"/>
        <v>7.9237103339692379</v>
      </c>
      <c r="AD37" s="27">
        <f t="shared" si="7"/>
        <v>10.618640813358688</v>
      </c>
      <c r="AE37" s="27">
        <f t="shared" si="8"/>
        <v>10.979240547058156</v>
      </c>
      <c r="AF37" s="27">
        <f t="shared" si="9"/>
        <v>10.463417576808427</v>
      </c>
      <c r="AG37" s="27">
        <f t="shared" si="10"/>
        <v>10.754257948116578</v>
      </c>
      <c r="AH37" s="27">
        <f t="shared" si="11"/>
        <v>8.621733370690162</v>
      </c>
      <c r="AI37" s="27">
        <f t="shared" si="12"/>
        <v>6.8232861223556869</v>
      </c>
      <c r="AJ37" s="27">
        <f t="shared" si="13"/>
        <v>7.7445698093544957</v>
      </c>
      <c r="AK37" s="27">
        <f t="shared" si="14"/>
        <v>8.6371072880815749</v>
      </c>
      <c r="AL37" s="27">
        <f t="shared" si="15"/>
        <v>9.8591698718850029</v>
      </c>
      <c r="AM37" s="27">
        <f t="shared" si="16"/>
        <v>8.3854887004188097</v>
      </c>
      <c r="AN37" s="27">
        <f t="shared" si="17"/>
        <v>8.5713025170632697</v>
      </c>
      <c r="AO37" s="27">
        <f t="shared" si="18"/>
        <v>8.1493128436353448</v>
      </c>
      <c r="AP37" s="27">
        <f t="shared" si="19"/>
        <v>10.668513436561481</v>
      </c>
      <c r="AQ37" s="27">
        <f t="shared" si="20"/>
        <v>11.340320548359568</v>
      </c>
      <c r="AR37" s="27">
        <f t="shared" si="21"/>
        <v>6.9007306640451729</v>
      </c>
      <c r="AS37" s="19"/>
      <c r="AT37" s="29">
        <f t="shared" si="23"/>
        <v>1.022373122427922E-2</v>
      </c>
      <c r="AU37" s="29">
        <f t="shared" si="24"/>
        <v>1.2481755202404798E-2</v>
      </c>
      <c r="AV37" s="29">
        <f t="shared" si="25"/>
        <v>2.1016181432509384E-2</v>
      </c>
      <c r="AW37" s="29">
        <f t="shared" si="26"/>
        <v>2.8291360569486557E-2</v>
      </c>
      <c r="AX37" s="29">
        <f t="shared" si="27"/>
        <v>1.0758775637787821E-2</v>
      </c>
      <c r="AY37" s="29">
        <f t="shared" si="28"/>
        <v>9.8236191131562123E-3</v>
      </c>
      <c r="AZ37" s="29">
        <f t="shared" si="29"/>
        <v>7.5841909958285214E-4</v>
      </c>
      <c r="BA37" s="29">
        <f t="shared" si="30"/>
        <v>1.4392691556807335E-2</v>
      </c>
      <c r="BB37" s="29">
        <f t="shared" si="31"/>
        <v>8.4904276210533425E-3</v>
      </c>
      <c r="BC37" s="29">
        <f t="shared" si="32"/>
        <v>9.6774602721971803E-3</v>
      </c>
      <c r="BD37" s="29">
        <f t="shared" si="33"/>
        <v>1.4699475274134954E-2</v>
      </c>
      <c r="BE37" s="29">
        <f t="shared" si="34"/>
        <v>2.8699541479188184E-2</v>
      </c>
      <c r="BF37" s="29">
        <f t="shared" si="35"/>
        <v>5.2106066653978544E-3</v>
      </c>
      <c r="BG37" s="29">
        <f t="shared" si="36"/>
        <v>8.5516288118760997E-3</v>
      </c>
      <c r="BH37" s="29">
        <f t="shared" si="37"/>
        <v>4.3474913301562168E-3</v>
      </c>
      <c r="BI37" s="29">
        <f t="shared" si="38"/>
        <v>3.4822459897885238E-2</v>
      </c>
      <c r="BJ37" s="29">
        <f t="shared" si="39"/>
        <v>7.0349182611035843E-3</v>
      </c>
      <c r="BK37" s="29">
        <f t="shared" si="40"/>
        <v>-3.1732321448956213E-3</v>
      </c>
      <c r="BL37" s="29">
        <f t="shared" si="41"/>
        <v>8.6457216735826847E-3</v>
      </c>
      <c r="BM37" s="29">
        <f t="shared" si="42"/>
        <v>1.9948810749543355E-2</v>
      </c>
      <c r="BN37" s="29">
        <f t="shared" si="43"/>
        <v>1.6244012002390562E-2</v>
      </c>
      <c r="BO37" s="20"/>
      <c r="BP37" s="19"/>
      <c r="BR37" s="19"/>
      <c r="BS37" s="19"/>
      <c r="BT37" s="19"/>
      <c r="BU37" s="19"/>
      <c r="BW37" s="19"/>
      <c r="BX37" s="20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20"/>
      <c r="CO37" s="19"/>
      <c r="CP37" s="20"/>
      <c r="CQ37" s="19"/>
      <c r="CR37" s="19"/>
      <c r="CS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G37" s="20"/>
      <c r="DH37" s="19"/>
      <c r="DI37" s="19"/>
      <c r="DJ37" s="19"/>
      <c r="DK37" s="19"/>
      <c r="DL37" s="19"/>
      <c r="DM37" s="19"/>
      <c r="DN37" s="19"/>
      <c r="DO37" s="20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20"/>
      <c r="EF37" s="20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20"/>
      <c r="GI37" s="19"/>
      <c r="GJ37" s="22"/>
    </row>
    <row r="38" spans="1:192" x14ac:dyDescent="0.25">
      <c r="A38" s="18">
        <v>1906</v>
      </c>
      <c r="B38" s="19">
        <v>6357</v>
      </c>
      <c r="C38" s="19">
        <v>7258</v>
      </c>
      <c r="D38" s="19">
        <v>20427</v>
      </c>
      <c r="E38" s="19">
        <v>6282</v>
      </c>
      <c r="F38" s="19">
        <v>2741</v>
      </c>
      <c r="G38" s="19">
        <v>2788</v>
      </c>
      <c r="H38" s="19">
        <v>40942</v>
      </c>
      <c r="I38" s="19">
        <v>59481</v>
      </c>
      <c r="J38" s="19">
        <v>35297</v>
      </c>
      <c r="K38" s="19">
        <v>47227</v>
      </c>
      <c r="L38" s="19">
        <v>5632</v>
      </c>
      <c r="M38" s="19">
        <v>946</v>
      </c>
      <c r="N38" s="19">
        <v>2319</v>
      </c>
      <c r="O38" s="19">
        <v>5686</v>
      </c>
      <c r="P38" s="19">
        <v>19316</v>
      </c>
      <c r="Q38" s="19">
        <v>4458</v>
      </c>
      <c r="R38" s="19">
        <v>5315</v>
      </c>
      <c r="S38" s="19">
        <v>3560</v>
      </c>
      <c r="T38" s="19">
        <v>43361</v>
      </c>
      <c r="U38" s="19">
        <v>85770</v>
      </c>
      <c r="V38" s="19">
        <v>1009</v>
      </c>
      <c r="W38" s="20"/>
      <c r="X38" s="27">
        <f t="shared" si="1"/>
        <v>8.7573118469364086</v>
      </c>
      <c r="Y38" s="27">
        <f t="shared" si="2"/>
        <v>8.8898595877730155</v>
      </c>
      <c r="Z38" s="27">
        <f t="shared" si="3"/>
        <v>9.9246128341510769</v>
      </c>
      <c r="AA38" s="27">
        <f t="shared" si="4"/>
        <v>8.7454436800985924</v>
      </c>
      <c r="AB38" s="27">
        <f t="shared" si="5"/>
        <v>7.9160780963027859</v>
      </c>
      <c r="AC38" s="27">
        <f t="shared" si="6"/>
        <v>7.9330797718804149</v>
      </c>
      <c r="AD38" s="27">
        <f t="shared" si="7"/>
        <v>10.619911710000567</v>
      </c>
      <c r="AE38" s="27">
        <f t="shared" si="8"/>
        <v>10.993412212806673</v>
      </c>
      <c r="AF38" s="27">
        <f t="shared" si="9"/>
        <v>10.471553253474193</v>
      </c>
      <c r="AG38" s="27">
        <f t="shared" si="10"/>
        <v>10.762721041922928</v>
      </c>
      <c r="AH38" s="27">
        <f t="shared" si="11"/>
        <v>8.6362198978378775</v>
      </c>
      <c r="AI38" s="27">
        <f t="shared" si="12"/>
        <v>6.852242569051878</v>
      </c>
      <c r="AJ38" s="27">
        <f t="shared" si="13"/>
        <v>7.7488913372555315</v>
      </c>
      <c r="AK38" s="27">
        <f t="shared" si="14"/>
        <v>8.6457622922109447</v>
      </c>
      <c r="AL38" s="27">
        <f t="shared" si="15"/>
        <v>9.868689046993433</v>
      </c>
      <c r="AM38" s="27">
        <f t="shared" si="16"/>
        <v>8.4024555139458137</v>
      </c>
      <c r="AN38" s="27">
        <f t="shared" si="17"/>
        <v>8.5782882907760492</v>
      </c>
      <c r="AO38" s="27">
        <f t="shared" si="18"/>
        <v>8.1775158238460754</v>
      </c>
      <c r="AP38" s="27">
        <f t="shared" si="19"/>
        <v>10.677315698578214</v>
      </c>
      <c r="AQ38" s="27">
        <f t="shared" si="20"/>
        <v>11.359424573984468</v>
      </c>
      <c r="AR38" s="27">
        <f t="shared" si="21"/>
        <v>6.9167150203536085</v>
      </c>
      <c r="AS38" s="19"/>
      <c r="AT38" s="29">
        <f t="shared" si="23"/>
        <v>1.02775827582402E-2</v>
      </c>
      <c r="AU38" s="29">
        <f t="shared" si="24"/>
        <v>1.1501547145194024E-2</v>
      </c>
      <c r="AV38" s="29">
        <f t="shared" si="25"/>
        <v>2.0975292863823825E-2</v>
      </c>
      <c r="AW38" s="29">
        <f t="shared" si="26"/>
        <v>1.8638071652496535E-2</v>
      </c>
      <c r="AX38" s="29">
        <f t="shared" si="27"/>
        <v>1.1374182429038981E-2</v>
      </c>
      <c r="AY38" s="29">
        <f t="shared" si="28"/>
        <v>9.3694379111770587E-3</v>
      </c>
      <c r="AZ38" s="29">
        <f t="shared" si="29"/>
        <v>1.2708966418788492E-3</v>
      </c>
      <c r="BA38" s="29">
        <f t="shared" si="30"/>
        <v>1.4171665748516915E-2</v>
      </c>
      <c r="BB38" s="29">
        <f t="shared" si="31"/>
        <v>8.1356766657663115E-3</v>
      </c>
      <c r="BC38" s="29">
        <f t="shared" si="32"/>
        <v>8.4630938063501304E-3</v>
      </c>
      <c r="BD38" s="29">
        <f t="shared" si="33"/>
        <v>1.4486527147715478E-2</v>
      </c>
      <c r="BE38" s="29">
        <f t="shared" si="34"/>
        <v>2.8956446696191129E-2</v>
      </c>
      <c r="BF38" s="29">
        <f t="shared" si="35"/>
        <v>4.3215279010357932E-3</v>
      </c>
      <c r="BG38" s="29">
        <f t="shared" si="36"/>
        <v>8.6550041293698143E-3</v>
      </c>
      <c r="BH38" s="29">
        <f t="shared" si="37"/>
        <v>9.5191751084300336E-3</v>
      </c>
      <c r="BI38" s="29">
        <f t="shared" si="38"/>
        <v>1.6966813527004021E-2</v>
      </c>
      <c r="BJ38" s="29">
        <f t="shared" si="39"/>
        <v>6.9857737127794195E-3</v>
      </c>
      <c r="BK38" s="29">
        <f t="shared" si="40"/>
        <v>2.8202980210730644E-2</v>
      </c>
      <c r="BL38" s="29">
        <f t="shared" si="41"/>
        <v>8.8022620167329535E-3</v>
      </c>
      <c r="BM38" s="29">
        <f t="shared" si="42"/>
        <v>1.910402562489999E-2</v>
      </c>
      <c r="BN38" s="29">
        <f t="shared" si="43"/>
        <v>1.5984356308435643E-2</v>
      </c>
      <c r="BO38" s="20"/>
      <c r="BP38" s="19"/>
      <c r="BR38" s="19"/>
      <c r="BS38" s="19"/>
      <c r="BT38" s="19"/>
      <c r="BU38" s="19"/>
      <c r="BW38" s="19"/>
      <c r="BX38" s="20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20"/>
      <c r="CO38" s="19"/>
      <c r="CP38" s="20"/>
      <c r="CQ38" s="19"/>
      <c r="CR38" s="19"/>
      <c r="CS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G38" s="20"/>
      <c r="DH38" s="19"/>
      <c r="DI38" s="19"/>
      <c r="DJ38" s="19"/>
      <c r="DK38" s="19"/>
      <c r="DL38" s="19"/>
      <c r="DM38" s="19"/>
      <c r="DN38" s="19"/>
      <c r="DO38" s="20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20"/>
      <c r="EF38" s="20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20"/>
      <c r="GI38" s="19"/>
      <c r="GJ38" s="22"/>
    </row>
    <row r="39" spans="1:192" x14ac:dyDescent="0.25">
      <c r="A39" s="18">
        <v>1907</v>
      </c>
      <c r="B39" s="19">
        <v>6421</v>
      </c>
      <c r="C39" s="19">
        <v>7338</v>
      </c>
      <c r="D39" s="19">
        <v>20860</v>
      </c>
      <c r="E39" s="19">
        <v>6596</v>
      </c>
      <c r="F39" s="19">
        <v>2775</v>
      </c>
      <c r="G39" s="19">
        <v>2821</v>
      </c>
      <c r="H39" s="19">
        <v>40942</v>
      </c>
      <c r="I39" s="19">
        <v>60341</v>
      </c>
      <c r="J39" s="19">
        <v>35594</v>
      </c>
      <c r="K39" s="19">
        <v>47691</v>
      </c>
      <c r="L39" s="19">
        <v>5710</v>
      </c>
      <c r="M39" s="19">
        <v>969</v>
      </c>
      <c r="N39" s="19">
        <v>2329</v>
      </c>
      <c r="O39" s="19">
        <v>5735</v>
      </c>
      <c r="P39" s="19">
        <v>19450</v>
      </c>
      <c r="Q39" s="19">
        <v>4467</v>
      </c>
      <c r="R39" s="19">
        <v>5357</v>
      </c>
      <c r="S39" s="19">
        <v>3604</v>
      </c>
      <c r="T39" s="19">
        <v>43737</v>
      </c>
      <c r="U39" s="19">
        <v>87339</v>
      </c>
      <c r="V39" s="19">
        <v>1026</v>
      </c>
      <c r="W39" s="20"/>
      <c r="X39" s="27">
        <f t="shared" si="1"/>
        <v>8.7673291477940491</v>
      </c>
      <c r="Y39" s="27">
        <f t="shared" si="2"/>
        <v>8.9008216049152278</v>
      </c>
      <c r="Z39" s="27">
        <f t="shared" si="3"/>
        <v>9.9455887285547639</v>
      </c>
      <c r="AA39" s="27">
        <f t="shared" si="4"/>
        <v>8.7942186836794889</v>
      </c>
      <c r="AB39" s="27">
        <f t="shared" si="5"/>
        <v>7.9284060261805349</v>
      </c>
      <c r="AC39" s="27">
        <f t="shared" si="6"/>
        <v>7.944846711001996</v>
      </c>
      <c r="AD39" s="27">
        <f t="shared" si="7"/>
        <v>10.619911710000567</v>
      </c>
      <c r="AE39" s="27">
        <f t="shared" si="8"/>
        <v>11.007767085330117</v>
      </c>
      <c r="AF39" s="27">
        <f t="shared" si="9"/>
        <v>10.479932363309931</v>
      </c>
      <c r="AG39" s="27">
        <f t="shared" si="10"/>
        <v>10.772497979828982</v>
      </c>
      <c r="AH39" s="27">
        <f t="shared" si="11"/>
        <v>8.6499743026500564</v>
      </c>
      <c r="AI39" s="27">
        <f t="shared" si="12"/>
        <v>6.8762646118907664</v>
      </c>
      <c r="AJ39" s="27">
        <f t="shared" si="13"/>
        <v>7.7531942698843412</v>
      </c>
      <c r="AK39" s="27">
        <f t="shared" si="14"/>
        <v>8.6543430295634707</v>
      </c>
      <c r="AL39" s="27">
        <f t="shared" si="15"/>
        <v>9.8756023490465932</v>
      </c>
      <c r="AM39" s="27">
        <f t="shared" si="16"/>
        <v>8.4044723213521184</v>
      </c>
      <c r="AN39" s="27">
        <f t="shared" si="17"/>
        <v>8.5861593958809603</v>
      </c>
      <c r="AO39" s="27">
        <f t="shared" si="18"/>
        <v>8.1897996187282285</v>
      </c>
      <c r="AP39" s="27">
        <f t="shared" si="19"/>
        <v>10.685949704772932</v>
      </c>
      <c r="AQ39" s="27">
        <f t="shared" si="20"/>
        <v>11.377552377466335</v>
      </c>
      <c r="AR39" s="27">
        <f t="shared" si="21"/>
        <v>6.9334230257307148</v>
      </c>
      <c r="AS39" s="19"/>
      <c r="AT39" s="29">
        <f t="shared" si="23"/>
        <v>1.0017300857640521E-2</v>
      </c>
      <c r="AU39" s="29">
        <f t="shared" si="24"/>
        <v>1.0962017142212233E-2</v>
      </c>
      <c r="AV39" s="29">
        <f t="shared" si="25"/>
        <v>2.0975894403687079E-2</v>
      </c>
      <c r="AW39" s="29">
        <f t="shared" si="26"/>
        <v>4.8775003580896481E-2</v>
      </c>
      <c r="AX39" s="29">
        <f t="shared" si="27"/>
        <v>1.2327929877749E-2</v>
      </c>
      <c r="AY39" s="29">
        <f t="shared" si="28"/>
        <v>1.176693912158111E-2</v>
      </c>
      <c r="AZ39" s="29">
        <f t="shared" si="29"/>
        <v>0</v>
      </c>
      <c r="BA39" s="29">
        <f t="shared" si="30"/>
        <v>1.4354872523444584E-2</v>
      </c>
      <c r="BB39" s="29">
        <f t="shared" si="31"/>
        <v>8.3791098357384186E-3</v>
      </c>
      <c r="BC39" s="29">
        <f t="shared" si="32"/>
        <v>9.7769379060537176E-3</v>
      </c>
      <c r="BD39" s="29">
        <f t="shared" si="33"/>
        <v>1.3754404812178933E-2</v>
      </c>
      <c r="BE39" s="29">
        <f t="shared" si="34"/>
        <v>2.4022042838888424E-2</v>
      </c>
      <c r="BF39" s="29">
        <f t="shared" si="35"/>
        <v>4.3029326288097636E-3</v>
      </c>
      <c r="BG39" s="29">
        <f t="shared" si="36"/>
        <v>8.5807373525259578E-3</v>
      </c>
      <c r="BH39" s="29">
        <f t="shared" si="37"/>
        <v>6.9133020531602085E-3</v>
      </c>
      <c r="BI39" s="29">
        <f t="shared" si="38"/>
        <v>2.0168074063047214E-3</v>
      </c>
      <c r="BJ39" s="29">
        <f t="shared" si="39"/>
        <v>7.8711051049111802E-3</v>
      </c>
      <c r="BK39" s="29">
        <f t="shared" si="40"/>
        <v>1.2283794882153032E-2</v>
      </c>
      <c r="BL39" s="29">
        <f t="shared" si="41"/>
        <v>8.6340061947183244E-3</v>
      </c>
      <c r="BM39" s="29">
        <f t="shared" si="42"/>
        <v>1.8127803481867488E-2</v>
      </c>
      <c r="BN39" s="29">
        <f t="shared" si="43"/>
        <v>1.6708005377106261E-2</v>
      </c>
      <c r="BO39" s="20"/>
      <c r="BP39" s="19"/>
      <c r="BR39" s="19"/>
      <c r="BS39" s="19"/>
      <c r="BT39" s="19"/>
      <c r="BU39" s="19"/>
      <c r="BW39" s="19"/>
      <c r="BX39" s="20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20"/>
      <c r="CO39" s="19"/>
      <c r="CP39" s="20"/>
      <c r="CQ39" s="19"/>
      <c r="CR39" s="19"/>
      <c r="CS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G39" s="20"/>
      <c r="DH39" s="19"/>
      <c r="DI39" s="19"/>
      <c r="DJ39" s="19"/>
      <c r="DK39" s="19"/>
      <c r="DL39" s="19"/>
      <c r="DM39" s="19"/>
      <c r="DN39" s="19"/>
      <c r="DO39" s="20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20"/>
      <c r="EF39" s="20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20"/>
      <c r="GI39" s="19"/>
      <c r="GJ39" s="22"/>
    </row>
    <row r="40" spans="1:192" x14ac:dyDescent="0.25">
      <c r="A40" s="18">
        <v>1908</v>
      </c>
      <c r="B40" s="19">
        <v>6485</v>
      </c>
      <c r="C40" s="19">
        <v>7411</v>
      </c>
      <c r="D40" s="19">
        <v>21303</v>
      </c>
      <c r="E40" s="19">
        <v>6813</v>
      </c>
      <c r="F40" s="19">
        <v>2809</v>
      </c>
      <c r="G40" s="19">
        <v>2861</v>
      </c>
      <c r="H40" s="19">
        <v>41046</v>
      </c>
      <c r="I40" s="19">
        <v>61187</v>
      </c>
      <c r="J40" s="19">
        <v>35899</v>
      </c>
      <c r="K40" s="19">
        <v>48260</v>
      </c>
      <c r="L40" s="19">
        <v>5786</v>
      </c>
      <c r="M40" s="19">
        <v>996</v>
      </c>
      <c r="N40" s="19">
        <v>2346</v>
      </c>
      <c r="O40" s="19">
        <v>5784</v>
      </c>
      <c r="P40" s="19">
        <v>19585</v>
      </c>
      <c r="Q40" s="19">
        <v>4520</v>
      </c>
      <c r="R40" s="19">
        <v>5404</v>
      </c>
      <c r="S40" s="19">
        <v>3647</v>
      </c>
      <c r="T40" s="19">
        <v>44124</v>
      </c>
      <c r="U40" s="19">
        <v>89055</v>
      </c>
      <c r="V40" s="19">
        <v>1043</v>
      </c>
      <c r="W40" s="20"/>
      <c r="X40" s="27">
        <f t="shared" si="1"/>
        <v>8.7772470967505445</v>
      </c>
      <c r="Y40" s="27">
        <f t="shared" si="2"/>
        <v>8.910720661951359</v>
      </c>
      <c r="Z40" s="27">
        <f t="shared" si="3"/>
        <v>9.9666031868502039</v>
      </c>
      <c r="AA40" s="27">
        <f t="shared" si="4"/>
        <v>8.8265878307736685</v>
      </c>
      <c r="AB40" s="27">
        <f t="shared" si="5"/>
        <v>7.9405838271042439</v>
      </c>
      <c r="AC40" s="27">
        <f t="shared" si="6"/>
        <v>7.95892649305011</v>
      </c>
      <c r="AD40" s="27">
        <f t="shared" si="7"/>
        <v>10.622448667989053</v>
      </c>
      <c r="AE40" s="27">
        <f t="shared" si="8"/>
        <v>11.021690027635801</v>
      </c>
      <c r="AF40" s="27">
        <f t="shared" si="9"/>
        <v>10.488464718935205</v>
      </c>
      <c r="AG40" s="27">
        <f t="shared" si="10"/>
        <v>10.784358339179022</v>
      </c>
      <c r="AH40" s="27">
        <f t="shared" si="11"/>
        <v>8.6631964855360799</v>
      </c>
      <c r="AI40" s="27">
        <f t="shared" si="12"/>
        <v>6.9037472575845982</v>
      </c>
      <c r="AJ40" s="27">
        <f t="shared" si="13"/>
        <v>7.7604670292134204</v>
      </c>
      <c r="AK40" s="27">
        <f t="shared" si="14"/>
        <v>8.6628507638386001</v>
      </c>
      <c r="AL40" s="27">
        <f t="shared" si="15"/>
        <v>9.8825192460999318</v>
      </c>
      <c r="AM40" s="27">
        <f t="shared" si="16"/>
        <v>8.4162672728262766</v>
      </c>
      <c r="AN40" s="27">
        <f t="shared" si="17"/>
        <v>8.5948946990800899</v>
      </c>
      <c r="AO40" s="27">
        <f t="shared" si="18"/>
        <v>8.2016601908086795</v>
      </c>
      <c r="AP40" s="27">
        <f t="shared" si="19"/>
        <v>10.694759131089272</v>
      </c>
      <c r="AQ40" s="27">
        <f t="shared" si="20"/>
        <v>11.397009435372885</v>
      </c>
      <c r="AR40" s="27">
        <f t="shared" si="21"/>
        <v>6.9498564550007726</v>
      </c>
      <c r="AS40" s="19"/>
      <c r="AT40" s="29">
        <f t="shared" si="23"/>
        <v>9.9179489564953371E-3</v>
      </c>
      <c r="AU40" s="29">
        <f t="shared" si="24"/>
        <v>9.8990570361312535E-3</v>
      </c>
      <c r="AV40" s="29">
        <f t="shared" si="25"/>
        <v>2.1014458295439908E-2</v>
      </c>
      <c r="AW40" s="29">
        <f t="shared" si="26"/>
        <v>3.2369147094179596E-2</v>
      </c>
      <c r="AX40" s="29">
        <f t="shared" si="27"/>
        <v>1.2177800923709015E-2</v>
      </c>
      <c r="AY40" s="29">
        <f t="shared" si="28"/>
        <v>1.4079782048113998E-2</v>
      </c>
      <c r="AZ40" s="29">
        <f t="shared" si="29"/>
        <v>2.5369579884859661E-3</v>
      </c>
      <c r="BA40" s="29">
        <f t="shared" si="30"/>
        <v>1.392294230568325E-2</v>
      </c>
      <c r="BB40" s="29">
        <f t="shared" si="31"/>
        <v>8.5323556252738797E-3</v>
      </c>
      <c r="BC40" s="29">
        <f t="shared" si="32"/>
        <v>1.1860359350039928E-2</v>
      </c>
      <c r="BD40" s="29">
        <f t="shared" si="33"/>
        <v>1.3222182886023504E-2</v>
      </c>
      <c r="BE40" s="29">
        <f t="shared" si="34"/>
        <v>2.7482645693831742E-2</v>
      </c>
      <c r="BF40" s="29">
        <f t="shared" si="35"/>
        <v>7.2727593290791148E-3</v>
      </c>
      <c r="BG40" s="29">
        <f t="shared" si="36"/>
        <v>8.5077342751294083E-3</v>
      </c>
      <c r="BH40" s="29">
        <f t="shared" si="37"/>
        <v>6.9168970533386442E-3</v>
      </c>
      <c r="BI40" s="29">
        <f t="shared" si="38"/>
        <v>1.1794951474158211E-2</v>
      </c>
      <c r="BJ40" s="29">
        <f t="shared" si="39"/>
        <v>8.7353031991295182E-3</v>
      </c>
      <c r="BK40" s="29">
        <f t="shared" si="40"/>
        <v>1.1860572080450993E-2</v>
      </c>
      <c r="BL40" s="29">
        <f t="shared" si="41"/>
        <v>8.8094263163398523E-3</v>
      </c>
      <c r="BM40" s="29">
        <f t="shared" si="42"/>
        <v>1.9457057906549835E-2</v>
      </c>
      <c r="BN40" s="29">
        <f t="shared" si="43"/>
        <v>1.6433429270057864E-2</v>
      </c>
      <c r="BO40" s="20"/>
      <c r="BP40" s="19"/>
      <c r="BR40" s="19"/>
      <c r="BS40" s="19"/>
      <c r="BT40" s="19"/>
      <c r="BU40" s="19"/>
      <c r="BW40" s="19"/>
      <c r="BX40" s="20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20"/>
      <c r="CO40" s="19"/>
      <c r="CP40" s="20"/>
      <c r="CQ40" s="19"/>
      <c r="CR40" s="19"/>
      <c r="CS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G40" s="20"/>
      <c r="DH40" s="19"/>
      <c r="DI40" s="19"/>
      <c r="DJ40" s="19"/>
      <c r="DK40" s="19"/>
      <c r="DL40" s="19"/>
      <c r="DM40" s="19"/>
      <c r="DN40" s="19"/>
      <c r="DO40" s="20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20"/>
      <c r="EF40" s="20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20"/>
      <c r="GI40" s="19"/>
      <c r="GJ40" s="22"/>
    </row>
    <row r="41" spans="1:192" x14ac:dyDescent="0.25">
      <c r="A41" s="18">
        <v>1909</v>
      </c>
      <c r="B41" s="19">
        <v>6550</v>
      </c>
      <c r="C41" s="19">
        <v>7478</v>
      </c>
      <c r="D41" s="19">
        <v>21754</v>
      </c>
      <c r="E41" s="19">
        <v>6993</v>
      </c>
      <c r="F41" s="19">
        <v>2845</v>
      </c>
      <c r="G41" s="19">
        <v>2899</v>
      </c>
      <c r="H41" s="19">
        <v>41109</v>
      </c>
      <c r="I41" s="19">
        <v>62038</v>
      </c>
      <c r="J41" s="19">
        <v>36213</v>
      </c>
      <c r="K41" s="19">
        <v>48869</v>
      </c>
      <c r="L41" s="19">
        <v>5862</v>
      </c>
      <c r="M41" s="19">
        <v>1024</v>
      </c>
      <c r="N41" s="19">
        <v>2367</v>
      </c>
      <c r="O41" s="19">
        <v>5834</v>
      </c>
      <c r="P41" s="19">
        <v>19721</v>
      </c>
      <c r="Q41" s="19">
        <v>4585</v>
      </c>
      <c r="R41" s="19">
        <v>5453</v>
      </c>
      <c r="S41" s="19">
        <v>3691</v>
      </c>
      <c r="T41" s="19">
        <v>44520</v>
      </c>
      <c r="U41" s="19">
        <v>90845</v>
      </c>
      <c r="V41" s="19">
        <v>1062</v>
      </c>
      <c r="W41" s="20"/>
      <c r="X41" s="27">
        <f t="shared" si="1"/>
        <v>8.7872203286292976</v>
      </c>
      <c r="Y41" s="27">
        <f t="shared" si="2"/>
        <v>8.9197206555370592</v>
      </c>
      <c r="Z41" s="27">
        <f t="shared" si="3"/>
        <v>9.9875529276537964</v>
      </c>
      <c r="AA41" s="27">
        <f t="shared" si="4"/>
        <v>8.8526649277038665</v>
      </c>
      <c r="AB41" s="27">
        <f t="shared" si="5"/>
        <v>7.9533183465604314</v>
      </c>
      <c r="AC41" s="27">
        <f t="shared" si="6"/>
        <v>7.9721211289216551</v>
      </c>
      <c r="AD41" s="27">
        <f t="shared" si="7"/>
        <v>10.623982354614311</v>
      </c>
      <c r="AE41" s="27">
        <f t="shared" si="8"/>
        <v>11.035502379504564</v>
      </c>
      <c r="AF41" s="27">
        <f t="shared" si="9"/>
        <v>10.497173449369237</v>
      </c>
      <c r="AG41" s="27">
        <f t="shared" si="10"/>
        <v>10.796898527603441</v>
      </c>
      <c r="AH41" s="27">
        <f t="shared" si="11"/>
        <v>8.6762461212708377</v>
      </c>
      <c r="AI41" s="27">
        <f t="shared" si="12"/>
        <v>6.9314718055994531</v>
      </c>
      <c r="AJ41" s="27">
        <f t="shared" si="13"/>
        <v>7.7693786095139838</v>
      </c>
      <c r="AK41" s="27">
        <f t="shared" si="14"/>
        <v>8.6714581504276662</v>
      </c>
      <c r="AL41" s="27">
        <f t="shared" si="15"/>
        <v>9.889439336810069</v>
      </c>
      <c r="AM41" s="27">
        <f t="shared" si="16"/>
        <v>8.430545384690566</v>
      </c>
      <c r="AN41" s="27">
        <f t="shared" si="17"/>
        <v>8.6039211949260608</v>
      </c>
      <c r="AO41" s="27">
        <f t="shared" si="18"/>
        <v>8.2136527030299984</v>
      </c>
      <c r="AP41" s="27">
        <f t="shared" si="19"/>
        <v>10.703693805389481</v>
      </c>
      <c r="AQ41" s="27">
        <f t="shared" si="20"/>
        <v>11.416910036536541</v>
      </c>
      <c r="AR41" s="27">
        <f t="shared" si="21"/>
        <v>6.9679092018018842</v>
      </c>
      <c r="AS41" s="19"/>
      <c r="AT41" s="29">
        <f t="shared" si="23"/>
        <v>9.9732318787530971E-3</v>
      </c>
      <c r="AU41" s="29">
        <f t="shared" si="24"/>
        <v>8.999993585700139E-3</v>
      </c>
      <c r="AV41" s="29">
        <f t="shared" si="25"/>
        <v>2.0949740803592576E-2</v>
      </c>
      <c r="AW41" s="29">
        <f t="shared" si="26"/>
        <v>2.6077096930197996E-2</v>
      </c>
      <c r="AX41" s="29">
        <f t="shared" si="27"/>
        <v>1.2734519456187421E-2</v>
      </c>
      <c r="AY41" s="29">
        <f t="shared" si="28"/>
        <v>1.3194635871545124E-2</v>
      </c>
      <c r="AZ41" s="29">
        <f t="shared" si="29"/>
        <v>1.5336866252582126E-3</v>
      </c>
      <c r="BA41" s="29">
        <f t="shared" si="30"/>
        <v>1.3812351868763173E-2</v>
      </c>
      <c r="BB41" s="29">
        <f t="shared" si="31"/>
        <v>8.7087304340318639E-3</v>
      </c>
      <c r="BC41" s="29">
        <f t="shared" si="32"/>
        <v>1.254018842441873E-2</v>
      </c>
      <c r="BD41" s="29">
        <f t="shared" si="33"/>
        <v>1.3049635734757814E-2</v>
      </c>
      <c r="BE41" s="29">
        <f t="shared" si="34"/>
        <v>2.7724548014854911E-2</v>
      </c>
      <c r="BF41" s="29">
        <f t="shared" si="35"/>
        <v>8.911580300563493E-3</v>
      </c>
      <c r="BG41" s="29">
        <f t="shared" si="36"/>
        <v>8.6073865890661239E-3</v>
      </c>
      <c r="BH41" s="29">
        <f t="shared" si="37"/>
        <v>6.9200907101372167E-3</v>
      </c>
      <c r="BI41" s="29">
        <f t="shared" si="38"/>
        <v>1.42781118642894E-2</v>
      </c>
      <c r="BJ41" s="29">
        <f t="shared" si="39"/>
        <v>9.0264958459709277E-3</v>
      </c>
      <c r="BK41" s="29">
        <f t="shared" si="40"/>
        <v>1.1992512221318918E-2</v>
      </c>
      <c r="BL41" s="29">
        <f t="shared" si="41"/>
        <v>8.934674300208556E-3</v>
      </c>
      <c r="BM41" s="29">
        <f t="shared" si="42"/>
        <v>1.9900601163655551E-2</v>
      </c>
      <c r="BN41" s="29">
        <f t="shared" si="43"/>
        <v>1.8052746801111574E-2</v>
      </c>
      <c r="BO41" s="20"/>
      <c r="BP41" s="19"/>
      <c r="BR41" s="19"/>
      <c r="BS41" s="19"/>
      <c r="BT41" s="19"/>
      <c r="BU41" s="19"/>
      <c r="BW41" s="19"/>
      <c r="BX41" s="20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20"/>
      <c r="CO41" s="19"/>
      <c r="CP41" s="20"/>
      <c r="CQ41" s="19"/>
      <c r="CR41" s="19"/>
      <c r="CS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G41" s="20"/>
      <c r="DH41" s="19"/>
      <c r="DI41" s="19"/>
      <c r="DJ41" s="19"/>
      <c r="DK41" s="19"/>
      <c r="DL41" s="19"/>
      <c r="DM41" s="19"/>
      <c r="DN41" s="19"/>
      <c r="DO41" s="20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20"/>
      <c r="EF41" s="20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20"/>
      <c r="GI41" s="19"/>
      <c r="GJ41" s="22"/>
    </row>
    <row r="42" spans="1:192" x14ac:dyDescent="0.25">
      <c r="A42" s="18">
        <v>1910</v>
      </c>
      <c r="B42" s="19">
        <v>6614</v>
      </c>
      <c r="C42" s="19">
        <v>7498</v>
      </c>
      <c r="D42" s="19">
        <v>22216</v>
      </c>
      <c r="E42" s="19">
        <v>7188</v>
      </c>
      <c r="F42" s="19">
        <v>2882</v>
      </c>
      <c r="G42" s="19">
        <v>2929</v>
      </c>
      <c r="H42" s="19">
        <v>41224</v>
      </c>
      <c r="I42" s="19">
        <v>62884</v>
      </c>
      <c r="J42" s="19">
        <v>36572</v>
      </c>
      <c r="K42" s="19">
        <v>49518</v>
      </c>
      <c r="L42" s="19">
        <v>5922</v>
      </c>
      <c r="M42" s="19">
        <v>1045</v>
      </c>
      <c r="N42" s="19">
        <v>2384</v>
      </c>
      <c r="O42" s="19">
        <v>5884</v>
      </c>
      <c r="P42" s="19">
        <v>19858</v>
      </c>
      <c r="Q42" s="19">
        <v>4668</v>
      </c>
      <c r="R42" s="19">
        <v>5499</v>
      </c>
      <c r="S42" s="19">
        <v>3735</v>
      </c>
      <c r="T42" s="19">
        <v>44916</v>
      </c>
      <c r="U42" s="19">
        <v>92767</v>
      </c>
      <c r="V42" s="19">
        <v>1081</v>
      </c>
      <c r="W42" s="20"/>
      <c r="X42" s="27">
        <f t="shared" si="1"/>
        <v>8.7969438935417372</v>
      </c>
      <c r="Y42" s="27">
        <f t="shared" si="2"/>
        <v>8.9223915972958565</v>
      </c>
      <c r="Z42" s="27">
        <f t="shared" si="3"/>
        <v>10.008568028986636</v>
      </c>
      <c r="AA42" s="27">
        <f t="shared" si="4"/>
        <v>8.8801682479034501</v>
      </c>
      <c r="AB42" s="27">
        <f t="shared" si="5"/>
        <v>7.9662397765594672</v>
      </c>
      <c r="AC42" s="27">
        <f t="shared" si="6"/>
        <v>7.9824163468277334</v>
      </c>
      <c r="AD42" s="27">
        <f t="shared" si="7"/>
        <v>10.62677589000806</v>
      </c>
      <c r="AE42" s="27">
        <f t="shared" si="8"/>
        <v>11.049047038311404</v>
      </c>
      <c r="AF42" s="27">
        <f t="shared" si="9"/>
        <v>10.507038199284317</v>
      </c>
      <c r="AG42" s="27">
        <f t="shared" si="10"/>
        <v>10.810091518820739</v>
      </c>
      <c r="AH42" s="27">
        <f t="shared" si="11"/>
        <v>8.6864295086615364</v>
      </c>
      <c r="AI42" s="27">
        <f t="shared" si="12"/>
        <v>6.9517721643989114</v>
      </c>
      <c r="AJ42" s="27">
        <f t="shared" si="13"/>
        <v>7.7765350281852408</v>
      </c>
      <c r="AK42" s="27">
        <f t="shared" si="14"/>
        <v>8.6799920817213287</v>
      </c>
      <c r="AL42" s="27">
        <f t="shared" si="15"/>
        <v>9.8963622275935386</v>
      </c>
      <c r="AM42" s="27">
        <f t="shared" si="16"/>
        <v>8.4484859934064467</v>
      </c>
      <c r="AN42" s="27">
        <f t="shared" si="17"/>
        <v>8.6123215365078138</v>
      </c>
      <c r="AO42" s="27">
        <f t="shared" si="18"/>
        <v>8.2255030975669179</v>
      </c>
      <c r="AP42" s="27">
        <f t="shared" si="19"/>
        <v>10.71254935769243</v>
      </c>
      <c r="AQ42" s="27">
        <f t="shared" si="20"/>
        <v>11.437846252084118</v>
      </c>
      <c r="AR42" s="27">
        <f t="shared" si="21"/>
        <v>6.9856418176392081</v>
      </c>
      <c r="AS42" s="19"/>
      <c r="AT42" s="29">
        <f t="shared" si="23"/>
        <v>9.7235649124396417E-3</v>
      </c>
      <c r="AU42" s="29">
        <f t="shared" si="24"/>
        <v>2.6709417587973405E-3</v>
      </c>
      <c r="AV42" s="29">
        <f t="shared" si="25"/>
        <v>2.1015101332839237E-2</v>
      </c>
      <c r="AW42" s="29">
        <f t="shared" si="26"/>
        <v>2.750332019958357E-2</v>
      </c>
      <c r="AX42" s="29">
        <f t="shared" si="27"/>
        <v>1.2921429999035894E-2</v>
      </c>
      <c r="AY42" s="29">
        <f t="shared" si="28"/>
        <v>1.0295217906078236E-2</v>
      </c>
      <c r="AZ42" s="29">
        <f t="shared" si="29"/>
        <v>2.7935353937493801E-3</v>
      </c>
      <c r="BA42" s="29">
        <f t="shared" si="30"/>
        <v>1.3544658806839749E-2</v>
      </c>
      <c r="BB42" s="29">
        <f t="shared" si="31"/>
        <v>9.8647499150796847E-3</v>
      </c>
      <c r="BC42" s="29">
        <f t="shared" si="32"/>
        <v>1.3192991217298555E-2</v>
      </c>
      <c r="BD42" s="29">
        <f t="shared" si="33"/>
        <v>1.0183387390698684E-2</v>
      </c>
      <c r="BE42" s="29">
        <f t="shared" si="34"/>
        <v>2.0300358799458351E-2</v>
      </c>
      <c r="BF42" s="29">
        <f t="shared" si="35"/>
        <v>7.1564186712569366E-3</v>
      </c>
      <c r="BG42" s="29">
        <f t="shared" si="36"/>
        <v>8.5339312936625333E-3</v>
      </c>
      <c r="BH42" s="29">
        <f t="shared" si="37"/>
        <v>6.9228907834695264E-3</v>
      </c>
      <c r="BI42" s="29">
        <f t="shared" si="38"/>
        <v>1.7940608715880657E-2</v>
      </c>
      <c r="BJ42" s="29">
        <f t="shared" si="39"/>
        <v>8.400341581753068E-3</v>
      </c>
      <c r="BK42" s="29">
        <f t="shared" si="40"/>
        <v>1.1850394536919495E-2</v>
      </c>
      <c r="BL42" s="29">
        <f t="shared" si="41"/>
        <v>8.8555523029487659E-3</v>
      </c>
      <c r="BM42" s="29">
        <f t="shared" si="42"/>
        <v>2.0936215547576964E-2</v>
      </c>
      <c r="BN42" s="29">
        <f t="shared" si="43"/>
        <v>1.7732615837323884E-2</v>
      </c>
      <c r="BO42" s="20"/>
      <c r="BP42" s="19"/>
      <c r="BR42" s="19"/>
      <c r="BS42" s="19"/>
      <c r="BT42" s="19"/>
      <c r="BU42" s="19"/>
      <c r="BW42" s="19"/>
      <c r="BX42" s="20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20"/>
      <c r="CO42" s="19"/>
      <c r="CP42" s="20"/>
      <c r="CQ42" s="19"/>
      <c r="CR42" s="19"/>
      <c r="CS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G42" s="20"/>
      <c r="DH42" s="19"/>
      <c r="DI42" s="19"/>
      <c r="DJ42" s="19"/>
      <c r="DK42" s="19"/>
      <c r="DL42" s="19"/>
      <c r="DM42" s="19"/>
      <c r="DN42" s="19"/>
      <c r="DO42" s="20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20"/>
      <c r="EF42" s="20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20"/>
      <c r="GI42" s="19"/>
      <c r="GJ42" s="22"/>
    </row>
    <row r="43" spans="1:192" x14ac:dyDescent="0.25">
      <c r="A43" s="18">
        <v>1911</v>
      </c>
      <c r="B43" s="19">
        <v>6669</v>
      </c>
      <c r="C43" s="19">
        <v>7517</v>
      </c>
      <c r="D43" s="19">
        <v>22687</v>
      </c>
      <c r="E43" s="19">
        <v>7410</v>
      </c>
      <c r="F43" s="19">
        <v>2917</v>
      </c>
      <c r="G43" s="19">
        <v>2962</v>
      </c>
      <c r="H43" s="19">
        <v>41307</v>
      </c>
      <c r="I43" s="19">
        <v>63852</v>
      </c>
      <c r="J43" s="19">
        <v>36917</v>
      </c>
      <c r="K43" s="19">
        <v>50215</v>
      </c>
      <c r="L43" s="19">
        <v>5984</v>
      </c>
      <c r="M43" s="19">
        <v>1067</v>
      </c>
      <c r="N43" s="19">
        <v>2401</v>
      </c>
      <c r="O43" s="19">
        <v>5935</v>
      </c>
      <c r="P43" s="19">
        <v>19994</v>
      </c>
      <c r="Q43" s="19">
        <v>4757</v>
      </c>
      <c r="R43" s="19">
        <v>5542</v>
      </c>
      <c r="S43" s="19">
        <v>3776</v>
      </c>
      <c r="T43" s="19">
        <v>45268</v>
      </c>
      <c r="U43" s="19">
        <v>94234</v>
      </c>
      <c r="V43" s="19">
        <v>1112</v>
      </c>
      <c r="W43" s="20"/>
      <c r="X43" s="27">
        <f t="shared" si="1"/>
        <v>8.8052252026323057</v>
      </c>
      <c r="Y43" s="27">
        <f t="shared" si="2"/>
        <v>8.9249224011774686</v>
      </c>
      <c r="Z43" s="27">
        <f t="shared" si="3"/>
        <v>10.029547352196861</v>
      </c>
      <c r="AA43" s="27">
        <f t="shared" si="4"/>
        <v>8.9105857182901325</v>
      </c>
      <c r="AB43" s="27">
        <f t="shared" si="5"/>
        <v>7.9783109698677217</v>
      </c>
      <c r="AC43" s="27">
        <f t="shared" si="6"/>
        <v>7.9936199948277444</v>
      </c>
      <c r="AD43" s="27">
        <f t="shared" si="7"/>
        <v>10.628787256112481</v>
      </c>
      <c r="AE43" s="27">
        <f t="shared" si="8"/>
        <v>11.064323184384369</v>
      </c>
      <c r="AF43" s="27">
        <f t="shared" si="9"/>
        <v>10.51642742854388</v>
      </c>
      <c r="AG43" s="27">
        <f t="shared" si="10"/>
        <v>10.824069065827439</v>
      </c>
      <c r="AH43" s="27">
        <f t="shared" si="11"/>
        <v>8.6968445196543129</v>
      </c>
      <c r="AI43" s="27">
        <f t="shared" si="12"/>
        <v>6.9726062513017535</v>
      </c>
      <c r="AJ43" s="27">
        <f t="shared" si="13"/>
        <v>7.7836405962212529</v>
      </c>
      <c r="AK43" s="27">
        <f t="shared" si="14"/>
        <v>8.6886223070437687</v>
      </c>
      <c r="AL43" s="27">
        <f t="shared" si="15"/>
        <v>9.9031875075271252</v>
      </c>
      <c r="AM43" s="27">
        <f t="shared" si="16"/>
        <v>8.4673724964322812</v>
      </c>
      <c r="AN43" s="27">
        <f t="shared" si="17"/>
        <v>8.6201107254229239</v>
      </c>
      <c r="AO43" s="27">
        <f t="shared" si="18"/>
        <v>8.2364205272653912</v>
      </c>
      <c r="AP43" s="27">
        <f t="shared" si="19"/>
        <v>10.720355660085833</v>
      </c>
      <c r="AQ43" s="27">
        <f t="shared" si="20"/>
        <v>11.453536329625972</v>
      </c>
      <c r="AR43" s="27">
        <f t="shared" si="21"/>
        <v>7.0139154748105277</v>
      </c>
      <c r="AS43" s="19"/>
      <c r="AT43" s="29">
        <f t="shared" si="23"/>
        <v>8.2813090905684561E-3</v>
      </c>
      <c r="AU43" s="29">
        <f t="shared" si="24"/>
        <v>2.530803881612087E-3</v>
      </c>
      <c r="AV43" s="29">
        <f t="shared" si="25"/>
        <v>2.0979323210225331E-2</v>
      </c>
      <c r="AW43" s="29">
        <f t="shared" si="26"/>
        <v>3.041747038668241E-2</v>
      </c>
      <c r="AX43" s="29">
        <f t="shared" si="27"/>
        <v>1.2071193308254458E-2</v>
      </c>
      <c r="AY43" s="29">
        <f t="shared" si="28"/>
        <v>1.1203648000011057E-2</v>
      </c>
      <c r="AZ43" s="29">
        <f t="shared" si="29"/>
        <v>2.0113661044209863E-3</v>
      </c>
      <c r="BA43" s="29">
        <f t="shared" si="30"/>
        <v>1.5276146072965346E-2</v>
      </c>
      <c r="BB43" s="29">
        <f t="shared" si="31"/>
        <v>9.3892292595629812E-3</v>
      </c>
      <c r="BC43" s="29">
        <f t="shared" si="32"/>
        <v>1.3977547006700064E-2</v>
      </c>
      <c r="BD43" s="29">
        <f t="shared" si="33"/>
        <v>1.041501099277653E-2</v>
      </c>
      <c r="BE43" s="29">
        <f t="shared" si="34"/>
        <v>2.0834086902842053E-2</v>
      </c>
      <c r="BF43" s="29">
        <f t="shared" si="35"/>
        <v>7.1055680360121443E-3</v>
      </c>
      <c r="BG43" s="29">
        <f t="shared" si="36"/>
        <v>8.630225322439955E-3</v>
      </c>
      <c r="BH43" s="29">
        <f t="shared" si="37"/>
        <v>6.8252799335866143E-3</v>
      </c>
      <c r="BI43" s="29">
        <f t="shared" si="38"/>
        <v>1.88865030258345E-2</v>
      </c>
      <c r="BJ43" s="29">
        <f t="shared" si="39"/>
        <v>7.7891889151100457E-3</v>
      </c>
      <c r="BK43" s="29">
        <f t="shared" si="40"/>
        <v>1.0917429698473313E-2</v>
      </c>
      <c r="BL43" s="29">
        <f t="shared" si="41"/>
        <v>7.8063023934031861E-3</v>
      </c>
      <c r="BM43" s="29">
        <f t="shared" si="42"/>
        <v>1.5690077541854919E-2</v>
      </c>
      <c r="BN43" s="29">
        <f t="shared" si="43"/>
        <v>2.8273657171319577E-2</v>
      </c>
      <c r="BO43" s="20"/>
      <c r="BP43" s="19"/>
      <c r="BR43" s="19"/>
      <c r="BS43" s="19"/>
      <c r="BT43" s="19"/>
      <c r="BU43" s="19"/>
      <c r="BW43" s="19"/>
      <c r="BX43" s="20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20"/>
      <c r="CO43" s="19"/>
      <c r="CP43" s="20"/>
      <c r="CQ43" s="19"/>
      <c r="CR43" s="19"/>
      <c r="CS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G43" s="20"/>
      <c r="DH43" s="19"/>
      <c r="DI43" s="19"/>
      <c r="DJ43" s="19"/>
      <c r="DK43" s="19"/>
      <c r="DL43" s="19"/>
      <c r="DM43" s="19"/>
      <c r="DN43" s="19"/>
      <c r="DO43" s="20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20"/>
      <c r="EF43" s="20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20"/>
      <c r="GI43" s="19"/>
      <c r="GJ43" s="22"/>
    </row>
    <row r="44" spans="1:192" x14ac:dyDescent="0.25">
      <c r="A44" s="18">
        <v>1912</v>
      </c>
      <c r="B44" s="19">
        <v>6724</v>
      </c>
      <c r="C44" s="19">
        <v>7590</v>
      </c>
      <c r="D44" s="19">
        <v>23168</v>
      </c>
      <c r="E44" s="19">
        <v>7602</v>
      </c>
      <c r="F44" s="19">
        <v>2951</v>
      </c>
      <c r="G44" s="19">
        <v>2998</v>
      </c>
      <c r="H44" s="19">
        <v>41359</v>
      </c>
      <c r="I44" s="19">
        <v>64457</v>
      </c>
      <c r="J44" s="19">
        <v>37150</v>
      </c>
      <c r="K44" s="19">
        <v>50941</v>
      </c>
      <c r="L44" s="19">
        <v>6068</v>
      </c>
      <c r="M44" s="19">
        <v>1092</v>
      </c>
      <c r="N44" s="19">
        <v>2423</v>
      </c>
      <c r="O44" s="19">
        <v>5964</v>
      </c>
      <c r="P44" s="19">
        <v>20128</v>
      </c>
      <c r="Q44" s="19">
        <v>4784</v>
      </c>
      <c r="R44" s="19">
        <v>5583</v>
      </c>
      <c r="S44" s="19">
        <v>3819</v>
      </c>
      <c r="T44" s="19">
        <v>45426</v>
      </c>
      <c r="U44" s="19">
        <v>95703</v>
      </c>
      <c r="V44" s="19">
        <v>1144</v>
      </c>
      <c r="W44" s="20"/>
      <c r="X44" s="27">
        <f t="shared" si="1"/>
        <v>8.8134384945285067</v>
      </c>
      <c r="Y44" s="27">
        <f t="shared" si="2"/>
        <v>8.9345868703896762</v>
      </c>
      <c r="Z44" s="27">
        <f t="shared" si="3"/>
        <v>10.050527295185443</v>
      </c>
      <c r="AA44" s="27">
        <f t="shared" si="4"/>
        <v>8.9361666495491949</v>
      </c>
      <c r="AB44" s="27">
        <f t="shared" si="5"/>
        <v>7.9898993749429392</v>
      </c>
      <c r="AC44" s="27">
        <f t="shared" si="6"/>
        <v>8.0057006786625422</v>
      </c>
      <c r="AD44" s="27">
        <f t="shared" si="7"/>
        <v>10.630045330940309</v>
      </c>
      <c r="AE44" s="27">
        <f t="shared" si="8"/>
        <v>11.073753613796161</v>
      </c>
      <c r="AF44" s="27">
        <f t="shared" si="9"/>
        <v>10.522719050145906</v>
      </c>
      <c r="AG44" s="27">
        <f t="shared" si="10"/>
        <v>10.838423379279122</v>
      </c>
      <c r="AH44" s="27">
        <f t="shared" si="11"/>
        <v>8.7107843404684235</v>
      </c>
      <c r="AI44" s="27">
        <f t="shared" si="12"/>
        <v>6.9957661563048505</v>
      </c>
      <c r="AJ44" s="27">
        <f t="shared" si="13"/>
        <v>7.7927617208165261</v>
      </c>
      <c r="AK44" s="27">
        <f t="shared" si="14"/>
        <v>8.6934966758846297</v>
      </c>
      <c r="AL44" s="27">
        <f t="shared" si="15"/>
        <v>9.9098671595001679</v>
      </c>
      <c r="AM44" s="27">
        <f t="shared" si="16"/>
        <v>8.4730322956304676</v>
      </c>
      <c r="AN44" s="27">
        <f t="shared" si="17"/>
        <v>8.6274815453103599</v>
      </c>
      <c r="AO44" s="27">
        <f t="shared" si="18"/>
        <v>8.247743887225516</v>
      </c>
      <c r="AP44" s="27">
        <f t="shared" si="19"/>
        <v>10.723839907331362</v>
      </c>
      <c r="AQ44" s="27">
        <f t="shared" si="20"/>
        <v>11.469004924912092</v>
      </c>
      <c r="AR44" s="27">
        <f t="shared" si="21"/>
        <v>7.0422861719397432</v>
      </c>
      <c r="AS44" s="19"/>
      <c r="AT44" s="29">
        <f t="shared" si="23"/>
        <v>8.2132918962010137E-3</v>
      </c>
      <c r="AU44" s="29">
        <f t="shared" si="24"/>
        <v>9.6644692122076492E-3</v>
      </c>
      <c r="AV44" s="29">
        <f t="shared" si="25"/>
        <v>2.0979942988581968E-2</v>
      </c>
      <c r="AW44" s="29">
        <f t="shared" si="26"/>
        <v>2.5580931259062467E-2</v>
      </c>
      <c r="AX44" s="29">
        <f t="shared" si="27"/>
        <v>1.1588405075217523E-2</v>
      </c>
      <c r="AY44" s="29">
        <f t="shared" si="28"/>
        <v>1.2080683834797767E-2</v>
      </c>
      <c r="AZ44" s="29">
        <f t="shared" si="29"/>
        <v>1.2580748278274712E-3</v>
      </c>
      <c r="BA44" s="29">
        <f t="shared" si="30"/>
        <v>9.4304294117915077E-3</v>
      </c>
      <c r="BB44" s="29">
        <f t="shared" si="31"/>
        <v>6.2916216020258986E-3</v>
      </c>
      <c r="BC44" s="29">
        <f t="shared" si="32"/>
        <v>1.4354313451683254E-2</v>
      </c>
      <c r="BD44" s="29">
        <f t="shared" si="33"/>
        <v>1.3939820814110604E-2</v>
      </c>
      <c r="BE44" s="29">
        <f t="shared" si="34"/>
        <v>2.3159905003097059E-2</v>
      </c>
      <c r="BF44" s="29">
        <f t="shared" si="35"/>
        <v>9.1211245952731446E-3</v>
      </c>
      <c r="BG44" s="29">
        <f t="shared" si="36"/>
        <v>4.8743688408610097E-3</v>
      </c>
      <c r="BH44" s="29">
        <f t="shared" si="37"/>
        <v>6.6796519730427661E-3</v>
      </c>
      <c r="BI44" s="29">
        <f t="shared" si="38"/>
        <v>5.6597991981863771E-3</v>
      </c>
      <c r="BJ44" s="29">
        <f t="shared" si="39"/>
        <v>7.370819887436042E-3</v>
      </c>
      <c r="BK44" s="29">
        <f t="shared" si="40"/>
        <v>1.132335996012479E-2</v>
      </c>
      <c r="BL44" s="29">
        <f t="shared" si="41"/>
        <v>3.484247245529204E-3</v>
      </c>
      <c r="BM44" s="29">
        <f t="shared" si="42"/>
        <v>1.5468595286119324E-2</v>
      </c>
      <c r="BN44" s="29">
        <f t="shared" si="43"/>
        <v>2.8370697129215472E-2</v>
      </c>
      <c r="BO44" s="20"/>
      <c r="BP44" s="19"/>
      <c r="BR44" s="19"/>
      <c r="BS44" s="19"/>
      <c r="BT44" s="19"/>
      <c r="BU44" s="19"/>
      <c r="BW44" s="19"/>
      <c r="BX44" s="20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20"/>
      <c r="CO44" s="19"/>
      <c r="CP44" s="20"/>
      <c r="CQ44" s="19"/>
      <c r="CR44" s="19"/>
      <c r="CS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G44" s="20"/>
      <c r="DH44" s="19"/>
      <c r="DI44" s="19"/>
      <c r="DJ44" s="19"/>
      <c r="DK44" s="19"/>
      <c r="DL44" s="19"/>
      <c r="DM44" s="19"/>
      <c r="DN44" s="19"/>
      <c r="DO44" s="20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20"/>
      <c r="EF44" s="20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20"/>
      <c r="GI44" s="19"/>
      <c r="GJ44" s="22"/>
    </row>
    <row r="45" spans="1:192" x14ac:dyDescent="0.25">
      <c r="A45" s="18">
        <v>1913</v>
      </c>
      <c r="B45" s="19">
        <v>6767</v>
      </c>
      <c r="C45" s="19">
        <v>7666</v>
      </c>
      <c r="D45" s="19">
        <v>23660</v>
      </c>
      <c r="E45" s="19">
        <v>7852</v>
      </c>
      <c r="F45" s="19">
        <v>2983</v>
      </c>
      <c r="G45" s="19">
        <v>3027</v>
      </c>
      <c r="H45" s="19">
        <v>41463</v>
      </c>
      <c r="I45" s="19">
        <v>65058</v>
      </c>
      <c r="J45" s="19">
        <v>37248</v>
      </c>
      <c r="K45" s="19">
        <v>51672</v>
      </c>
      <c r="L45" s="19">
        <v>6164</v>
      </c>
      <c r="M45" s="19">
        <v>1122</v>
      </c>
      <c r="N45" s="19">
        <v>2447</v>
      </c>
      <c r="O45" s="19">
        <v>5972</v>
      </c>
      <c r="P45" s="19">
        <v>20263</v>
      </c>
      <c r="Q45" s="19">
        <v>4811</v>
      </c>
      <c r="R45" s="19">
        <v>5621</v>
      </c>
      <c r="S45" s="19">
        <v>3864</v>
      </c>
      <c r="T45" s="19">
        <v>45649</v>
      </c>
      <c r="U45" s="19">
        <v>97606</v>
      </c>
      <c r="V45" s="19">
        <v>1177</v>
      </c>
      <c r="W45" s="20"/>
      <c r="X45" s="27">
        <f t="shared" si="1"/>
        <v>8.8198131362322254</v>
      </c>
      <c r="Y45" s="27">
        <f t="shared" si="2"/>
        <v>8.9445502459404995</v>
      </c>
      <c r="Z45" s="27">
        <f t="shared" si="3"/>
        <v>10.071541137532378</v>
      </c>
      <c r="AA45" s="27">
        <f t="shared" si="4"/>
        <v>8.9685235553963523</v>
      </c>
      <c r="AB45" s="27">
        <f t="shared" si="5"/>
        <v>8.000684784514748</v>
      </c>
      <c r="AC45" s="27">
        <f t="shared" si="6"/>
        <v>8.0153273090217194</v>
      </c>
      <c r="AD45" s="27">
        <f t="shared" si="7"/>
        <v>10.632556742272136</v>
      </c>
      <c r="AE45" s="27">
        <f t="shared" si="8"/>
        <v>11.083034458700237</v>
      </c>
      <c r="AF45" s="27">
        <f t="shared" si="9"/>
        <v>10.52535353109111</v>
      </c>
      <c r="AG45" s="27">
        <f t="shared" si="10"/>
        <v>10.852671327712308</v>
      </c>
      <c r="AH45" s="27">
        <f t="shared" si="11"/>
        <v>8.7264811964400071</v>
      </c>
      <c r="AI45" s="27">
        <f t="shared" si="12"/>
        <v>7.0228680860826413</v>
      </c>
      <c r="AJ45" s="27">
        <f t="shared" si="13"/>
        <v>7.8026180634426714</v>
      </c>
      <c r="AK45" s="27">
        <f t="shared" si="14"/>
        <v>8.6948371586590802</v>
      </c>
      <c r="AL45" s="27">
        <f t="shared" si="15"/>
        <v>9.9165518418653296</v>
      </c>
      <c r="AM45" s="27">
        <f t="shared" si="16"/>
        <v>8.478660241699453</v>
      </c>
      <c r="AN45" s="27">
        <f t="shared" si="17"/>
        <v>8.6342648630020751</v>
      </c>
      <c r="AO45" s="27">
        <f t="shared" si="18"/>
        <v>8.2594581953324084</v>
      </c>
      <c r="AP45" s="27">
        <f t="shared" si="19"/>
        <v>10.728736979978141</v>
      </c>
      <c r="AQ45" s="27">
        <f t="shared" si="20"/>
        <v>11.488694245921485</v>
      </c>
      <c r="AR45" s="27">
        <f t="shared" si="21"/>
        <v>7.0707241072602764</v>
      </c>
      <c r="AS45" s="19"/>
      <c r="AT45" s="29">
        <f t="shared" si="23"/>
        <v>6.3746417037187086E-3</v>
      </c>
      <c r="AU45" s="29">
        <f t="shared" si="24"/>
        <v>9.9633755508232724E-3</v>
      </c>
      <c r="AV45" s="29">
        <f t="shared" si="25"/>
        <v>2.1013842346935263E-2</v>
      </c>
      <c r="AW45" s="29">
        <f t="shared" si="26"/>
        <v>3.2356905847157336E-2</v>
      </c>
      <c r="AX45" s="29">
        <f t="shared" si="27"/>
        <v>1.0785409571808735E-2</v>
      </c>
      <c r="AY45" s="29">
        <f t="shared" si="28"/>
        <v>9.6266303591772129E-3</v>
      </c>
      <c r="AZ45" s="29">
        <f t="shared" si="29"/>
        <v>2.5114113318274178E-3</v>
      </c>
      <c r="BA45" s="29">
        <f t="shared" si="30"/>
        <v>9.2808449040759911E-3</v>
      </c>
      <c r="BB45" s="29">
        <f t="shared" si="31"/>
        <v>2.6344809452041318E-3</v>
      </c>
      <c r="BC45" s="29">
        <f t="shared" si="32"/>
        <v>1.4247948433185442E-2</v>
      </c>
      <c r="BD45" s="29">
        <f t="shared" si="33"/>
        <v>1.5696855971583545E-2</v>
      </c>
      <c r="BE45" s="29">
        <f t="shared" si="34"/>
        <v>2.7101929777790801E-2</v>
      </c>
      <c r="BF45" s="29">
        <f t="shared" si="35"/>
        <v>9.8563426261453202E-3</v>
      </c>
      <c r="BG45" s="29">
        <f t="shared" si="36"/>
        <v>1.3404827744505354E-3</v>
      </c>
      <c r="BH45" s="29">
        <f t="shared" si="37"/>
        <v>6.6846823651616205E-3</v>
      </c>
      <c r="BI45" s="29">
        <f t="shared" si="38"/>
        <v>5.6279460689854233E-3</v>
      </c>
      <c r="BJ45" s="29">
        <f t="shared" si="39"/>
        <v>6.7833176917151405E-3</v>
      </c>
      <c r="BK45" s="29">
        <f t="shared" si="40"/>
        <v>1.1714308106892446E-2</v>
      </c>
      <c r="BL45" s="29">
        <f t="shared" si="41"/>
        <v>4.897072646778966E-3</v>
      </c>
      <c r="BM45" s="29">
        <f t="shared" si="42"/>
        <v>1.9689321009392913E-2</v>
      </c>
      <c r="BN45" s="29">
        <f t="shared" si="43"/>
        <v>2.8437935320533292E-2</v>
      </c>
      <c r="BO45" s="20"/>
      <c r="BP45" s="19"/>
      <c r="BR45" s="19"/>
      <c r="BS45" s="19"/>
      <c r="BT45" s="19"/>
      <c r="BU45" s="19"/>
      <c r="BW45" s="19"/>
      <c r="BX45" s="20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20"/>
      <c r="CO45" s="19"/>
      <c r="CP45" s="20"/>
      <c r="CQ45" s="19"/>
      <c r="CR45" s="19"/>
      <c r="CS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G45" s="20"/>
      <c r="DH45" s="19"/>
      <c r="DI45" s="19"/>
      <c r="DJ45" s="19"/>
      <c r="DK45" s="19"/>
      <c r="DL45" s="19"/>
      <c r="DM45" s="19"/>
      <c r="DN45" s="19"/>
      <c r="DO45" s="20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20"/>
      <c r="EF45" s="20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20"/>
      <c r="GI45" s="19"/>
      <c r="GJ45" s="22"/>
    </row>
    <row r="46" spans="1:192" x14ac:dyDescent="0.25">
      <c r="A46" s="18">
        <v>1914</v>
      </c>
      <c r="B46" s="19">
        <v>6806</v>
      </c>
      <c r="C46" s="19">
        <v>7723</v>
      </c>
      <c r="D46" s="19">
        <v>24161</v>
      </c>
      <c r="E46" s="19">
        <v>8093</v>
      </c>
      <c r="F46" s="19">
        <v>3018</v>
      </c>
      <c r="G46" s="19">
        <v>3053</v>
      </c>
      <c r="H46" s="19">
        <v>41476</v>
      </c>
      <c r="I46" s="19">
        <v>66096</v>
      </c>
      <c r="J46" s="19">
        <v>37526</v>
      </c>
      <c r="K46" s="19">
        <v>52396</v>
      </c>
      <c r="L46" s="19">
        <v>6277</v>
      </c>
      <c r="M46" s="19">
        <v>1143</v>
      </c>
      <c r="N46" s="19">
        <v>2472</v>
      </c>
      <c r="O46" s="19">
        <v>5980</v>
      </c>
      <c r="P46" s="19">
        <v>20398</v>
      </c>
      <c r="Q46" s="19">
        <v>4838</v>
      </c>
      <c r="R46" s="19">
        <v>5659</v>
      </c>
      <c r="S46" s="19">
        <v>3897</v>
      </c>
      <c r="T46" s="19">
        <v>46049</v>
      </c>
      <c r="U46" s="19">
        <v>99505</v>
      </c>
      <c r="V46" s="19">
        <v>1223</v>
      </c>
      <c r="W46" s="20"/>
      <c r="X46" s="27">
        <f t="shared" si="1"/>
        <v>8.8255598550608507</v>
      </c>
      <c r="Y46" s="27">
        <f t="shared" si="2"/>
        <v>8.9519581685692646</v>
      </c>
      <c r="Z46" s="27">
        <f t="shared" si="3"/>
        <v>10.092495041920655</v>
      </c>
      <c r="AA46" s="27">
        <f t="shared" si="4"/>
        <v>8.9987547694957026</v>
      </c>
      <c r="AB46" s="27">
        <f t="shared" si="5"/>
        <v>8.0123496393277946</v>
      </c>
      <c r="AC46" s="27">
        <f t="shared" si="6"/>
        <v>8.0238799927348783</v>
      </c>
      <c r="AD46" s="27">
        <f t="shared" si="7"/>
        <v>10.632870225678168</v>
      </c>
      <c r="AE46" s="27">
        <f t="shared" si="8"/>
        <v>11.098863509636546</v>
      </c>
      <c r="AF46" s="27">
        <f t="shared" si="9"/>
        <v>10.53278930504732</v>
      </c>
      <c r="AG46" s="27">
        <f t="shared" si="10"/>
        <v>10.86658553151754</v>
      </c>
      <c r="AH46" s="27">
        <f t="shared" si="11"/>
        <v>8.7446474383175321</v>
      </c>
      <c r="AI46" s="27">
        <f t="shared" si="12"/>
        <v>7.0414116637948103</v>
      </c>
      <c r="AJ46" s="27">
        <f t="shared" si="13"/>
        <v>7.8127828185775812</v>
      </c>
      <c r="AK46" s="27">
        <f t="shared" si="14"/>
        <v>8.6961758469446782</v>
      </c>
      <c r="AL46" s="27">
        <f t="shared" si="15"/>
        <v>9.9231921358104636</v>
      </c>
      <c r="AM46" s="27">
        <f t="shared" si="16"/>
        <v>8.4842566911699731</v>
      </c>
      <c r="AN46" s="27">
        <f t="shared" si="17"/>
        <v>8.6410024771425231</v>
      </c>
      <c r="AO46" s="27">
        <f t="shared" si="18"/>
        <v>8.2679623053387097</v>
      </c>
      <c r="AP46" s="27">
        <f t="shared" si="19"/>
        <v>10.737461325921066</v>
      </c>
      <c r="AQ46" s="27">
        <f t="shared" si="20"/>
        <v>11.507963173140414</v>
      </c>
      <c r="AR46" s="27">
        <f t="shared" si="21"/>
        <v>7.1090621356871724</v>
      </c>
      <c r="AS46" s="19"/>
      <c r="AT46" s="29">
        <f t="shared" si="23"/>
        <v>5.746718828625319E-3</v>
      </c>
      <c r="AU46" s="29">
        <f t="shared" si="24"/>
        <v>7.4079226287651068E-3</v>
      </c>
      <c r="AV46" s="29">
        <f t="shared" si="25"/>
        <v>2.0953904388276712E-2</v>
      </c>
      <c r="AW46" s="29">
        <f t="shared" si="26"/>
        <v>3.0231214099350368E-2</v>
      </c>
      <c r="AX46" s="29">
        <f t="shared" si="27"/>
        <v>1.1664854813046688E-2</v>
      </c>
      <c r="AY46" s="29">
        <f t="shared" si="28"/>
        <v>8.5526837131588707E-3</v>
      </c>
      <c r="AZ46" s="29">
        <f t="shared" si="29"/>
        <v>3.1348340603187808E-4</v>
      </c>
      <c r="BA46" s="29">
        <f t="shared" si="30"/>
        <v>1.5829050936309486E-2</v>
      </c>
      <c r="BB46" s="29">
        <f t="shared" si="31"/>
        <v>7.435773956210312E-3</v>
      </c>
      <c r="BC46" s="29">
        <f t="shared" si="32"/>
        <v>1.3914203805232006E-2</v>
      </c>
      <c r="BD46" s="29">
        <f t="shared" si="33"/>
        <v>1.8166241877525025E-2</v>
      </c>
      <c r="BE46" s="29">
        <f t="shared" si="34"/>
        <v>1.8543577712168968E-2</v>
      </c>
      <c r="BF46" s="29">
        <f t="shared" si="35"/>
        <v>1.0164755134909775E-2</v>
      </c>
      <c r="BG46" s="29">
        <f t="shared" si="36"/>
        <v>1.338688285597911E-3</v>
      </c>
      <c r="BH46" s="29">
        <f t="shared" si="37"/>
        <v>6.6402939451339904E-3</v>
      </c>
      <c r="BI46" s="29">
        <f t="shared" si="38"/>
        <v>5.5964494705200707E-3</v>
      </c>
      <c r="BJ46" s="29">
        <f t="shared" si="39"/>
        <v>6.737614140448045E-3</v>
      </c>
      <c r="BK46" s="29">
        <f t="shared" si="40"/>
        <v>8.5041100063012465E-3</v>
      </c>
      <c r="BL46" s="29">
        <f t="shared" si="41"/>
        <v>8.724345942924927E-3</v>
      </c>
      <c r="BM46" s="29">
        <f t="shared" si="42"/>
        <v>1.9268927218929477E-2</v>
      </c>
      <c r="BN46" s="29">
        <f t="shared" si="43"/>
        <v>3.8338028426895931E-2</v>
      </c>
      <c r="BO46" s="20"/>
      <c r="BP46" s="19"/>
      <c r="BR46" s="19"/>
      <c r="BS46" s="19"/>
      <c r="BT46" s="19"/>
      <c r="BU46" s="19"/>
      <c r="BW46" s="19"/>
      <c r="BX46" s="20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20"/>
      <c r="CO46" s="19"/>
      <c r="CP46" s="20"/>
      <c r="CQ46" s="19"/>
      <c r="CR46" s="19"/>
      <c r="CS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G46" s="20"/>
      <c r="DH46" s="19"/>
      <c r="DI46" s="19"/>
      <c r="DJ46" s="19"/>
      <c r="DK46" s="19"/>
      <c r="DL46" s="19"/>
      <c r="DM46" s="19"/>
      <c r="DN46" s="19"/>
      <c r="DO46" s="20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20"/>
      <c r="EF46" s="20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20"/>
      <c r="GI46" s="19"/>
      <c r="GJ46" s="22"/>
    </row>
    <row r="47" spans="1:192" x14ac:dyDescent="0.25">
      <c r="A47" s="18">
        <v>1915</v>
      </c>
      <c r="B47" s="19">
        <v>6843</v>
      </c>
      <c r="C47" s="19">
        <v>7759</v>
      </c>
      <c r="D47" s="19">
        <v>24674</v>
      </c>
      <c r="E47" s="19">
        <v>8191</v>
      </c>
      <c r="F47" s="19">
        <v>3055</v>
      </c>
      <c r="G47" s="19">
        <v>3083</v>
      </c>
      <c r="H47" s="19">
        <v>40481</v>
      </c>
      <c r="I47" s="19">
        <v>66230</v>
      </c>
      <c r="J47" s="19">
        <v>37982</v>
      </c>
      <c r="K47" s="19">
        <v>53124</v>
      </c>
      <c r="L47" s="19">
        <v>6395</v>
      </c>
      <c r="M47" s="19">
        <v>1152</v>
      </c>
      <c r="N47" s="19">
        <v>2498</v>
      </c>
      <c r="O47" s="19">
        <v>5988</v>
      </c>
      <c r="P47" s="19">
        <v>20535</v>
      </c>
      <c r="Q47" s="19">
        <v>4905</v>
      </c>
      <c r="R47" s="19">
        <v>5696</v>
      </c>
      <c r="S47" s="19">
        <v>3883</v>
      </c>
      <c r="T47" s="19">
        <v>46340</v>
      </c>
      <c r="U47" s="19">
        <v>100941</v>
      </c>
      <c r="V47" s="19">
        <v>1246</v>
      </c>
      <c r="W47" s="20"/>
      <c r="X47" s="27">
        <f t="shared" si="1"/>
        <v>8.8309815109524976</v>
      </c>
      <c r="Y47" s="27">
        <f t="shared" si="2"/>
        <v>8.9566087388939497</v>
      </c>
      <c r="Z47" s="27">
        <f t="shared" si="3"/>
        <v>10.113505336631411</v>
      </c>
      <c r="AA47" s="27">
        <f t="shared" si="4"/>
        <v>9.0107912695156021</v>
      </c>
      <c r="AB47" s="27">
        <f t="shared" si="5"/>
        <v>8.0245348716056952</v>
      </c>
      <c r="AC47" s="27">
        <f t="shared" si="6"/>
        <v>8.0336584278861505</v>
      </c>
      <c r="AD47" s="27">
        <f t="shared" si="7"/>
        <v>10.608588007213532</v>
      </c>
      <c r="AE47" s="27">
        <f t="shared" si="8"/>
        <v>11.100888811479026</v>
      </c>
      <c r="AF47" s="27">
        <f t="shared" si="9"/>
        <v>10.544867642274191</v>
      </c>
      <c r="AG47" s="27">
        <f t="shared" si="10"/>
        <v>10.880384082520141</v>
      </c>
      <c r="AH47" s="27">
        <f t="shared" si="11"/>
        <v>8.7632717140129426</v>
      </c>
      <c r="AI47" s="27">
        <f t="shared" si="12"/>
        <v>7.0492548412558369</v>
      </c>
      <c r="AJ47" s="27">
        <f t="shared" si="13"/>
        <v>7.823245690685523</v>
      </c>
      <c r="AK47" s="27">
        <f t="shared" si="14"/>
        <v>8.6975127455395196</v>
      </c>
      <c r="AL47" s="27">
        <f t="shared" si="15"/>
        <v>9.9298860263906583</v>
      </c>
      <c r="AM47" s="27">
        <f t="shared" si="16"/>
        <v>8.4980103719994631</v>
      </c>
      <c r="AN47" s="27">
        <f t="shared" si="17"/>
        <v>8.647519453091812</v>
      </c>
      <c r="AO47" s="27">
        <f t="shared" si="18"/>
        <v>8.2643633297316672</v>
      </c>
      <c r="AP47" s="27">
        <f t="shared" si="19"/>
        <v>10.743760797986367</v>
      </c>
      <c r="AQ47" s="27">
        <f t="shared" si="20"/>
        <v>11.522291466720553</v>
      </c>
      <c r="AR47" s="27">
        <f t="shared" si="21"/>
        <v>7.1276936993473985</v>
      </c>
      <c r="AS47" s="19"/>
      <c r="AT47" s="29">
        <f t="shared" si="23"/>
        <v>5.4216558916468927E-3</v>
      </c>
      <c r="AU47" s="29">
        <f t="shared" si="24"/>
        <v>4.6505703246850771E-3</v>
      </c>
      <c r="AV47" s="29">
        <f t="shared" si="25"/>
        <v>2.1010294710755772E-2</v>
      </c>
      <c r="AW47" s="29">
        <f t="shared" si="26"/>
        <v>1.2036500019899421E-2</v>
      </c>
      <c r="AX47" s="29">
        <f t="shared" si="27"/>
        <v>1.2185232277900582E-2</v>
      </c>
      <c r="AY47" s="29">
        <f t="shared" si="28"/>
        <v>9.7784351512721912E-3</v>
      </c>
      <c r="AZ47" s="29">
        <f t="shared" si="29"/>
        <v>-2.4282218464636074E-2</v>
      </c>
      <c r="BA47" s="29">
        <f t="shared" si="30"/>
        <v>2.025301842479621E-3</v>
      </c>
      <c r="BB47" s="29">
        <f t="shared" si="31"/>
        <v>1.2078337226871128E-2</v>
      </c>
      <c r="BC47" s="29">
        <f t="shared" si="32"/>
        <v>1.37985510026013E-2</v>
      </c>
      <c r="BD47" s="29">
        <f t="shared" si="33"/>
        <v>1.8624275695410475E-2</v>
      </c>
      <c r="BE47" s="29">
        <f t="shared" si="34"/>
        <v>7.8431774610265848E-3</v>
      </c>
      <c r="BF47" s="29">
        <f t="shared" si="35"/>
        <v>1.0462872107941834E-2</v>
      </c>
      <c r="BG47" s="29">
        <f t="shared" si="36"/>
        <v>1.3368985948414291E-3</v>
      </c>
      <c r="BH47" s="29">
        <f t="shared" si="37"/>
        <v>6.6938905801947612E-3</v>
      </c>
      <c r="BI47" s="29">
        <f t="shared" si="38"/>
        <v>1.3753680829490023E-2</v>
      </c>
      <c r="BJ47" s="29">
        <f t="shared" si="39"/>
        <v>6.5169759492889057E-3</v>
      </c>
      <c r="BK47" s="29">
        <f t="shared" si="40"/>
        <v>-3.5989756070424761E-3</v>
      </c>
      <c r="BL47" s="29">
        <f t="shared" si="41"/>
        <v>6.299472065300904E-3</v>
      </c>
      <c r="BM47" s="29">
        <f t="shared" si="42"/>
        <v>1.4328293580138762E-2</v>
      </c>
      <c r="BN47" s="29">
        <f t="shared" si="43"/>
        <v>1.8631563660226114E-2</v>
      </c>
      <c r="BO47" s="20"/>
      <c r="BP47" s="19"/>
      <c r="BR47" s="19"/>
      <c r="BS47" s="19"/>
      <c r="BT47" s="19"/>
      <c r="BU47" s="19"/>
      <c r="BW47" s="19"/>
      <c r="BX47" s="20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20"/>
      <c r="CO47" s="19"/>
      <c r="CP47" s="20"/>
      <c r="CQ47" s="19"/>
      <c r="CR47" s="19"/>
      <c r="CS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G47" s="20"/>
      <c r="DH47" s="19"/>
      <c r="DI47" s="19"/>
      <c r="DJ47" s="19"/>
      <c r="DK47" s="19"/>
      <c r="DL47" s="19"/>
      <c r="DM47" s="19"/>
      <c r="DN47" s="19"/>
      <c r="DO47" s="20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20"/>
      <c r="EF47" s="20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20"/>
      <c r="GI47" s="19"/>
      <c r="GJ47" s="22"/>
    </row>
    <row r="48" spans="1:192" x14ac:dyDescent="0.25">
      <c r="A48" s="18">
        <v>1916</v>
      </c>
      <c r="B48" s="19">
        <v>6825</v>
      </c>
      <c r="C48" s="19">
        <v>7762</v>
      </c>
      <c r="D48" s="19">
        <v>25197</v>
      </c>
      <c r="E48" s="19">
        <v>8214</v>
      </c>
      <c r="F48" s="19">
        <v>3092</v>
      </c>
      <c r="G48" s="19">
        <v>3105</v>
      </c>
      <c r="H48" s="19">
        <v>39884</v>
      </c>
      <c r="I48" s="19">
        <v>66076</v>
      </c>
      <c r="J48" s="19">
        <v>38142</v>
      </c>
      <c r="K48" s="19">
        <v>53815</v>
      </c>
      <c r="L48" s="19">
        <v>6516</v>
      </c>
      <c r="M48" s="19">
        <v>1155</v>
      </c>
      <c r="N48" s="19">
        <v>2522</v>
      </c>
      <c r="O48" s="19">
        <v>5996</v>
      </c>
      <c r="P48" s="19">
        <v>20673</v>
      </c>
      <c r="Q48" s="19">
        <v>4971</v>
      </c>
      <c r="R48" s="19">
        <v>5735</v>
      </c>
      <c r="S48" s="19">
        <v>3883</v>
      </c>
      <c r="T48" s="19">
        <v>46514</v>
      </c>
      <c r="U48" s="19">
        <v>102364</v>
      </c>
      <c r="V48" s="19">
        <v>1269</v>
      </c>
      <c r="W48" s="20"/>
      <c r="X48" s="27">
        <f t="shared" si="1"/>
        <v>8.8283476200531599</v>
      </c>
      <c r="Y48" s="27">
        <f t="shared" si="2"/>
        <v>8.9569953119288517</v>
      </c>
      <c r="Z48" s="27">
        <f t="shared" si="3"/>
        <v>10.134480218793737</v>
      </c>
      <c r="AA48" s="27">
        <f t="shared" si="4"/>
        <v>9.0135952945165041</v>
      </c>
      <c r="AB48" s="27">
        <f t="shared" si="5"/>
        <v>8.0365734097073123</v>
      </c>
      <c r="AC48" s="27">
        <f t="shared" si="6"/>
        <v>8.0407689943675784</v>
      </c>
      <c r="AD48" s="27">
        <f t="shared" si="7"/>
        <v>10.593730519948684</v>
      </c>
      <c r="AE48" s="27">
        <f t="shared" si="8"/>
        <v>11.098560873675032</v>
      </c>
      <c r="AF48" s="27">
        <f t="shared" si="9"/>
        <v>10.549071316164463</v>
      </c>
      <c r="AG48" s="27">
        <f t="shared" si="10"/>
        <v>10.893307517698398</v>
      </c>
      <c r="AH48" s="27">
        <f t="shared" si="11"/>
        <v>8.782015969721936</v>
      </c>
      <c r="AI48" s="27">
        <f t="shared" si="12"/>
        <v>7.0518556229558937</v>
      </c>
      <c r="AJ48" s="27">
        <f t="shared" si="13"/>
        <v>7.8328075165248645</v>
      </c>
      <c r="AK48" s="27">
        <f t="shared" si="14"/>
        <v>8.6988478592224876</v>
      </c>
      <c r="AL48" s="27">
        <f t="shared" si="15"/>
        <v>9.9365837800253178</v>
      </c>
      <c r="AM48" s="27">
        <f t="shared" si="16"/>
        <v>8.5113763060946734</v>
      </c>
      <c r="AN48" s="27">
        <f t="shared" si="17"/>
        <v>8.6543430295634707</v>
      </c>
      <c r="AO48" s="27">
        <f t="shared" si="18"/>
        <v>8.2643633297316672</v>
      </c>
      <c r="AP48" s="27">
        <f t="shared" si="19"/>
        <v>10.747508621530201</v>
      </c>
      <c r="AQ48" s="27">
        <f t="shared" si="20"/>
        <v>11.536290367274962</v>
      </c>
      <c r="AR48" s="27">
        <f t="shared" si="21"/>
        <v>7.1459844677143876</v>
      </c>
      <c r="AS48" s="19"/>
      <c r="AT48" s="29">
        <f t="shared" si="23"/>
        <v>-2.633890899337743E-3</v>
      </c>
      <c r="AU48" s="29">
        <f t="shared" si="24"/>
        <v>3.8657303490197137E-4</v>
      </c>
      <c r="AV48" s="29">
        <f t="shared" si="25"/>
        <v>2.0974882162326125E-2</v>
      </c>
      <c r="AW48" s="29">
        <f t="shared" si="26"/>
        <v>2.804025000902044E-3</v>
      </c>
      <c r="AX48" s="29">
        <f t="shared" si="27"/>
        <v>1.2038538101617036E-2</v>
      </c>
      <c r="AY48" s="29">
        <f t="shared" si="28"/>
        <v>7.1105664814279379E-3</v>
      </c>
      <c r="AZ48" s="29">
        <f t="shared" si="29"/>
        <v>-1.4857487264848146E-2</v>
      </c>
      <c r="BA48" s="29">
        <f t="shared" si="30"/>
        <v>-2.3279378039937626E-3</v>
      </c>
      <c r="BB48" s="29">
        <f t="shared" si="31"/>
        <v>4.2036738902719861E-3</v>
      </c>
      <c r="BC48" s="29">
        <f t="shared" si="32"/>
        <v>1.2923435178256781E-2</v>
      </c>
      <c r="BD48" s="29">
        <f t="shared" si="33"/>
        <v>1.8744255708993407E-2</v>
      </c>
      <c r="BE48" s="29">
        <f t="shared" si="34"/>
        <v>2.6007817000568423E-3</v>
      </c>
      <c r="BF48" s="29">
        <f t="shared" si="35"/>
        <v>9.561825839341509E-3</v>
      </c>
      <c r="BG48" s="29">
        <f t="shared" si="36"/>
        <v>1.3351136829680144E-3</v>
      </c>
      <c r="BH48" s="29">
        <f t="shared" si="37"/>
        <v>6.6977536346595201E-3</v>
      </c>
      <c r="BI48" s="29">
        <f t="shared" si="38"/>
        <v>1.3365934095210363E-2</v>
      </c>
      <c r="BJ48" s="29">
        <f t="shared" si="39"/>
        <v>6.8235764716586544E-3</v>
      </c>
      <c r="BK48" s="29">
        <f t="shared" si="40"/>
        <v>0</v>
      </c>
      <c r="BL48" s="29">
        <f t="shared" si="41"/>
        <v>3.7478235438346275E-3</v>
      </c>
      <c r="BM48" s="29">
        <f t="shared" si="42"/>
        <v>1.3998900554408777E-2</v>
      </c>
      <c r="BN48" s="29">
        <f t="shared" si="43"/>
        <v>1.8290768366989063E-2</v>
      </c>
      <c r="BO48" s="20"/>
      <c r="BP48" s="19"/>
      <c r="BR48" s="19"/>
      <c r="BS48" s="19"/>
      <c r="BT48" s="19"/>
      <c r="BU48" s="19"/>
      <c r="BW48" s="19"/>
      <c r="BX48" s="20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20"/>
      <c r="CO48" s="19"/>
      <c r="CP48" s="20"/>
      <c r="CQ48" s="19"/>
      <c r="CR48" s="19"/>
      <c r="CS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G48" s="20"/>
      <c r="DH48" s="19"/>
      <c r="DI48" s="19"/>
      <c r="DJ48" s="19"/>
      <c r="DK48" s="19"/>
      <c r="DL48" s="19"/>
      <c r="DM48" s="19"/>
      <c r="DN48" s="19"/>
      <c r="DO48" s="20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20"/>
      <c r="EF48" s="20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20"/>
      <c r="GI48" s="19"/>
      <c r="GJ48" s="22"/>
    </row>
    <row r="49" spans="1:192" x14ac:dyDescent="0.25">
      <c r="A49" s="18">
        <v>1917</v>
      </c>
      <c r="B49" s="19">
        <v>6785</v>
      </c>
      <c r="C49" s="19">
        <v>7729</v>
      </c>
      <c r="D49" s="19">
        <v>25732</v>
      </c>
      <c r="E49" s="19">
        <v>8277</v>
      </c>
      <c r="F49" s="19">
        <v>3130</v>
      </c>
      <c r="G49" s="19">
        <v>3124</v>
      </c>
      <c r="H49" s="19">
        <v>39288</v>
      </c>
      <c r="I49" s="19">
        <v>65763</v>
      </c>
      <c r="J49" s="19">
        <v>37981</v>
      </c>
      <c r="K49" s="19">
        <v>54437</v>
      </c>
      <c r="L49" s="19">
        <v>6654</v>
      </c>
      <c r="M49" s="19">
        <v>1152</v>
      </c>
      <c r="N49" s="19">
        <v>2551</v>
      </c>
      <c r="O49" s="19">
        <v>6005</v>
      </c>
      <c r="P49" s="19">
        <v>20811</v>
      </c>
      <c r="Q49" s="19">
        <v>5040</v>
      </c>
      <c r="R49" s="19">
        <v>5779</v>
      </c>
      <c r="S49" s="19">
        <v>3888</v>
      </c>
      <c r="T49" s="19">
        <v>46614</v>
      </c>
      <c r="U49" s="19">
        <v>103817</v>
      </c>
      <c r="V49" s="19">
        <v>1292</v>
      </c>
      <c r="W49" s="20"/>
      <c r="X49" s="27">
        <f t="shared" si="1"/>
        <v>8.8224695722689699</v>
      </c>
      <c r="Y49" s="27">
        <f t="shared" si="2"/>
        <v>8.9527347671068718</v>
      </c>
      <c r="Z49" s="27">
        <f t="shared" si="3"/>
        <v>10.15549063253089</v>
      </c>
      <c r="AA49" s="27">
        <f t="shared" si="4"/>
        <v>9.0212358628853959</v>
      </c>
      <c r="AB49" s="27">
        <f t="shared" si="5"/>
        <v>8.0487882835341988</v>
      </c>
      <c r="AC49" s="27">
        <f t="shared" si="6"/>
        <v>8.046869510959576</v>
      </c>
      <c r="AD49" s="27">
        <f t="shared" si="7"/>
        <v>10.578674407719081</v>
      </c>
      <c r="AE49" s="27">
        <f t="shared" si="8"/>
        <v>11.093812649127438</v>
      </c>
      <c r="AF49" s="27">
        <f t="shared" si="9"/>
        <v>10.54484131366684</v>
      </c>
      <c r="AG49" s="27">
        <f t="shared" si="10"/>
        <v>10.904799348707671</v>
      </c>
      <c r="AH49" s="27">
        <f t="shared" si="11"/>
        <v>8.8029734565784228</v>
      </c>
      <c r="AI49" s="27">
        <f t="shared" si="12"/>
        <v>7.0492548412558369</v>
      </c>
      <c r="AJ49" s="27">
        <f t="shared" si="13"/>
        <v>7.844240718141811</v>
      </c>
      <c r="AK49" s="27">
        <f t="shared" si="14"/>
        <v>8.7003477345140841</v>
      </c>
      <c r="AL49" s="27">
        <f t="shared" si="15"/>
        <v>9.9432369720534108</v>
      </c>
      <c r="AM49" s="27">
        <f t="shared" si="16"/>
        <v>8.5251613610654147</v>
      </c>
      <c r="AN49" s="27">
        <f t="shared" si="17"/>
        <v>8.6619859363177785</v>
      </c>
      <c r="AO49" s="27">
        <f t="shared" si="18"/>
        <v>8.2656501655803289</v>
      </c>
      <c r="AP49" s="27">
        <f t="shared" si="19"/>
        <v>10.749656204178475</v>
      </c>
      <c r="AQ49" s="27">
        <f t="shared" si="20"/>
        <v>11.550385012797276</v>
      </c>
      <c r="AR49" s="27">
        <f t="shared" si="21"/>
        <v>7.1639466843425472</v>
      </c>
      <c r="AS49" s="19"/>
      <c r="AT49" s="29">
        <f t="shared" si="23"/>
        <v>-5.8780477841899881E-3</v>
      </c>
      <c r="AU49" s="29">
        <f t="shared" si="24"/>
        <v>-4.2605448219799058E-3</v>
      </c>
      <c r="AV49" s="29">
        <f t="shared" si="25"/>
        <v>2.1010413737153399E-2</v>
      </c>
      <c r="AW49" s="29">
        <f t="shared" si="26"/>
        <v>7.6405683688918202E-3</v>
      </c>
      <c r="AX49" s="29">
        <f t="shared" si="27"/>
        <v>1.2214873826886574E-2</v>
      </c>
      <c r="AY49" s="29">
        <f t="shared" si="28"/>
        <v>6.1005165919976179E-3</v>
      </c>
      <c r="AZ49" s="29">
        <f t="shared" si="29"/>
        <v>-1.5056112229602903E-2</v>
      </c>
      <c r="BA49" s="29">
        <f t="shared" si="30"/>
        <v>-4.7482245475940488E-3</v>
      </c>
      <c r="BB49" s="29">
        <f t="shared" si="31"/>
        <v>-4.2300024976231754E-3</v>
      </c>
      <c r="BC49" s="29">
        <f t="shared" si="32"/>
        <v>1.1491831009273312E-2</v>
      </c>
      <c r="BD49" s="29">
        <f t="shared" si="33"/>
        <v>2.0957486856486796E-2</v>
      </c>
      <c r="BE49" s="29">
        <f t="shared" si="34"/>
        <v>-2.6007817000568423E-3</v>
      </c>
      <c r="BF49" s="29">
        <f t="shared" si="35"/>
        <v>1.1433201616946498E-2</v>
      </c>
      <c r="BG49" s="29">
        <f t="shared" si="36"/>
        <v>1.4998752915964531E-3</v>
      </c>
      <c r="BH49" s="29">
        <f t="shared" si="37"/>
        <v>6.6531920280930024E-3</v>
      </c>
      <c r="BI49" s="29">
        <f t="shared" si="38"/>
        <v>1.3785054970741228E-2</v>
      </c>
      <c r="BJ49" s="29">
        <f t="shared" si="39"/>
        <v>7.6429067543077878E-3</v>
      </c>
      <c r="BK49" s="29">
        <f t="shared" si="40"/>
        <v>1.2868358486617382E-3</v>
      </c>
      <c r="BL49" s="29">
        <f t="shared" si="41"/>
        <v>2.1475826482735272E-3</v>
      </c>
      <c r="BM49" s="29">
        <f t="shared" si="42"/>
        <v>1.4094645522314764E-2</v>
      </c>
      <c r="BN49" s="29">
        <f t="shared" si="43"/>
        <v>1.7962216628159666E-2</v>
      </c>
      <c r="BO49" s="20"/>
      <c r="BP49" s="19"/>
      <c r="BR49" s="19"/>
      <c r="BS49" s="19"/>
      <c r="BT49" s="19"/>
      <c r="BU49" s="19"/>
      <c r="BW49" s="19"/>
      <c r="BX49" s="20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20"/>
      <c r="CO49" s="19"/>
      <c r="CP49" s="20"/>
      <c r="CQ49" s="19"/>
      <c r="CR49" s="19"/>
      <c r="CS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G49" s="20"/>
      <c r="DH49" s="19"/>
      <c r="DI49" s="19"/>
      <c r="DJ49" s="19"/>
      <c r="DK49" s="19"/>
      <c r="DL49" s="19"/>
      <c r="DM49" s="19"/>
      <c r="DN49" s="19"/>
      <c r="DO49" s="20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20"/>
      <c r="EF49" s="20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20"/>
      <c r="GI49" s="19"/>
      <c r="GJ49" s="22"/>
    </row>
    <row r="50" spans="1:192" x14ac:dyDescent="0.25">
      <c r="A50" s="18">
        <v>1918</v>
      </c>
      <c r="B50" s="19">
        <v>6727</v>
      </c>
      <c r="C50" s="19">
        <v>7660</v>
      </c>
      <c r="D50" s="19">
        <v>26277</v>
      </c>
      <c r="E50" s="19">
        <v>8374</v>
      </c>
      <c r="F50" s="19">
        <v>3165</v>
      </c>
      <c r="G50" s="19">
        <v>3125</v>
      </c>
      <c r="H50" s="19">
        <v>38542</v>
      </c>
      <c r="I50" s="19">
        <v>65237</v>
      </c>
      <c r="J50" s="19">
        <v>37520</v>
      </c>
      <c r="K50" s="19">
        <v>54886</v>
      </c>
      <c r="L50" s="19">
        <v>6752</v>
      </c>
      <c r="M50" s="19">
        <v>1156</v>
      </c>
      <c r="N50" s="19">
        <v>2578</v>
      </c>
      <c r="O50" s="19">
        <v>6013</v>
      </c>
      <c r="P50" s="19">
        <v>20950</v>
      </c>
      <c r="Q50" s="19">
        <v>5109</v>
      </c>
      <c r="R50" s="19">
        <v>5807</v>
      </c>
      <c r="S50" s="19">
        <v>3880</v>
      </c>
      <c r="T50" s="19">
        <v>46575</v>
      </c>
      <c r="U50" s="19">
        <v>104958</v>
      </c>
      <c r="V50" s="19">
        <v>1316</v>
      </c>
      <c r="W50" s="20"/>
      <c r="X50" s="27">
        <f t="shared" si="1"/>
        <v>8.813884558025606</v>
      </c>
      <c r="Y50" s="27">
        <f t="shared" si="2"/>
        <v>8.943767262734637</v>
      </c>
      <c r="Z50" s="27">
        <f t="shared" si="3"/>
        <v>10.176449310831199</v>
      </c>
      <c r="AA50" s="27">
        <f t="shared" si="4"/>
        <v>9.0328869465790884</v>
      </c>
      <c r="AB50" s="27">
        <f t="shared" si="5"/>
        <v>8.0599083345782763</v>
      </c>
      <c r="AC50" s="27">
        <f t="shared" si="6"/>
        <v>8.0471895621705016</v>
      </c>
      <c r="AD50" s="27">
        <f t="shared" si="7"/>
        <v>10.559503834757866</v>
      </c>
      <c r="AE50" s="27">
        <f t="shared" si="8"/>
        <v>11.085782071618791</v>
      </c>
      <c r="AF50" s="27">
        <f t="shared" si="9"/>
        <v>10.532629403120161</v>
      </c>
      <c r="AG50" s="27">
        <f t="shared" si="10"/>
        <v>10.913013585869802</v>
      </c>
      <c r="AH50" s="27">
        <f t="shared" si="11"/>
        <v>8.8175940362757927</v>
      </c>
      <c r="AI50" s="27">
        <f t="shared" si="12"/>
        <v>7.0527210492323231</v>
      </c>
      <c r="AJ50" s="27">
        <f t="shared" si="13"/>
        <v>7.8547691834991324</v>
      </c>
      <c r="AK50" s="27">
        <f t="shared" si="14"/>
        <v>8.7016790710395693</v>
      </c>
      <c r="AL50" s="27">
        <f t="shared" si="15"/>
        <v>9.9498939253502829</v>
      </c>
      <c r="AM50" s="27">
        <f t="shared" si="16"/>
        <v>8.5387589693307984</v>
      </c>
      <c r="AN50" s="27">
        <f t="shared" si="17"/>
        <v>8.6668193653720493</v>
      </c>
      <c r="AO50" s="27">
        <f t="shared" si="18"/>
        <v>8.2635904326173186</v>
      </c>
      <c r="AP50" s="27">
        <f t="shared" si="19"/>
        <v>10.748819195469789</v>
      </c>
      <c r="AQ50" s="27">
        <f t="shared" si="20"/>
        <v>11.561315549118321</v>
      </c>
      <c r="AR50" s="27">
        <f t="shared" si="21"/>
        <v>7.1823521118852627</v>
      </c>
      <c r="AS50" s="19"/>
      <c r="AT50" s="29">
        <f t="shared" si="23"/>
        <v>-8.5850142433638865E-3</v>
      </c>
      <c r="AU50" s="29">
        <f t="shared" si="24"/>
        <v>-8.9675043722348136E-3</v>
      </c>
      <c r="AV50" s="29">
        <f t="shared" si="25"/>
        <v>2.095867830030862E-2</v>
      </c>
      <c r="AW50" s="29">
        <f t="shared" si="26"/>
        <v>1.1651083693692499E-2</v>
      </c>
      <c r="AX50" s="29">
        <f t="shared" si="27"/>
        <v>1.1120051044077428E-2</v>
      </c>
      <c r="AY50" s="29">
        <f t="shared" si="28"/>
        <v>3.2005121092559818E-4</v>
      </c>
      <c r="AZ50" s="29">
        <f t="shared" si="29"/>
        <v>-1.9170572961215271E-2</v>
      </c>
      <c r="BA50" s="29">
        <f t="shared" si="30"/>
        <v>-8.0305775086468856E-3</v>
      </c>
      <c r="BB50" s="29">
        <f t="shared" si="31"/>
        <v>-1.2211910546678695E-2</v>
      </c>
      <c r="BC50" s="29">
        <f t="shared" si="32"/>
        <v>8.2142371621305443E-3</v>
      </c>
      <c r="BD50" s="29">
        <f t="shared" si="33"/>
        <v>1.4620579697369962E-2</v>
      </c>
      <c r="BE50" s="29">
        <f t="shared" si="34"/>
        <v>3.4662079764862241E-3</v>
      </c>
      <c r="BF50" s="29">
        <f t="shared" si="35"/>
        <v>1.0528465357321437E-2</v>
      </c>
      <c r="BG50" s="29">
        <f t="shared" si="36"/>
        <v>1.3313365254852272E-3</v>
      </c>
      <c r="BH50" s="29">
        <f t="shared" si="37"/>
        <v>6.6569532968721035E-3</v>
      </c>
      <c r="BI50" s="29">
        <f t="shared" si="38"/>
        <v>1.3597608265383698E-2</v>
      </c>
      <c r="BJ50" s="29">
        <f t="shared" si="39"/>
        <v>4.8334290542708658E-3</v>
      </c>
      <c r="BK50" s="29">
        <f t="shared" si="40"/>
        <v>-2.0597329630103189E-3</v>
      </c>
      <c r="BL50" s="29">
        <f t="shared" si="41"/>
        <v>-8.3700870868597121E-4</v>
      </c>
      <c r="BM50" s="29">
        <f t="shared" si="42"/>
        <v>1.0930536321044571E-2</v>
      </c>
      <c r="BN50" s="29">
        <f t="shared" si="43"/>
        <v>1.8405427542715458E-2</v>
      </c>
      <c r="BO50" s="20"/>
      <c r="BP50" s="19"/>
      <c r="BR50" s="19"/>
      <c r="BS50" s="19"/>
      <c r="BT50" s="19"/>
      <c r="BU50" s="19"/>
      <c r="BW50" s="19"/>
      <c r="BX50" s="20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20"/>
      <c r="CO50" s="19"/>
      <c r="CP50" s="20"/>
      <c r="CQ50" s="19"/>
      <c r="CR50" s="19"/>
      <c r="CS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G50" s="20"/>
      <c r="DH50" s="19"/>
      <c r="DI50" s="19"/>
      <c r="DJ50" s="19"/>
      <c r="DK50" s="19"/>
      <c r="DL50" s="19"/>
      <c r="DM50" s="19"/>
      <c r="DN50" s="19"/>
      <c r="DO50" s="20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20"/>
      <c r="EF50" s="20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20"/>
      <c r="GI50" s="19"/>
      <c r="GJ50" s="22"/>
    </row>
    <row r="51" spans="1:192" x14ac:dyDescent="0.25">
      <c r="A51" s="18">
        <v>1919</v>
      </c>
      <c r="B51" s="19">
        <v>6420</v>
      </c>
      <c r="C51" s="19">
        <v>7628</v>
      </c>
      <c r="D51" s="19">
        <v>26835</v>
      </c>
      <c r="E51" s="19">
        <v>8548</v>
      </c>
      <c r="F51" s="19">
        <v>3202</v>
      </c>
      <c r="G51" s="19">
        <v>3117</v>
      </c>
      <c r="H51" s="19">
        <v>38700</v>
      </c>
      <c r="I51" s="19">
        <v>60547</v>
      </c>
      <c r="J51" s="19">
        <v>37250</v>
      </c>
      <c r="K51" s="19">
        <v>55253</v>
      </c>
      <c r="L51" s="19">
        <v>6805</v>
      </c>
      <c r="M51" s="19">
        <v>1195</v>
      </c>
      <c r="N51" s="19">
        <v>2603</v>
      </c>
      <c r="O51" s="19">
        <v>6021</v>
      </c>
      <c r="P51" s="19">
        <v>21091</v>
      </c>
      <c r="Q51" s="19">
        <v>5179</v>
      </c>
      <c r="R51" s="19">
        <v>5830</v>
      </c>
      <c r="S51" s="19">
        <v>3869</v>
      </c>
      <c r="T51" s="19">
        <v>46534</v>
      </c>
      <c r="U51" s="19">
        <v>105473</v>
      </c>
      <c r="V51" s="19">
        <v>1341</v>
      </c>
      <c r="W51" s="20"/>
      <c r="X51" s="27">
        <f t="shared" si="1"/>
        <v>8.7671733966840062</v>
      </c>
      <c r="Y51" s="27">
        <f t="shared" si="2"/>
        <v>8.9395809667203103</v>
      </c>
      <c r="Z51" s="27">
        <f t="shared" si="3"/>
        <v>10.197462284610928</v>
      </c>
      <c r="AA51" s="27">
        <f t="shared" si="4"/>
        <v>9.0534526164390385</v>
      </c>
      <c r="AB51" s="27">
        <f t="shared" si="5"/>
        <v>8.0715308935566608</v>
      </c>
      <c r="AC51" s="27">
        <f t="shared" si="6"/>
        <v>8.0446262797673374</v>
      </c>
      <c r="AD51" s="27">
        <f t="shared" si="7"/>
        <v>10.563594879017874</v>
      </c>
      <c r="AE51" s="27">
        <f t="shared" si="8"/>
        <v>11.01117520192391</v>
      </c>
      <c r="AF51" s="27">
        <f t="shared" si="9"/>
        <v>10.525407223807706</v>
      </c>
      <c r="AG51" s="27">
        <f t="shared" si="10"/>
        <v>10.919677916548416</v>
      </c>
      <c r="AH51" s="27">
        <f t="shared" si="11"/>
        <v>8.8254129150855665</v>
      </c>
      <c r="AI51" s="27">
        <f t="shared" si="12"/>
        <v>7.0859014643656106</v>
      </c>
      <c r="AJ51" s="27">
        <f t="shared" si="13"/>
        <v>7.8644199049945653</v>
      </c>
      <c r="AK51" s="27">
        <f t="shared" si="14"/>
        <v>8.703008637464448</v>
      </c>
      <c r="AL51" s="27">
        <f t="shared" si="15"/>
        <v>9.9566016881856143</v>
      </c>
      <c r="AM51" s="27">
        <f t="shared" si="16"/>
        <v>8.5523672664238912</v>
      </c>
      <c r="AN51" s="27">
        <f t="shared" si="17"/>
        <v>8.6707722793445381</v>
      </c>
      <c r="AO51" s="27">
        <f t="shared" si="18"/>
        <v>8.2607513547005134</v>
      </c>
      <c r="AP51" s="27">
        <f t="shared" si="19"/>
        <v>10.747938507187239</v>
      </c>
      <c r="AQ51" s="27">
        <f t="shared" si="20"/>
        <v>11.566210274973463</v>
      </c>
      <c r="AR51" s="27">
        <f t="shared" si="21"/>
        <v>7.2011708832816783</v>
      </c>
      <c r="AS51" s="19"/>
      <c r="AT51" s="29">
        <f t="shared" si="23"/>
        <v>-4.6711161341599805E-2</v>
      </c>
      <c r="AU51" s="29">
        <f t="shared" si="24"/>
        <v>-4.1862960143266292E-3</v>
      </c>
      <c r="AV51" s="29">
        <f t="shared" si="25"/>
        <v>2.1012973779729549E-2</v>
      </c>
      <c r="AW51" s="29">
        <f t="shared" si="26"/>
        <v>2.056566985995012E-2</v>
      </c>
      <c r="AX51" s="29">
        <f t="shared" si="27"/>
        <v>1.162255897838449E-2</v>
      </c>
      <c r="AY51" s="29">
        <f t="shared" si="28"/>
        <v>-2.5632824031642798E-3</v>
      </c>
      <c r="AZ51" s="29">
        <f t="shared" si="29"/>
        <v>4.0910442600079477E-3</v>
      </c>
      <c r="BA51" s="29">
        <f t="shared" si="30"/>
        <v>-7.4606869694880729E-2</v>
      </c>
      <c r="BB51" s="29">
        <f t="shared" si="31"/>
        <v>-7.2221793124551681E-3</v>
      </c>
      <c r="BC51" s="29">
        <f t="shared" si="32"/>
        <v>6.6643306786140499E-3</v>
      </c>
      <c r="BD51" s="29">
        <f t="shared" si="33"/>
        <v>7.8188788097737216E-3</v>
      </c>
      <c r="BE51" s="29">
        <f t="shared" si="34"/>
        <v>3.3180415133287511E-2</v>
      </c>
      <c r="BF51" s="29">
        <f t="shared" si="35"/>
        <v>9.6507214954328902E-3</v>
      </c>
      <c r="BG51" s="29">
        <f t="shared" si="36"/>
        <v>1.329566424878692E-3</v>
      </c>
      <c r="BH51" s="29">
        <f t="shared" si="37"/>
        <v>6.7077628353313656E-3</v>
      </c>
      <c r="BI51" s="29">
        <f t="shared" si="38"/>
        <v>1.3608297093092858E-2</v>
      </c>
      <c r="BJ51" s="29">
        <f t="shared" si="39"/>
        <v>3.9529139724887585E-3</v>
      </c>
      <c r="BK51" s="29">
        <f t="shared" si="40"/>
        <v>-2.839077916805266E-3</v>
      </c>
      <c r="BL51" s="29">
        <f t="shared" si="41"/>
        <v>-8.8068828254961318E-4</v>
      </c>
      <c r="BM51" s="29">
        <f t="shared" si="42"/>
        <v>4.8947258551415018E-3</v>
      </c>
      <c r="BN51" s="29">
        <f t="shared" si="43"/>
        <v>1.8818771396415634E-2</v>
      </c>
      <c r="BO51" s="20"/>
      <c r="BP51" s="19"/>
      <c r="BR51" s="19"/>
      <c r="BS51" s="19"/>
      <c r="BT51" s="19"/>
      <c r="BU51" s="19"/>
      <c r="BW51" s="19"/>
      <c r="BX51" s="20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20"/>
      <c r="CO51" s="19"/>
      <c r="CP51" s="20"/>
      <c r="CQ51" s="19"/>
      <c r="CR51" s="19"/>
      <c r="CS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G51" s="20"/>
      <c r="DH51" s="19"/>
      <c r="DI51" s="19"/>
      <c r="DJ51" s="19"/>
      <c r="DK51" s="19"/>
      <c r="DL51" s="19"/>
      <c r="DM51" s="19"/>
      <c r="DN51" s="19"/>
      <c r="DO51" s="20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20"/>
      <c r="EF51" s="20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20"/>
      <c r="GI51" s="19"/>
      <c r="GJ51" s="22"/>
    </row>
    <row r="52" spans="1:192" x14ac:dyDescent="0.25">
      <c r="A52" s="18">
        <v>1920</v>
      </c>
      <c r="B52" s="19">
        <v>6455</v>
      </c>
      <c r="C52" s="19">
        <v>7552</v>
      </c>
      <c r="D52" s="19">
        <v>27404</v>
      </c>
      <c r="E52" s="19">
        <v>8798</v>
      </c>
      <c r="F52" s="19">
        <v>3242</v>
      </c>
      <c r="G52" s="19">
        <v>3133</v>
      </c>
      <c r="H52" s="19">
        <v>39000</v>
      </c>
      <c r="I52" s="19">
        <v>60894</v>
      </c>
      <c r="J52" s="19">
        <v>37398</v>
      </c>
      <c r="K52" s="19">
        <v>55818</v>
      </c>
      <c r="L52" s="19">
        <v>6848</v>
      </c>
      <c r="M52" s="19">
        <v>1241</v>
      </c>
      <c r="N52" s="19">
        <v>2635</v>
      </c>
      <c r="O52" s="19">
        <v>6029</v>
      </c>
      <c r="P52" s="19">
        <v>21232</v>
      </c>
      <c r="Q52" s="19">
        <v>5250</v>
      </c>
      <c r="R52" s="19">
        <v>5876</v>
      </c>
      <c r="S52" s="19">
        <v>3877</v>
      </c>
      <c r="T52" s="19">
        <v>46821</v>
      </c>
      <c r="U52" s="19">
        <v>106881</v>
      </c>
      <c r="V52" s="19">
        <v>1371</v>
      </c>
      <c r="W52" s="20"/>
      <c r="X52" s="27">
        <f t="shared" si="1"/>
        <v>8.772610303280743</v>
      </c>
      <c r="Y52" s="27">
        <f t="shared" si="2"/>
        <v>8.9295677078253366</v>
      </c>
      <c r="Z52" s="27">
        <f t="shared" si="3"/>
        <v>10.21844426712279</v>
      </c>
      <c r="AA52" s="27">
        <f t="shared" si="4"/>
        <v>9.0822797019086643</v>
      </c>
      <c r="AB52" s="27">
        <f t="shared" si="5"/>
        <v>8.0839457022956207</v>
      </c>
      <c r="AC52" s="27">
        <f t="shared" si="6"/>
        <v>8.0497462909521911</v>
      </c>
      <c r="AD52" s="27">
        <f t="shared" si="7"/>
        <v>10.571316925111784</v>
      </c>
      <c r="AE52" s="27">
        <f t="shared" si="8"/>
        <v>11.016889926676873</v>
      </c>
      <c r="AF52" s="27">
        <f t="shared" si="9"/>
        <v>10.529372506036905</v>
      </c>
      <c r="AG52" s="27">
        <f t="shared" si="10"/>
        <v>10.929851676996613</v>
      </c>
      <c r="AH52" s="27">
        <f t="shared" si="11"/>
        <v>8.8317119178215773</v>
      </c>
      <c r="AI52" s="27">
        <f t="shared" si="12"/>
        <v>7.1236727852046071</v>
      </c>
      <c r="AJ52" s="27">
        <f t="shared" si="13"/>
        <v>7.8766384609754629</v>
      </c>
      <c r="AK52" s="27">
        <f t="shared" si="14"/>
        <v>8.7043364384894062</v>
      </c>
      <c r="AL52" s="27">
        <f t="shared" si="15"/>
        <v>9.9632647565719896</v>
      </c>
      <c r="AM52" s="27">
        <f t="shared" si="16"/>
        <v>8.5659833555856686</v>
      </c>
      <c r="AN52" s="27">
        <f t="shared" si="17"/>
        <v>8.6786315372937679</v>
      </c>
      <c r="AO52" s="27">
        <f t="shared" si="18"/>
        <v>8.2628169376709284</v>
      </c>
      <c r="AP52" s="27">
        <f t="shared" si="19"/>
        <v>10.754087099210663</v>
      </c>
      <c r="AQ52" s="27">
        <f t="shared" si="20"/>
        <v>11.579471345014127</v>
      </c>
      <c r="AR52" s="27">
        <f t="shared" si="21"/>
        <v>7.2232956795623142</v>
      </c>
      <c r="AS52" s="19"/>
      <c r="AT52" s="29">
        <f t="shared" si="23"/>
        <v>5.4369065967367902E-3</v>
      </c>
      <c r="AU52" s="29">
        <f t="shared" si="24"/>
        <v>-1.0013258894973731E-2</v>
      </c>
      <c r="AV52" s="29">
        <f t="shared" si="25"/>
        <v>2.0981982511861119E-2</v>
      </c>
      <c r="AW52" s="29">
        <f t="shared" si="26"/>
        <v>2.8827085469625757E-2</v>
      </c>
      <c r="AX52" s="29">
        <f t="shared" si="27"/>
        <v>1.2414808738959948E-2</v>
      </c>
      <c r="AY52" s="29">
        <f t="shared" si="28"/>
        <v>5.1200111848537233E-3</v>
      </c>
      <c r="AZ52" s="29">
        <f t="shared" si="29"/>
        <v>7.7220460939102509E-3</v>
      </c>
      <c r="BA52" s="29">
        <f t="shared" si="30"/>
        <v>5.7147247529627521E-3</v>
      </c>
      <c r="BB52" s="29">
        <f t="shared" si="31"/>
        <v>3.9652822291991185E-3</v>
      </c>
      <c r="BC52" s="29">
        <f t="shared" si="32"/>
        <v>1.0173760448196845E-2</v>
      </c>
      <c r="BD52" s="29">
        <f t="shared" si="33"/>
        <v>6.2990027360108058E-3</v>
      </c>
      <c r="BE52" s="29">
        <f t="shared" si="34"/>
        <v>3.7771320838996481E-2</v>
      </c>
      <c r="BF52" s="29">
        <f t="shared" si="35"/>
        <v>1.2218555980897605E-2</v>
      </c>
      <c r="BG52" s="29">
        <f t="shared" si="36"/>
        <v>1.3278010249582195E-3</v>
      </c>
      <c r="BH52" s="29">
        <f t="shared" si="37"/>
        <v>6.6630683863753148E-3</v>
      </c>
      <c r="BI52" s="29">
        <f t="shared" si="38"/>
        <v>1.3616089161777367E-2</v>
      </c>
      <c r="BJ52" s="29">
        <f t="shared" si="39"/>
        <v>7.8592579492298142E-3</v>
      </c>
      <c r="BK52" s="29">
        <f t="shared" si="40"/>
        <v>2.0655829704150364E-3</v>
      </c>
      <c r="BL52" s="29">
        <f t="shared" si="41"/>
        <v>6.1485920234236602E-3</v>
      </c>
      <c r="BM52" s="29">
        <f t="shared" si="42"/>
        <v>1.3261070040664791E-2</v>
      </c>
      <c r="BN52" s="29">
        <f t="shared" si="43"/>
        <v>2.2124796280635906E-2</v>
      </c>
      <c r="BO52" s="20"/>
      <c r="BP52" s="19"/>
      <c r="BR52" s="19"/>
      <c r="BS52" s="19"/>
      <c r="BT52" s="19"/>
      <c r="BU52" s="19"/>
      <c r="BW52" s="19"/>
      <c r="BX52" s="20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20"/>
      <c r="CO52" s="19"/>
      <c r="CP52" s="20"/>
      <c r="CQ52" s="19"/>
      <c r="CR52" s="19"/>
      <c r="CS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G52" s="20"/>
      <c r="DH52" s="19"/>
      <c r="DI52" s="19"/>
      <c r="DJ52" s="19"/>
      <c r="DK52" s="19"/>
      <c r="DL52" s="19"/>
      <c r="DM52" s="19"/>
      <c r="DN52" s="19"/>
      <c r="DO52" s="20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20"/>
      <c r="EF52" s="20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20"/>
      <c r="GI52" s="19"/>
      <c r="GJ52" s="22"/>
    </row>
    <row r="53" spans="1:192" x14ac:dyDescent="0.25">
      <c r="A53" s="18">
        <v>1921</v>
      </c>
      <c r="B53" s="19">
        <v>6504</v>
      </c>
      <c r="C53" s="19">
        <v>7504</v>
      </c>
      <c r="D53" s="19">
        <v>27969</v>
      </c>
      <c r="E53" s="19">
        <v>9028</v>
      </c>
      <c r="F53" s="19">
        <v>3285</v>
      </c>
      <c r="G53" s="19">
        <v>3170</v>
      </c>
      <c r="H53" s="19">
        <v>39240</v>
      </c>
      <c r="I53" s="19">
        <v>61573</v>
      </c>
      <c r="J53" s="19">
        <v>37691</v>
      </c>
      <c r="K53" s="19">
        <v>56490</v>
      </c>
      <c r="L53" s="19">
        <v>6921</v>
      </c>
      <c r="M53" s="19">
        <v>1275</v>
      </c>
      <c r="N53" s="19">
        <v>2668</v>
      </c>
      <c r="O53" s="19">
        <v>6071</v>
      </c>
      <c r="P53" s="19">
        <v>21411</v>
      </c>
      <c r="Q53" s="19">
        <v>5304</v>
      </c>
      <c r="R53" s="19">
        <v>5929</v>
      </c>
      <c r="S53" s="19">
        <v>3876</v>
      </c>
      <c r="T53" s="19">
        <v>44072</v>
      </c>
      <c r="U53" s="19">
        <v>108964</v>
      </c>
      <c r="V53" s="19">
        <v>1402</v>
      </c>
      <c r="W53" s="20"/>
      <c r="X53" s="27">
        <f t="shared" si="1"/>
        <v>8.7801726512276463</v>
      </c>
      <c r="Y53" s="27">
        <f t="shared" si="2"/>
        <v>8.9231914906860599</v>
      </c>
      <c r="Z53" s="27">
        <f t="shared" si="3"/>
        <v>10.238852032964804</v>
      </c>
      <c r="AA53" s="27">
        <f t="shared" si="4"/>
        <v>9.1080861379374269</v>
      </c>
      <c r="AB53" s="27">
        <f t="shared" si="5"/>
        <v>8.0971219309187106</v>
      </c>
      <c r="AC53" s="27">
        <f t="shared" si="6"/>
        <v>8.0614868668713271</v>
      </c>
      <c r="AD53" s="27">
        <f t="shared" si="7"/>
        <v>10.577451913679299</v>
      </c>
      <c r="AE53" s="27">
        <f t="shared" si="8"/>
        <v>11.027978741746653</v>
      </c>
      <c r="AF53" s="27">
        <f t="shared" si="9"/>
        <v>10.537176618145875</v>
      </c>
      <c r="AG53" s="27">
        <f t="shared" si="10"/>
        <v>10.941818910319308</v>
      </c>
      <c r="AH53" s="27">
        <f t="shared" si="11"/>
        <v>8.8423155468418635</v>
      </c>
      <c r="AI53" s="27">
        <f t="shared" si="12"/>
        <v>7.1507014575925263</v>
      </c>
      <c r="AJ53" s="27">
        <f t="shared" si="13"/>
        <v>7.8890844070355142</v>
      </c>
      <c r="AK53" s="27">
        <f t="shared" si="14"/>
        <v>8.7112786151304338</v>
      </c>
      <c r="AL53" s="27">
        <f t="shared" si="15"/>
        <v>9.9716600876391777</v>
      </c>
      <c r="AM53" s="27">
        <f t="shared" si="16"/>
        <v>8.5762165318656987</v>
      </c>
      <c r="AN53" s="27">
        <f t="shared" si="17"/>
        <v>8.6876108437073682</v>
      </c>
      <c r="AO53" s="27">
        <f t="shared" si="18"/>
        <v>8.2625589730106572</v>
      </c>
      <c r="AP53" s="27">
        <f t="shared" si="19"/>
        <v>10.693579939152553</v>
      </c>
      <c r="AQ53" s="27">
        <f t="shared" si="20"/>
        <v>11.598772831429047</v>
      </c>
      <c r="AR53" s="27">
        <f t="shared" si="21"/>
        <v>7.2456550675945355</v>
      </c>
      <c r="AS53" s="19"/>
      <c r="AT53" s="29">
        <f t="shared" si="23"/>
        <v>7.5623479469033583E-3</v>
      </c>
      <c r="AU53" s="29">
        <f t="shared" si="24"/>
        <v>-6.3762171392767186E-3</v>
      </c>
      <c r="AV53" s="29">
        <f t="shared" si="25"/>
        <v>2.0407765842014314E-2</v>
      </c>
      <c r="AW53" s="29">
        <f t="shared" si="26"/>
        <v>2.5806436028762647E-2</v>
      </c>
      <c r="AX53" s="29">
        <f t="shared" si="27"/>
        <v>1.317622862308987E-2</v>
      </c>
      <c r="AY53" s="29">
        <f t="shared" si="28"/>
        <v>1.174057591913602E-2</v>
      </c>
      <c r="AZ53" s="29">
        <f t="shared" si="29"/>
        <v>6.1349885675152649E-3</v>
      </c>
      <c r="BA53" s="29">
        <f t="shared" si="30"/>
        <v>1.1088815069779656E-2</v>
      </c>
      <c r="BB53" s="29">
        <f t="shared" si="31"/>
        <v>7.8041121089693632E-3</v>
      </c>
      <c r="BC53" s="29">
        <f t="shared" si="32"/>
        <v>1.1967233322694781E-2</v>
      </c>
      <c r="BD53" s="29">
        <f t="shared" si="33"/>
        <v>1.060362902028622E-2</v>
      </c>
      <c r="BE53" s="29">
        <f t="shared" si="34"/>
        <v>2.7028672387919173E-2</v>
      </c>
      <c r="BF53" s="29">
        <f t="shared" si="35"/>
        <v>1.2445946060051227E-2</v>
      </c>
      <c r="BG53" s="29">
        <f t="shared" si="36"/>
        <v>6.9421766410275865E-3</v>
      </c>
      <c r="BH53" s="29">
        <f t="shared" si="37"/>
        <v>8.3953310671880388E-3</v>
      </c>
      <c r="BI53" s="29">
        <f t="shared" si="38"/>
        <v>1.0233176280030065E-2</v>
      </c>
      <c r="BJ53" s="29">
        <f t="shared" si="39"/>
        <v>8.9793064136003409E-3</v>
      </c>
      <c r="BK53" s="29">
        <f t="shared" si="40"/>
        <v>-2.5796466027117049E-4</v>
      </c>
      <c r="BL53" s="29">
        <f t="shared" si="41"/>
        <v>-6.0507160058110188E-2</v>
      </c>
      <c r="BM53" s="29">
        <f t="shared" si="42"/>
        <v>1.9301486414919466E-2</v>
      </c>
      <c r="BN53" s="29">
        <f t="shared" si="43"/>
        <v>2.2359388032221261E-2</v>
      </c>
      <c r="BO53" s="20"/>
      <c r="BP53" s="19"/>
      <c r="BR53" s="19"/>
      <c r="BS53" s="19"/>
      <c r="BT53" s="19"/>
      <c r="BU53" s="19"/>
      <c r="BW53" s="19"/>
      <c r="BX53" s="20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20"/>
      <c r="CO53" s="19"/>
      <c r="CP53" s="20"/>
      <c r="CQ53" s="19"/>
      <c r="CR53" s="19"/>
      <c r="CS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G53" s="20"/>
      <c r="DH53" s="19"/>
      <c r="DI53" s="19"/>
      <c r="DJ53" s="19"/>
      <c r="DK53" s="19"/>
      <c r="DL53" s="19"/>
      <c r="DM53" s="19"/>
      <c r="DN53" s="19"/>
      <c r="DO53" s="20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20"/>
      <c r="EF53" s="20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20"/>
      <c r="GI53" s="19"/>
      <c r="GJ53" s="22"/>
    </row>
    <row r="54" spans="1:192" x14ac:dyDescent="0.25">
      <c r="A54" s="18">
        <v>1922</v>
      </c>
      <c r="B54" s="19">
        <v>6528</v>
      </c>
      <c r="C54" s="19">
        <v>7571</v>
      </c>
      <c r="D54" s="19">
        <v>28542</v>
      </c>
      <c r="E54" s="19">
        <v>9159</v>
      </c>
      <c r="F54" s="19">
        <v>3322</v>
      </c>
      <c r="G54" s="19">
        <v>3210</v>
      </c>
      <c r="H54" s="19">
        <v>39420</v>
      </c>
      <c r="I54" s="19">
        <v>61900</v>
      </c>
      <c r="J54" s="19">
        <v>38086</v>
      </c>
      <c r="K54" s="19">
        <v>57209</v>
      </c>
      <c r="L54" s="19">
        <v>7032</v>
      </c>
      <c r="M54" s="19">
        <v>1304</v>
      </c>
      <c r="N54" s="19">
        <v>2695</v>
      </c>
      <c r="O54" s="19">
        <v>6146</v>
      </c>
      <c r="P54" s="19">
        <v>21628</v>
      </c>
      <c r="Q54" s="19">
        <v>5367</v>
      </c>
      <c r="R54" s="19">
        <v>5971</v>
      </c>
      <c r="S54" s="19">
        <v>3874</v>
      </c>
      <c r="T54" s="19">
        <v>44372</v>
      </c>
      <c r="U54" s="19">
        <v>110484</v>
      </c>
      <c r="V54" s="19">
        <v>1433</v>
      </c>
      <c r="W54" s="20"/>
      <c r="X54" s="27">
        <f t="shared" si="1"/>
        <v>8.7838558966439422</v>
      </c>
      <c r="Y54" s="27">
        <f t="shared" si="2"/>
        <v>8.9320804381033074</v>
      </c>
      <c r="Z54" s="27">
        <f t="shared" si="3"/>
        <v>10.259131965660336</v>
      </c>
      <c r="AA54" s="27">
        <f t="shared" si="4"/>
        <v>9.1224922814029874</v>
      </c>
      <c r="AB54" s="27">
        <f t="shared" si="5"/>
        <v>8.1083222901732395</v>
      </c>
      <c r="AC54" s="27">
        <f t="shared" si="6"/>
        <v>8.0740262161240608</v>
      </c>
      <c r="AD54" s="27">
        <f t="shared" si="7"/>
        <v>10.58202858070671</v>
      </c>
      <c r="AE54" s="27">
        <f t="shared" si="8"/>
        <v>11.033275458672687</v>
      </c>
      <c r="AF54" s="27">
        <f t="shared" si="9"/>
        <v>10.547602039518763</v>
      </c>
      <c r="AG54" s="27">
        <f t="shared" si="10"/>
        <v>10.954466507648174</v>
      </c>
      <c r="AH54" s="27">
        <f t="shared" si="11"/>
        <v>8.8582264393650121</v>
      </c>
      <c r="AI54" s="27">
        <f t="shared" si="12"/>
        <v>7.1731917424865985</v>
      </c>
      <c r="AJ54" s="27">
        <f t="shared" si="13"/>
        <v>7.8991534833430972</v>
      </c>
      <c r="AK54" s="27">
        <f t="shared" si="14"/>
        <v>8.7235567426904304</v>
      </c>
      <c r="AL54" s="27">
        <f t="shared" si="15"/>
        <v>9.9817440505018951</v>
      </c>
      <c r="AM54" s="27">
        <f t="shared" si="16"/>
        <v>8.5880243721768288</v>
      </c>
      <c r="AN54" s="27">
        <f t="shared" si="17"/>
        <v>8.6946696965469918</v>
      </c>
      <c r="AO54" s="27">
        <f t="shared" si="18"/>
        <v>8.2620428439669418</v>
      </c>
      <c r="AP54" s="27">
        <f t="shared" si="19"/>
        <v>10.70036391885855</v>
      </c>
      <c r="AQ54" s="27">
        <f t="shared" si="20"/>
        <v>11.612625993075847</v>
      </c>
      <c r="AR54" s="27">
        <f t="shared" si="21"/>
        <v>7.267525427828172</v>
      </c>
      <c r="AS54" s="19"/>
      <c r="AT54" s="29">
        <f t="shared" si="23"/>
        <v>3.6832454162958328E-3</v>
      </c>
      <c r="AU54" s="29">
        <f t="shared" si="24"/>
        <v>8.8889474172475502E-3</v>
      </c>
      <c r="AV54" s="29">
        <f t="shared" si="25"/>
        <v>2.0279932695531855E-2</v>
      </c>
      <c r="AW54" s="29">
        <f t="shared" si="26"/>
        <v>1.4406143465560461E-2</v>
      </c>
      <c r="AX54" s="29">
        <f t="shared" si="27"/>
        <v>1.1200359254528891E-2</v>
      </c>
      <c r="AY54" s="29">
        <f t="shared" si="28"/>
        <v>1.25393492527337E-2</v>
      </c>
      <c r="AZ54" s="29">
        <f t="shared" si="29"/>
        <v>4.5766670274112187E-3</v>
      </c>
      <c r="BA54" s="29">
        <f t="shared" si="30"/>
        <v>5.2967169260345059E-3</v>
      </c>
      <c r="BB54" s="29">
        <f t="shared" si="31"/>
        <v>1.0425421372888266E-2</v>
      </c>
      <c r="BC54" s="29">
        <f t="shared" si="32"/>
        <v>1.2647597328866667E-2</v>
      </c>
      <c r="BD54" s="29">
        <f t="shared" si="33"/>
        <v>1.591089252314859E-2</v>
      </c>
      <c r="BE54" s="29">
        <f t="shared" si="34"/>
        <v>2.2490284894072232E-2</v>
      </c>
      <c r="BF54" s="29">
        <f t="shared" si="35"/>
        <v>1.0069076307583025E-2</v>
      </c>
      <c r="BG54" s="29">
        <f t="shared" si="36"/>
        <v>1.2278127559996577E-2</v>
      </c>
      <c r="BH54" s="29">
        <f t="shared" si="37"/>
        <v>1.0083962862717399E-2</v>
      </c>
      <c r="BI54" s="29">
        <f t="shared" si="38"/>
        <v>1.1807840311130136E-2</v>
      </c>
      <c r="BJ54" s="29">
        <f t="shared" si="39"/>
        <v>7.0588528396235972E-3</v>
      </c>
      <c r="BK54" s="29">
        <f t="shared" si="40"/>
        <v>-5.1612904371545199E-4</v>
      </c>
      <c r="BL54" s="29">
        <f t="shared" si="41"/>
        <v>6.7839797059967566E-3</v>
      </c>
      <c r="BM54" s="29">
        <f t="shared" si="42"/>
        <v>1.3853161646800061E-2</v>
      </c>
      <c r="BN54" s="29">
        <f t="shared" si="43"/>
        <v>2.1870360233636532E-2</v>
      </c>
      <c r="BO54" s="20"/>
      <c r="BP54" s="19"/>
      <c r="BR54" s="19"/>
      <c r="BS54" s="19"/>
      <c r="BT54" s="19"/>
      <c r="BU54" s="19"/>
      <c r="BW54" s="19"/>
      <c r="BX54" s="20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20"/>
      <c r="CO54" s="19"/>
      <c r="CP54" s="20"/>
      <c r="CQ54" s="19"/>
      <c r="CR54" s="19"/>
      <c r="CS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G54" s="20"/>
      <c r="DH54" s="19"/>
      <c r="DI54" s="19"/>
      <c r="DJ54" s="19"/>
      <c r="DK54" s="19"/>
      <c r="DL54" s="19"/>
      <c r="DM54" s="19"/>
      <c r="DN54" s="19"/>
      <c r="DO54" s="20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20"/>
      <c r="EF54" s="20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20"/>
      <c r="GI54" s="19"/>
      <c r="GJ54" s="22"/>
    </row>
    <row r="55" spans="1:192" x14ac:dyDescent="0.25">
      <c r="A55" s="18">
        <v>1923</v>
      </c>
      <c r="B55" s="19">
        <v>6543</v>
      </c>
      <c r="C55" s="19">
        <v>7635</v>
      </c>
      <c r="D55" s="19">
        <v>29126</v>
      </c>
      <c r="E55" s="19">
        <v>9256</v>
      </c>
      <c r="F55" s="19">
        <v>3356</v>
      </c>
      <c r="G55" s="19">
        <v>3243</v>
      </c>
      <c r="H55" s="19">
        <v>39880</v>
      </c>
      <c r="I55" s="19">
        <v>62307</v>
      </c>
      <c r="J55" s="19">
        <v>38460</v>
      </c>
      <c r="K55" s="19">
        <v>57937</v>
      </c>
      <c r="L55" s="19">
        <v>7150</v>
      </c>
      <c r="M55" s="19">
        <v>1326</v>
      </c>
      <c r="N55" s="19">
        <v>2713</v>
      </c>
      <c r="O55" s="19">
        <v>6223</v>
      </c>
      <c r="P55" s="19">
        <v>21847</v>
      </c>
      <c r="Q55" s="19">
        <v>5426</v>
      </c>
      <c r="R55" s="19">
        <v>5997</v>
      </c>
      <c r="S55" s="19">
        <v>3883</v>
      </c>
      <c r="T55" s="19">
        <v>44596</v>
      </c>
      <c r="U55" s="19">
        <v>112387</v>
      </c>
      <c r="V55" s="19">
        <v>1465</v>
      </c>
      <c r="W55" s="20"/>
      <c r="X55" s="27">
        <f t="shared" si="1"/>
        <v>8.7861510548697392</v>
      </c>
      <c r="Y55" s="27">
        <f t="shared" si="2"/>
        <v>8.940498217652733</v>
      </c>
      <c r="Z55" s="27">
        <f t="shared" si="3"/>
        <v>10.279386525042526</v>
      </c>
      <c r="AA55" s="27">
        <f t="shared" si="4"/>
        <v>9.1330272688735121</v>
      </c>
      <c r="AB55" s="27">
        <f t="shared" si="5"/>
        <v>8.1185050675870976</v>
      </c>
      <c r="AC55" s="27">
        <f t="shared" si="6"/>
        <v>8.0842541063073181</v>
      </c>
      <c r="AD55" s="27">
        <f t="shared" si="7"/>
        <v>10.593630224075774</v>
      </c>
      <c r="AE55" s="27">
        <f t="shared" si="8"/>
        <v>11.039829058014245</v>
      </c>
      <c r="AF55" s="27">
        <f t="shared" si="9"/>
        <v>10.55737401914277</v>
      </c>
      <c r="AG55" s="27">
        <f t="shared" si="10"/>
        <v>10.967111492281759</v>
      </c>
      <c r="AH55" s="27">
        <f t="shared" si="11"/>
        <v>8.8748676356880534</v>
      </c>
      <c r="AI55" s="27">
        <f t="shared" si="12"/>
        <v>7.1899221707458079</v>
      </c>
      <c r="AJ55" s="27">
        <f t="shared" si="13"/>
        <v>7.9058103126589314</v>
      </c>
      <c r="AK55" s="27">
        <f t="shared" si="14"/>
        <v>8.7360073845692181</v>
      </c>
      <c r="AL55" s="27">
        <f t="shared" si="15"/>
        <v>9.9918188913260924</v>
      </c>
      <c r="AM55" s="27">
        <f t="shared" si="16"/>
        <v>8.5989574932188777</v>
      </c>
      <c r="AN55" s="27">
        <f t="shared" si="17"/>
        <v>8.6990146231685106</v>
      </c>
      <c r="AO55" s="27">
        <f t="shared" si="18"/>
        <v>8.2643633297316672</v>
      </c>
      <c r="AP55" s="27">
        <f t="shared" si="19"/>
        <v>10.705399447887462</v>
      </c>
      <c r="AQ55" s="27">
        <f t="shared" si="20"/>
        <v>11.629703551389794</v>
      </c>
      <c r="AR55" s="27">
        <f t="shared" si="21"/>
        <v>7.2896105214511673</v>
      </c>
      <c r="AS55" s="19"/>
      <c r="AT55" s="29">
        <f t="shared" si="23"/>
        <v>2.2951582257970671E-3</v>
      </c>
      <c r="AU55" s="29">
        <f t="shared" si="24"/>
        <v>8.4177795494255747E-3</v>
      </c>
      <c r="AV55" s="29">
        <f t="shared" si="25"/>
        <v>2.0254559382189896E-2</v>
      </c>
      <c r="AW55" s="29">
        <f t="shared" si="26"/>
        <v>1.0534987470524726E-2</v>
      </c>
      <c r="AX55" s="29">
        <f t="shared" si="27"/>
        <v>1.0182777413858091E-2</v>
      </c>
      <c r="AY55" s="29">
        <f t="shared" si="28"/>
        <v>1.0227890183257315E-2</v>
      </c>
      <c r="AZ55" s="29">
        <f t="shared" si="29"/>
        <v>1.1601643369063552E-2</v>
      </c>
      <c r="BA55" s="29">
        <f t="shared" si="30"/>
        <v>6.5535993415579696E-3</v>
      </c>
      <c r="BB55" s="29">
        <f t="shared" si="31"/>
        <v>9.771979624007443E-3</v>
      </c>
      <c r="BC55" s="29">
        <f t="shared" si="32"/>
        <v>1.264498463358521E-2</v>
      </c>
      <c r="BD55" s="29">
        <f t="shared" si="33"/>
        <v>1.6641196323041285E-2</v>
      </c>
      <c r="BE55" s="29">
        <f t="shared" si="34"/>
        <v>1.673042825920934E-2</v>
      </c>
      <c r="BF55" s="29">
        <f t="shared" si="35"/>
        <v>6.6568293158342229E-3</v>
      </c>
      <c r="BG55" s="29">
        <f t="shared" si="36"/>
        <v>1.2450641878787749E-2</v>
      </c>
      <c r="BH55" s="29">
        <f t="shared" si="37"/>
        <v>1.0074840824197295E-2</v>
      </c>
      <c r="BI55" s="29">
        <f t="shared" si="38"/>
        <v>1.093312104204891E-2</v>
      </c>
      <c r="BJ55" s="29">
        <f t="shared" si="39"/>
        <v>4.3449266215187521E-3</v>
      </c>
      <c r="BK55" s="29">
        <f t="shared" si="40"/>
        <v>2.3204857647254329E-3</v>
      </c>
      <c r="BL55" s="29">
        <f t="shared" si="41"/>
        <v>5.0355290289125776E-3</v>
      </c>
      <c r="BM55" s="29">
        <f t="shared" si="42"/>
        <v>1.7077558313946639E-2</v>
      </c>
      <c r="BN55" s="29">
        <f t="shared" si="43"/>
        <v>2.2085093622995267E-2</v>
      </c>
      <c r="BO55" s="20"/>
      <c r="BP55" s="19"/>
      <c r="BR55" s="19"/>
      <c r="BS55" s="19"/>
      <c r="BT55" s="19"/>
      <c r="BU55" s="19"/>
      <c r="BW55" s="19"/>
      <c r="BX55" s="20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20"/>
      <c r="CO55" s="19"/>
      <c r="CP55" s="20"/>
      <c r="CQ55" s="19"/>
      <c r="CR55" s="19"/>
      <c r="CS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G55" s="20"/>
      <c r="DH55" s="19"/>
      <c r="DI55" s="19"/>
      <c r="DJ55" s="19"/>
      <c r="DK55" s="19"/>
      <c r="DL55" s="19"/>
      <c r="DM55" s="19"/>
      <c r="DN55" s="19"/>
      <c r="DO55" s="20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20"/>
      <c r="EF55" s="20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20"/>
      <c r="GI55" s="19"/>
      <c r="GJ55" s="22"/>
    </row>
    <row r="56" spans="1:192" x14ac:dyDescent="0.25">
      <c r="A56" s="18">
        <v>1924</v>
      </c>
      <c r="B56" s="19">
        <v>6562</v>
      </c>
      <c r="C56" s="19">
        <v>7707</v>
      </c>
      <c r="D56" s="19">
        <v>29723</v>
      </c>
      <c r="E56" s="19">
        <v>9394</v>
      </c>
      <c r="F56" s="19">
        <v>3389</v>
      </c>
      <c r="G56" s="19">
        <v>3272</v>
      </c>
      <c r="H56" s="19">
        <v>40310</v>
      </c>
      <c r="I56" s="19">
        <v>62697</v>
      </c>
      <c r="J56" s="19">
        <v>38810</v>
      </c>
      <c r="K56" s="19">
        <v>58686</v>
      </c>
      <c r="L56" s="19">
        <v>7264</v>
      </c>
      <c r="M56" s="19">
        <v>1350</v>
      </c>
      <c r="N56" s="19">
        <v>2729</v>
      </c>
      <c r="O56" s="19">
        <v>6300</v>
      </c>
      <c r="P56" s="19">
        <v>22069</v>
      </c>
      <c r="Q56" s="19">
        <v>5452</v>
      </c>
      <c r="R56" s="19">
        <v>6021</v>
      </c>
      <c r="S56" s="19">
        <v>3896</v>
      </c>
      <c r="T56" s="19">
        <v>44915</v>
      </c>
      <c r="U56" s="19">
        <v>114558</v>
      </c>
      <c r="V56" s="19">
        <v>1498</v>
      </c>
      <c r="W56" s="20"/>
      <c r="X56" s="27">
        <f t="shared" si="1"/>
        <v>8.7890507135210463</v>
      </c>
      <c r="Y56" s="27">
        <f t="shared" si="2"/>
        <v>8.9498842857779941</v>
      </c>
      <c r="Z56" s="27">
        <f t="shared" si="3"/>
        <v>10.299676435863896</v>
      </c>
      <c r="AA56" s="27">
        <f t="shared" si="4"/>
        <v>9.14782646658694</v>
      </c>
      <c r="AB56" s="27">
        <f t="shared" si="5"/>
        <v>8.1282901716070519</v>
      </c>
      <c r="AC56" s="27">
        <f t="shared" si="6"/>
        <v>8.0931566977226375</v>
      </c>
      <c r="AD56" s="27">
        <f t="shared" si="7"/>
        <v>10.604354856111211</v>
      </c>
      <c r="AE56" s="27">
        <f t="shared" si="8"/>
        <v>11.046068878586361</v>
      </c>
      <c r="AF56" s="27">
        <f t="shared" si="9"/>
        <v>10.566433224362951</v>
      </c>
      <c r="AG56" s="27">
        <f t="shared" si="10"/>
        <v>10.979956476518549</v>
      </c>
      <c r="AH56" s="27">
        <f t="shared" si="11"/>
        <v>8.890685920281129</v>
      </c>
      <c r="AI56" s="27">
        <f t="shared" si="12"/>
        <v>7.2078598714324755</v>
      </c>
      <c r="AJ56" s="27">
        <f t="shared" si="13"/>
        <v>7.9116905207083388</v>
      </c>
      <c r="AK56" s="27">
        <f t="shared" si="14"/>
        <v>8.7483049123796235</v>
      </c>
      <c r="AL56" s="27">
        <f t="shared" si="15"/>
        <v>10.001929187848161</v>
      </c>
      <c r="AM56" s="27">
        <f t="shared" si="16"/>
        <v>8.6037377928164229</v>
      </c>
      <c r="AN56" s="27">
        <f t="shared" si="17"/>
        <v>8.703008637464448</v>
      </c>
      <c r="AO56" s="27">
        <f t="shared" si="18"/>
        <v>8.2677056647624259</v>
      </c>
      <c r="AP56" s="27">
        <f t="shared" si="19"/>
        <v>10.712527093663306</v>
      </c>
      <c r="AQ56" s="27">
        <f t="shared" si="20"/>
        <v>11.648836523941519</v>
      </c>
      <c r="AR56" s="27">
        <f t="shared" si="21"/>
        <v>7.3118861640771646</v>
      </c>
      <c r="AS56" s="19"/>
      <c r="AT56" s="29">
        <f t="shared" si="23"/>
        <v>2.8996586513070355E-3</v>
      </c>
      <c r="AU56" s="29">
        <f t="shared" si="24"/>
        <v>9.3860681252611045E-3</v>
      </c>
      <c r="AV56" s="29">
        <f t="shared" si="25"/>
        <v>2.0289910821370327E-2</v>
      </c>
      <c r="AW56" s="29">
        <f t="shared" si="26"/>
        <v>1.4799197713427859E-2</v>
      </c>
      <c r="AX56" s="29">
        <f t="shared" si="27"/>
        <v>9.7851040199543604E-3</v>
      </c>
      <c r="AY56" s="29">
        <f t="shared" si="28"/>
        <v>8.9025914153193497E-3</v>
      </c>
      <c r="AZ56" s="29">
        <f t="shared" si="29"/>
        <v>1.0724632035437054E-2</v>
      </c>
      <c r="BA56" s="29">
        <f t="shared" si="30"/>
        <v>6.2398205721159172E-3</v>
      </c>
      <c r="BB56" s="29">
        <f t="shared" si="31"/>
        <v>9.0592052201809992E-3</v>
      </c>
      <c r="BC56" s="29">
        <f t="shared" si="32"/>
        <v>1.2844984236789259E-2</v>
      </c>
      <c r="BD56" s="29">
        <f t="shared" si="33"/>
        <v>1.581828459307566E-2</v>
      </c>
      <c r="BE56" s="29">
        <f t="shared" si="34"/>
        <v>1.7937700686667668E-2</v>
      </c>
      <c r="BF56" s="29">
        <f t="shared" si="35"/>
        <v>5.880208049407365E-3</v>
      </c>
      <c r="BG56" s="29">
        <f t="shared" si="36"/>
        <v>1.2297527810405384E-2</v>
      </c>
      <c r="BH56" s="29">
        <f t="shared" si="37"/>
        <v>1.0110296522068296E-2</v>
      </c>
      <c r="BI56" s="29">
        <f t="shared" si="38"/>
        <v>4.7802995975452234E-3</v>
      </c>
      <c r="BJ56" s="29">
        <f t="shared" si="39"/>
        <v>3.9940142959373759E-3</v>
      </c>
      <c r="BK56" s="29">
        <f t="shared" si="40"/>
        <v>3.3423350307586475E-3</v>
      </c>
      <c r="BL56" s="29">
        <f t="shared" si="41"/>
        <v>7.1276457758440159E-3</v>
      </c>
      <c r="BM56" s="29">
        <f t="shared" si="42"/>
        <v>1.9132972551725302E-2</v>
      </c>
      <c r="BN56" s="29">
        <f t="shared" si="43"/>
        <v>2.2275642625997349E-2</v>
      </c>
      <c r="BO56" s="20"/>
      <c r="BP56" s="19"/>
      <c r="BR56" s="19"/>
      <c r="BS56" s="19"/>
      <c r="BT56" s="19"/>
      <c r="BU56" s="19"/>
      <c r="BW56" s="19"/>
      <c r="BX56" s="20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20"/>
      <c r="CO56" s="19"/>
      <c r="CP56" s="20"/>
      <c r="CQ56" s="19"/>
      <c r="CR56" s="19"/>
      <c r="CS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G56" s="20"/>
      <c r="DH56" s="19"/>
      <c r="DI56" s="19"/>
      <c r="DJ56" s="19"/>
      <c r="DK56" s="19"/>
      <c r="DL56" s="19"/>
      <c r="DM56" s="19"/>
      <c r="DN56" s="19"/>
      <c r="DO56" s="20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20"/>
      <c r="EF56" s="20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20"/>
      <c r="GI56" s="19"/>
      <c r="GJ56" s="22"/>
    </row>
    <row r="57" spans="1:192" x14ac:dyDescent="0.25">
      <c r="A57" s="18">
        <v>1925</v>
      </c>
      <c r="B57" s="19">
        <v>6582</v>
      </c>
      <c r="C57" s="19">
        <v>7779</v>
      </c>
      <c r="D57" s="19">
        <v>30332</v>
      </c>
      <c r="E57" s="19">
        <v>9549</v>
      </c>
      <c r="F57" s="19">
        <v>3425</v>
      </c>
      <c r="G57" s="19">
        <v>3304</v>
      </c>
      <c r="H57" s="19">
        <v>40610</v>
      </c>
      <c r="I57" s="19">
        <v>63166</v>
      </c>
      <c r="J57" s="19">
        <v>39165</v>
      </c>
      <c r="K57" s="19">
        <v>59522</v>
      </c>
      <c r="L57" s="19">
        <v>7366</v>
      </c>
      <c r="M57" s="19">
        <v>1382</v>
      </c>
      <c r="N57" s="19">
        <v>2747</v>
      </c>
      <c r="O57" s="19">
        <v>6378</v>
      </c>
      <c r="P57" s="19">
        <v>22292</v>
      </c>
      <c r="Q57" s="19">
        <v>5505</v>
      </c>
      <c r="R57" s="19">
        <v>6045</v>
      </c>
      <c r="S57" s="19">
        <v>3910</v>
      </c>
      <c r="T57" s="19">
        <v>45059</v>
      </c>
      <c r="U57" s="19">
        <v>116284</v>
      </c>
      <c r="V57" s="19">
        <v>1534</v>
      </c>
      <c r="W57" s="20"/>
      <c r="X57" s="27">
        <f t="shared" si="1"/>
        <v>8.7920939295032845</v>
      </c>
      <c r="Y57" s="27">
        <f t="shared" si="2"/>
        <v>8.9591830742067735</v>
      </c>
      <c r="Z57" s="27">
        <f t="shared" si="3"/>
        <v>10.319958539820826</v>
      </c>
      <c r="AA57" s="27">
        <f t="shared" si="4"/>
        <v>9.1641917159502029</v>
      </c>
      <c r="AB57" s="27">
        <f t="shared" si="5"/>
        <v>8.1388567506963252</v>
      </c>
      <c r="AC57" s="27">
        <f t="shared" si="6"/>
        <v>8.1028891346408685</v>
      </c>
      <c r="AD57" s="27">
        <f t="shared" si="7"/>
        <v>10.611769620680343</v>
      </c>
      <c r="AE57" s="27">
        <f t="shared" si="8"/>
        <v>11.053521460691103</v>
      </c>
      <c r="AF57" s="27">
        <f t="shared" si="9"/>
        <v>10.575538769801339</v>
      </c>
      <c r="AG57" s="27">
        <f t="shared" si="10"/>
        <v>10.994101271092971</v>
      </c>
      <c r="AH57" s="27">
        <f t="shared" si="11"/>
        <v>8.9046300970050112</v>
      </c>
      <c r="AI57" s="27">
        <f t="shared" si="12"/>
        <v>7.2312870043276156</v>
      </c>
      <c r="AJ57" s="27">
        <f t="shared" si="13"/>
        <v>7.9182646860952737</v>
      </c>
      <c r="AK57" s="27">
        <f t="shared" si="14"/>
        <v>8.7606098475700023</v>
      </c>
      <c r="AL57" s="27">
        <f t="shared" si="15"/>
        <v>10.011983148689428</v>
      </c>
      <c r="AM57" s="27">
        <f t="shared" si="16"/>
        <v>8.6134120491567803</v>
      </c>
      <c r="AN57" s="27">
        <f t="shared" si="17"/>
        <v>8.7069867630488922</v>
      </c>
      <c r="AO57" s="27">
        <f t="shared" si="18"/>
        <v>8.2712926529794117</v>
      </c>
      <c r="AP57" s="27">
        <f t="shared" si="19"/>
        <v>10.71572802110793</v>
      </c>
      <c r="AQ57" s="27">
        <f t="shared" si="20"/>
        <v>11.663790753805957</v>
      </c>
      <c r="AR57" s="27">
        <f t="shared" si="21"/>
        <v>7.3356339819272014</v>
      </c>
      <c r="AS57" s="19"/>
      <c r="AT57" s="29">
        <f t="shared" si="23"/>
        <v>3.0432159822382232E-3</v>
      </c>
      <c r="AU57" s="29">
        <f t="shared" si="24"/>
        <v>9.2987884287794031E-3</v>
      </c>
      <c r="AV57" s="29">
        <f t="shared" si="25"/>
        <v>2.0282103956930086E-2</v>
      </c>
      <c r="AW57" s="29">
        <f t="shared" si="26"/>
        <v>1.636524936326289E-2</v>
      </c>
      <c r="AX57" s="29">
        <f t="shared" si="27"/>
        <v>1.0566579089273276E-2</v>
      </c>
      <c r="AY57" s="29">
        <f t="shared" si="28"/>
        <v>9.7324369182310022E-3</v>
      </c>
      <c r="AZ57" s="29">
        <f t="shared" si="29"/>
        <v>7.4147645691322595E-3</v>
      </c>
      <c r="BA57" s="29">
        <f t="shared" si="30"/>
        <v>7.4525821047419782E-3</v>
      </c>
      <c r="BB57" s="29">
        <f t="shared" si="31"/>
        <v>9.1055454383877077E-3</v>
      </c>
      <c r="BC57" s="29">
        <f t="shared" si="32"/>
        <v>1.4144794574422193E-2</v>
      </c>
      <c r="BD57" s="29">
        <f t="shared" si="33"/>
        <v>1.3944176723882151E-2</v>
      </c>
      <c r="BE57" s="29">
        <f t="shared" si="34"/>
        <v>2.342713289514009E-2</v>
      </c>
      <c r="BF57" s="29">
        <f t="shared" si="35"/>
        <v>6.5741653869348937E-3</v>
      </c>
      <c r="BG57" s="29">
        <f t="shared" si="36"/>
        <v>1.2304935190378785E-2</v>
      </c>
      <c r="BH57" s="29">
        <f t="shared" si="37"/>
        <v>1.0053960841267084E-2</v>
      </c>
      <c r="BI57" s="29">
        <f t="shared" si="38"/>
        <v>9.6742563403573456E-3</v>
      </c>
      <c r="BJ57" s="29">
        <f t="shared" si="39"/>
        <v>3.9781255844442143E-3</v>
      </c>
      <c r="BK57" s="29">
        <f t="shared" si="40"/>
        <v>3.5869882169858869E-3</v>
      </c>
      <c r="BL57" s="29">
        <f t="shared" si="41"/>
        <v>3.2009274446238578E-3</v>
      </c>
      <c r="BM57" s="29">
        <f t="shared" si="42"/>
        <v>1.4954229864438062E-2</v>
      </c>
      <c r="BN57" s="29">
        <f t="shared" si="43"/>
        <v>2.3747817850036768E-2</v>
      </c>
      <c r="BO57" s="20"/>
      <c r="BP57" s="19"/>
      <c r="BR57" s="19"/>
      <c r="BS57" s="19"/>
      <c r="BT57" s="19"/>
      <c r="BU57" s="19"/>
      <c r="BW57" s="19"/>
      <c r="BX57" s="20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20"/>
      <c r="CO57" s="19"/>
      <c r="CP57" s="20"/>
      <c r="CQ57" s="19"/>
      <c r="CR57" s="19"/>
      <c r="CS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G57" s="20"/>
      <c r="DH57" s="19"/>
      <c r="DI57" s="19"/>
      <c r="DJ57" s="19"/>
      <c r="DK57" s="19"/>
      <c r="DL57" s="19"/>
      <c r="DM57" s="19"/>
      <c r="DN57" s="19"/>
      <c r="DO57" s="20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20"/>
      <c r="EF57" s="20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20"/>
      <c r="GI57" s="19"/>
      <c r="GJ57" s="22"/>
    </row>
    <row r="58" spans="1:192" x14ac:dyDescent="0.25">
      <c r="A58" s="18">
        <v>1926</v>
      </c>
      <c r="B58" s="19">
        <v>6603</v>
      </c>
      <c r="C58" s="19">
        <v>7844</v>
      </c>
      <c r="D58" s="19">
        <v>30953</v>
      </c>
      <c r="E58" s="19">
        <v>9713</v>
      </c>
      <c r="F58" s="19">
        <v>3452</v>
      </c>
      <c r="G58" s="19">
        <v>3339</v>
      </c>
      <c r="H58" s="19">
        <v>40870</v>
      </c>
      <c r="I58" s="19">
        <v>63630</v>
      </c>
      <c r="J58" s="19">
        <v>39502</v>
      </c>
      <c r="K58" s="19">
        <v>60490</v>
      </c>
      <c r="L58" s="19">
        <v>7471</v>
      </c>
      <c r="M58" s="19">
        <v>1412</v>
      </c>
      <c r="N58" s="19">
        <v>2763</v>
      </c>
      <c r="O58" s="19">
        <v>6457</v>
      </c>
      <c r="P58" s="19">
        <v>22518</v>
      </c>
      <c r="Q58" s="19">
        <v>5545</v>
      </c>
      <c r="R58" s="19">
        <v>6064</v>
      </c>
      <c r="S58" s="19">
        <v>3932</v>
      </c>
      <c r="T58" s="19">
        <v>45232</v>
      </c>
      <c r="U58" s="19">
        <v>117857</v>
      </c>
      <c r="V58" s="19">
        <v>1571</v>
      </c>
      <c r="W58" s="20"/>
      <c r="X58" s="27">
        <f t="shared" si="1"/>
        <v>8.7952793701945708</v>
      </c>
      <c r="Y58" s="27">
        <f t="shared" si="2"/>
        <v>8.9675041873162371</v>
      </c>
      <c r="Z58" s="27">
        <f t="shared" si="3"/>
        <v>10.3402252039484</v>
      </c>
      <c r="AA58" s="27">
        <f t="shared" si="4"/>
        <v>9.1812204734023304</v>
      </c>
      <c r="AB58" s="27">
        <f t="shared" si="5"/>
        <v>8.1467090522033185</v>
      </c>
      <c r="AC58" s="27">
        <f t="shared" si="6"/>
        <v>8.1134266399436541</v>
      </c>
      <c r="AD58" s="27">
        <f t="shared" si="7"/>
        <v>10.618151576558324</v>
      </c>
      <c r="AE58" s="27">
        <f t="shared" si="8"/>
        <v>11.060840336226837</v>
      </c>
      <c r="AF58" s="27">
        <f t="shared" si="9"/>
        <v>10.584106582518803</v>
      </c>
      <c r="AG58" s="27">
        <f t="shared" si="10"/>
        <v>11.01023334110096</v>
      </c>
      <c r="AH58" s="27">
        <f t="shared" si="11"/>
        <v>8.9187841379758019</v>
      </c>
      <c r="AI58" s="27">
        <f t="shared" si="12"/>
        <v>7.2527624180531873</v>
      </c>
      <c r="AJ58" s="27">
        <f t="shared" si="13"/>
        <v>7.9240723249234168</v>
      </c>
      <c r="AK58" s="27">
        <f t="shared" si="14"/>
        <v>8.7729200926264674</v>
      </c>
      <c r="AL58" s="27">
        <f t="shared" si="15"/>
        <v>10.022070268363075</v>
      </c>
      <c r="AM58" s="27">
        <f t="shared" si="16"/>
        <v>8.6206518997844679</v>
      </c>
      <c r="AN58" s="27">
        <f t="shared" si="17"/>
        <v>8.710124927322207</v>
      </c>
      <c r="AO58" s="27">
        <f t="shared" si="18"/>
        <v>8.2769034812670572</v>
      </c>
      <c r="AP58" s="27">
        <f t="shared" si="19"/>
        <v>10.719560079933371</v>
      </c>
      <c r="AQ58" s="27">
        <f t="shared" si="20"/>
        <v>11.677227304139558</v>
      </c>
      <c r="AR58" s="27">
        <f t="shared" si="21"/>
        <v>7.3594676382556212</v>
      </c>
      <c r="AS58" s="19"/>
      <c r="AT58" s="29">
        <f t="shared" si="23"/>
        <v>3.1854406912863453E-3</v>
      </c>
      <c r="AU58" s="29">
        <f t="shared" si="24"/>
        <v>8.3211131094635959E-3</v>
      </c>
      <c r="AV58" s="29">
        <f t="shared" si="25"/>
        <v>2.0266664127573719E-2</v>
      </c>
      <c r="AW58" s="29">
        <f t="shared" si="26"/>
        <v>1.7028757452127508E-2</v>
      </c>
      <c r="AX58" s="29">
        <f t="shared" si="27"/>
        <v>7.8523015069933422E-3</v>
      </c>
      <c r="AY58" s="29">
        <f t="shared" si="28"/>
        <v>1.0537505302785632E-2</v>
      </c>
      <c r="AZ58" s="29">
        <f t="shared" si="29"/>
        <v>6.3819558779805163E-3</v>
      </c>
      <c r="BA58" s="29">
        <f t="shared" si="30"/>
        <v>7.3188755357342927E-3</v>
      </c>
      <c r="BB58" s="29">
        <f t="shared" si="31"/>
        <v>8.5678127174642071E-3</v>
      </c>
      <c r="BC58" s="29">
        <f t="shared" si="32"/>
        <v>1.6132070007989441E-2</v>
      </c>
      <c r="BD58" s="29">
        <f t="shared" si="33"/>
        <v>1.415404097079076E-2</v>
      </c>
      <c r="BE58" s="29">
        <f t="shared" si="34"/>
        <v>2.1475413725571713E-2</v>
      </c>
      <c r="BF58" s="29">
        <f t="shared" si="35"/>
        <v>5.807638828143169E-3</v>
      </c>
      <c r="BG58" s="29">
        <f t="shared" si="36"/>
        <v>1.2310245056465163E-2</v>
      </c>
      <c r="BH58" s="29">
        <f t="shared" si="37"/>
        <v>1.0087119673647393E-2</v>
      </c>
      <c r="BI58" s="29">
        <f t="shared" si="38"/>
        <v>7.2398506276876162E-3</v>
      </c>
      <c r="BJ58" s="29">
        <f t="shared" si="39"/>
        <v>3.1381642733148141E-3</v>
      </c>
      <c r="BK58" s="29">
        <f t="shared" si="40"/>
        <v>5.6108282876454751E-3</v>
      </c>
      <c r="BL58" s="29">
        <f t="shared" si="41"/>
        <v>3.8320588254414645E-3</v>
      </c>
      <c r="BM58" s="29">
        <f t="shared" si="42"/>
        <v>1.343655033360136E-2</v>
      </c>
      <c r="BN58" s="29">
        <f t="shared" si="43"/>
        <v>2.3833656328419828E-2</v>
      </c>
      <c r="BO58" s="20"/>
      <c r="BP58" s="19"/>
      <c r="BR58" s="19"/>
      <c r="BS58" s="19"/>
      <c r="BT58" s="19"/>
      <c r="BU58" s="19"/>
      <c r="BW58" s="19"/>
      <c r="BX58" s="20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20"/>
      <c r="CO58" s="19"/>
      <c r="CP58" s="20"/>
      <c r="CQ58" s="19"/>
      <c r="CR58" s="19"/>
      <c r="CS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G58" s="20"/>
      <c r="DH58" s="19"/>
      <c r="DI58" s="19"/>
      <c r="DJ58" s="19"/>
      <c r="DK58" s="19"/>
      <c r="DL58" s="19"/>
      <c r="DM58" s="19"/>
      <c r="DN58" s="19"/>
      <c r="DO58" s="20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20"/>
      <c r="EF58" s="20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20"/>
      <c r="GI58" s="19"/>
      <c r="GJ58" s="22"/>
    </row>
    <row r="59" spans="1:192" x14ac:dyDescent="0.25">
      <c r="A59" s="18">
        <v>1927</v>
      </c>
      <c r="B59" s="19">
        <v>6623</v>
      </c>
      <c r="C59" s="19">
        <v>7904</v>
      </c>
      <c r="D59" s="19">
        <v>31587</v>
      </c>
      <c r="E59" s="19">
        <v>9905</v>
      </c>
      <c r="F59" s="19">
        <v>3475</v>
      </c>
      <c r="G59" s="19">
        <v>3368</v>
      </c>
      <c r="H59" s="19">
        <v>40940</v>
      </c>
      <c r="I59" s="19">
        <v>64023</v>
      </c>
      <c r="J59" s="19">
        <v>39848</v>
      </c>
      <c r="K59" s="19">
        <v>61430</v>
      </c>
      <c r="L59" s="19">
        <v>7576</v>
      </c>
      <c r="M59" s="19">
        <v>1437</v>
      </c>
      <c r="N59" s="19">
        <v>2775</v>
      </c>
      <c r="O59" s="19">
        <v>6538</v>
      </c>
      <c r="P59" s="19">
        <v>22747</v>
      </c>
      <c r="Q59" s="19">
        <v>5591</v>
      </c>
      <c r="R59" s="19">
        <v>6081</v>
      </c>
      <c r="S59" s="19">
        <v>3956</v>
      </c>
      <c r="T59" s="19">
        <v>45389</v>
      </c>
      <c r="U59" s="19">
        <v>119502</v>
      </c>
      <c r="V59" s="19">
        <v>1608</v>
      </c>
      <c r="W59" s="20"/>
      <c r="X59" s="27">
        <f t="shared" si="1"/>
        <v>8.7983037184849788</v>
      </c>
      <c r="Y59" s="27">
        <f t="shared" si="2"/>
        <v>8.9751242394277035</v>
      </c>
      <c r="Z59" s="27">
        <f t="shared" si="3"/>
        <v>10.360500922524869</v>
      </c>
      <c r="AA59" s="27">
        <f t="shared" si="4"/>
        <v>9.2007949591326508</v>
      </c>
      <c r="AB59" s="27">
        <f t="shared" si="5"/>
        <v>8.1533497579988925</v>
      </c>
      <c r="AC59" s="27">
        <f t="shared" si="6"/>
        <v>8.1220743753622173</v>
      </c>
      <c r="AD59" s="27">
        <f t="shared" si="7"/>
        <v>10.61986285921528</v>
      </c>
      <c r="AE59" s="27">
        <f t="shared" si="8"/>
        <v>11.066997672782081</v>
      </c>
      <c r="AF59" s="27">
        <f t="shared" si="9"/>
        <v>10.59282749475312</v>
      </c>
      <c r="AG59" s="27">
        <f t="shared" si="10"/>
        <v>11.025653594157973</v>
      </c>
      <c r="AH59" s="27">
        <f t="shared" si="11"/>
        <v>8.9327406348659135</v>
      </c>
      <c r="AI59" s="27">
        <f t="shared" si="12"/>
        <v>7.2703128860790249</v>
      </c>
      <c r="AJ59" s="27">
        <f t="shared" si="13"/>
        <v>7.9284060261805349</v>
      </c>
      <c r="AK59" s="27">
        <f t="shared" si="14"/>
        <v>8.7853865872841563</v>
      </c>
      <c r="AL59" s="27">
        <f t="shared" si="15"/>
        <v>10.032188547551861</v>
      </c>
      <c r="AM59" s="27">
        <f t="shared" si="16"/>
        <v>8.6289134410266453</v>
      </c>
      <c r="AN59" s="27">
        <f t="shared" si="17"/>
        <v>8.7129244351201098</v>
      </c>
      <c r="AO59" s="27">
        <f t="shared" si="18"/>
        <v>8.2829886927426024</v>
      </c>
      <c r="AP59" s="27">
        <f t="shared" si="19"/>
        <v>10.723025063923394</v>
      </c>
      <c r="AQ59" s="27">
        <f t="shared" si="20"/>
        <v>11.691088386615323</v>
      </c>
      <c r="AR59" s="27">
        <f t="shared" si="21"/>
        <v>7.3827464497389119</v>
      </c>
      <c r="AS59" s="19"/>
      <c r="AT59" s="29">
        <f t="shared" si="23"/>
        <v>3.0243482904079855E-3</v>
      </c>
      <c r="AU59" s="29">
        <f t="shared" si="24"/>
        <v>7.6200521114664355E-3</v>
      </c>
      <c r="AV59" s="29">
        <f t="shared" si="25"/>
        <v>2.0275718576469259E-2</v>
      </c>
      <c r="AW59" s="29">
        <f t="shared" si="26"/>
        <v>1.957448573032039E-2</v>
      </c>
      <c r="AX59" s="29">
        <f t="shared" si="27"/>
        <v>6.6407057955739646E-3</v>
      </c>
      <c r="AY59" s="29">
        <f t="shared" si="28"/>
        <v>8.6477354185632294E-3</v>
      </c>
      <c r="AZ59" s="29">
        <f t="shared" si="29"/>
        <v>1.7112826569558592E-3</v>
      </c>
      <c r="BA59" s="29">
        <f t="shared" si="30"/>
        <v>6.1573365552440862E-3</v>
      </c>
      <c r="BB59" s="29">
        <f t="shared" si="31"/>
        <v>8.7209122343168133E-3</v>
      </c>
      <c r="BC59" s="29">
        <f t="shared" si="32"/>
        <v>1.5420253057012445E-2</v>
      </c>
      <c r="BD59" s="29">
        <f t="shared" si="33"/>
        <v>1.395649689011158E-2</v>
      </c>
      <c r="BE59" s="29">
        <f t="shared" si="34"/>
        <v>1.7550468025837596E-2</v>
      </c>
      <c r="BF59" s="29">
        <f t="shared" si="35"/>
        <v>4.3337012571180722E-3</v>
      </c>
      <c r="BG59" s="29">
        <f t="shared" si="36"/>
        <v>1.2466494657688898E-2</v>
      </c>
      <c r="BH59" s="29">
        <f t="shared" si="37"/>
        <v>1.0118279188786161E-2</v>
      </c>
      <c r="BI59" s="29">
        <f t="shared" si="38"/>
        <v>8.2615412421773726E-3</v>
      </c>
      <c r="BJ59" s="29">
        <f t="shared" si="39"/>
        <v>2.7995077979028338E-3</v>
      </c>
      <c r="BK59" s="29">
        <f t="shared" si="40"/>
        <v>6.0852114755451936E-3</v>
      </c>
      <c r="BL59" s="29">
        <f t="shared" si="41"/>
        <v>3.4649839900229296E-3</v>
      </c>
      <c r="BM59" s="29">
        <f t="shared" si="42"/>
        <v>1.386108247576523E-2</v>
      </c>
      <c r="BN59" s="29">
        <f t="shared" si="43"/>
        <v>2.3278811483290696E-2</v>
      </c>
      <c r="BO59" s="20"/>
      <c r="BP59" s="19"/>
      <c r="BR59" s="19"/>
      <c r="BS59" s="19"/>
      <c r="BT59" s="19"/>
      <c r="BU59" s="19"/>
      <c r="BW59" s="19"/>
      <c r="BX59" s="20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20"/>
      <c r="CO59" s="19"/>
      <c r="CP59" s="20"/>
      <c r="CQ59" s="19"/>
      <c r="CR59" s="19"/>
      <c r="CS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G59" s="20"/>
      <c r="DH59" s="19"/>
      <c r="DI59" s="19"/>
      <c r="DJ59" s="19"/>
      <c r="DK59" s="19"/>
      <c r="DL59" s="19"/>
      <c r="DM59" s="19"/>
      <c r="DN59" s="19"/>
      <c r="DO59" s="20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20"/>
      <c r="EF59" s="20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20"/>
      <c r="GI59" s="19"/>
      <c r="GJ59" s="22"/>
    </row>
    <row r="60" spans="1:192" x14ac:dyDescent="0.25">
      <c r="A60" s="18">
        <v>1928</v>
      </c>
      <c r="B60" s="19">
        <v>6643</v>
      </c>
      <c r="C60" s="19">
        <v>7968</v>
      </c>
      <c r="D60" s="19">
        <v>32234</v>
      </c>
      <c r="E60" s="19">
        <v>10107</v>
      </c>
      <c r="F60" s="19">
        <v>3497</v>
      </c>
      <c r="G60" s="19">
        <v>3396</v>
      </c>
      <c r="H60" s="19">
        <v>41050</v>
      </c>
      <c r="I60" s="19">
        <v>64393</v>
      </c>
      <c r="J60" s="19">
        <v>40186</v>
      </c>
      <c r="K60" s="19">
        <v>62361</v>
      </c>
      <c r="L60" s="19">
        <v>7679</v>
      </c>
      <c r="M60" s="19">
        <v>1454</v>
      </c>
      <c r="N60" s="19">
        <v>2785</v>
      </c>
      <c r="O60" s="19">
        <v>6619</v>
      </c>
      <c r="P60" s="19">
        <v>22977</v>
      </c>
      <c r="Q60" s="19">
        <v>5730</v>
      </c>
      <c r="R60" s="19">
        <v>6097</v>
      </c>
      <c r="S60" s="19">
        <v>3988</v>
      </c>
      <c r="T60" s="19">
        <v>45578</v>
      </c>
      <c r="U60" s="19">
        <v>120971</v>
      </c>
      <c r="V60" s="19">
        <v>1646</v>
      </c>
      <c r="W60" s="20"/>
      <c r="X60" s="27">
        <f t="shared" si="1"/>
        <v>8.8013189476652407</v>
      </c>
      <c r="Y60" s="27">
        <f t="shared" si="2"/>
        <v>8.9831887992644344</v>
      </c>
      <c r="Z60" s="27">
        <f t="shared" si="3"/>
        <v>10.380777075082664</v>
      </c>
      <c r="AA60" s="27">
        <f t="shared" si="4"/>
        <v>9.220983532074662</v>
      </c>
      <c r="AB60" s="27">
        <f t="shared" si="5"/>
        <v>8.1596607370633762</v>
      </c>
      <c r="AC60" s="27">
        <f t="shared" si="6"/>
        <v>8.1303535474312376</v>
      </c>
      <c r="AD60" s="27">
        <f t="shared" si="7"/>
        <v>10.622546114880574</v>
      </c>
      <c r="AE60" s="27">
        <f t="shared" si="8"/>
        <v>11.07276021053247</v>
      </c>
      <c r="AF60" s="27">
        <f t="shared" si="9"/>
        <v>10.601273955244498</v>
      </c>
      <c r="AG60" s="27">
        <f t="shared" si="10"/>
        <v>11.040695358963601</v>
      </c>
      <c r="AH60" s="27">
        <f t="shared" si="11"/>
        <v>8.9462446093305434</v>
      </c>
      <c r="AI60" s="27">
        <f t="shared" si="12"/>
        <v>7.2820736580934646</v>
      </c>
      <c r="AJ60" s="27">
        <f t="shared" si="13"/>
        <v>7.9320031523613848</v>
      </c>
      <c r="AK60" s="27">
        <f t="shared" si="14"/>
        <v>8.7976995801189233</v>
      </c>
      <c r="AL60" s="27">
        <f t="shared" si="15"/>
        <v>10.042248994577703</v>
      </c>
      <c r="AM60" s="27">
        <f t="shared" si="16"/>
        <v>8.6534708097087858</v>
      </c>
      <c r="AN60" s="27">
        <f t="shared" si="17"/>
        <v>8.7155521259078164</v>
      </c>
      <c r="AO60" s="27">
        <f t="shared" si="18"/>
        <v>8.291045131081729</v>
      </c>
      <c r="AP60" s="27">
        <f t="shared" si="19"/>
        <v>10.727180422942716</v>
      </c>
      <c r="AQ60" s="27">
        <f t="shared" si="20"/>
        <v>11.703306126432086</v>
      </c>
      <c r="AR60" s="27">
        <f t="shared" si="21"/>
        <v>7.4061033812370152</v>
      </c>
      <c r="AS60" s="19"/>
      <c r="AT60" s="29">
        <f t="shared" si="23"/>
        <v>3.0152291802618691E-3</v>
      </c>
      <c r="AU60" s="29">
        <f t="shared" si="24"/>
        <v>8.0645598367308224E-3</v>
      </c>
      <c r="AV60" s="29">
        <f t="shared" si="25"/>
        <v>2.0276152557794802E-2</v>
      </c>
      <c r="AW60" s="29">
        <f t="shared" si="26"/>
        <v>2.0188572942011263E-2</v>
      </c>
      <c r="AX60" s="29">
        <f t="shared" si="27"/>
        <v>6.310979064483746E-3</v>
      </c>
      <c r="AY60" s="29">
        <f t="shared" si="28"/>
        <v>8.2791720690202908E-3</v>
      </c>
      <c r="AZ60" s="29">
        <f t="shared" si="29"/>
        <v>2.6832556652944817E-3</v>
      </c>
      <c r="BA60" s="29">
        <f t="shared" si="30"/>
        <v>5.7625377503889297E-3</v>
      </c>
      <c r="BB60" s="29">
        <f t="shared" si="31"/>
        <v>8.4464604913776498E-3</v>
      </c>
      <c r="BC60" s="29">
        <f t="shared" si="32"/>
        <v>1.5041764805628688E-2</v>
      </c>
      <c r="BD60" s="29">
        <f t="shared" si="33"/>
        <v>1.350397446462992E-2</v>
      </c>
      <c r="BE60" s="29">
        <f t="shared" si="34"/>
        <v>1.1760772014439702E-2</v>
      </c>
      <c r="BF60" s="29">
        <f t="shared" si="35"/>
        <v>3.5971261808498411E-3</v>
      </c>
      <c r="BG60" s="29">
        <f t="shared" si="36"/>
        <v>1.2312992834766945E-2</v>
      </c>
      <c r="BH60" s="29">
        <f t="shared" si="37"/>
        <v>1.0060447025841412E-2</v>
      </c>
      <c r="BI60" s="29">
        <f t="shared" si="38"/>
        <v>2.4557368682140535E-2</v>
      </c>
      <c r="BJ60" s="29">
        <f t="shared" si="39"/>
        <v>2.627690787706527E-3</v>
      </c>
      <c r="BK60" s="29">
        <f t="shared" si="40"/>
        <v>8.0564383391266148E-3</v>
      </c>
      <c r="BL60" s="29">
        <f t="shared" si="41"/>
        <v>4.155359019321736E-3</v>
      </c>
      <c r="BM60" s="29">
        <f t="shared" si="42"/>
        <v>1.2217739816762219E-2</v>
      </c>
      <c r="BN60" s="29">
        <f t="shared" si="43"/>
        <v>2.3356931498103251E-2</v>
      </c>
      <c r="BO60" s="20"/>
      <c r="BP60" s="19"/>
      <c r="BR60" s="19"/>
      <c r="BS60" s="19"/>
      <c r="BT60" s="19"/>
      <c r="BU60" s="19"/>
      <c r="BW60" s="19"/>
      <c r="BX60" s="20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20"/>
      <c r="CO60" s="19"/>
      <c r="CP60" s="20"/>
      <c r="CQ60" s="19"/>
      <c r="CR60" s="19"/>
      <c r="CS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G60" s="20"/>
      <c r="DH60" s="19"/>
      <c r="DI60" s="19"/>
      <c r="DJ60" s="19"/>
      <c r="DK60" s="19"/>
      <c r="DL60" s="19"/>
      <c r="DM60" s="19"/>
      <c r="DN60" s="19"/>
      <c r="DO60" s="20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20"/>
      <c r="EF60" s="20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20"/>
      <c r="GI60" s="19"/>
      <c r="GJ60" s="22"/>
    </row>
    <row r="61" spans="1:192" x14ac:dyDescent="0.25">
      <c r="A61" s="18">
        <v>1929</v>
      </c>
      <c r="B61" s="19">
        <v>6664</v>
      </c>
      <c r="C61" s="19">
        <v>8032</v>
      </c>
      <c r="D61" s="19">
        <v>32894</v>
      </c>
      <c r="E61" s="19">
        <v>10305</v>
      </c>
      <c r="F61" s="19">
        <v>3518</v>
      </c>
      <c r="G61" s="19">
        <v>3424</v>
      </c>
      <c r="H61" s="19">
        <v>41230</v>
      </c>
      <c r="I61" s="19">
        <v>64739</v>
      </c>
      <c r="J61" s="19">
        <v>40469</v>
      </c>
      <c r="K61" s="19">
        <v>63244</v>
      </c>
      <c r="L61" s="19">
        <v>7782</v>
      </c>
      <c r="M61" s="19">
        <v>1471</v>
      </c>
      <c r="N61" s="19">
        <v>2795</v>
      </c>
      <c r="O61" s="19">
        <v>6701</v>
      </c>
      <c r="P61" s="19">
        <v>23210</v>
      </c>
      <c r="Q61" s="19">
        <v>5669</v>
      </c>
      <c r="R61" s="19">
        <v>6113</v>
      </c>
      <c r="S61" s="19">
        <v>4022</v>
      </c>
      <c r="T61" s="19">
        <v>45672</v>
      </c>
      <c r="U61" s="19">
        <v>122245</v>
      </c>
      <c r="V61" s="19">
        <v>1685</v>
      </c>
      <c r="W61" s="20"/>
      <c r="X61" s="27">
        <f t="shared" si="1"/>
        <v>8.8044751838466784</v>
      </c>
      <c r="Y61" s="27">
        <f t="shared" si="2"/>
        <v>8.9911888419315105</v>
      </c>
      <c r="Z61" s="27">
        <f t="shared" si="3"/>
        <v>10.401045549301214</v>
      </c>
      <c r="AA61" s="27">
        <f t="shared" si="4"/>
        <v>9.2403844933245587</v>
      </c>
      <c r="AB61" s="27">
        <f t="shared" si="5"/>
        <v>8.1656479252975043</v>
      </c>
      <c r="AC61" s="27">
        <f t="shared" si="6"/>
        <v>8.1385647372616319</v>
      </c>
      <c r="AD61" s="27">
        <f t="shared" si="7"/>
        <v>10.626921425700946</v>
      </c>
      <c r="AE61" s="27">
        <f t="shared" si="8"/>
        <v>11.078119080959949</v>
      </c>
      <c r="AF61" s="27">
        <f t="shared" si="9"/>
        <v>10.608291527903145</v>
      </c>
      <c r="AG61" s="27">
        <f t="shared" si="10"/>
        <v>11.054755540430035</v>
      </c>
      <c r="AH61" s="27">
        <f t="shared" si="11"/>
        <v>8.9595686535444994</v>
      </c>
      <c r="AI61" s="27">
        <f t="shared" si="12"/>
        <v>7.293697720601438</v>
      </c>
      <c r="AJ61" s="27">
        <f t="shared" si="13"/>
        <v>7.9355873855891996</v>
      </c>
      <c r="AK61" s="27">
        <f t="shared" si="14"/>
        <v>8.8100120479731707</v>
      </c>
      <c r="AL61" s="27">
        <f t="shared" si="15"/>
        <v>10.052338499268483</v>
      </c>
      <c r="AM61" s="27">
        <f t="shared" si="16"/>
        <v>8.6427680143243037</v>
      </c>
      <c r="AN61" s="27">
        <f t="shared" si="17"/>
        <v>8.7181729300287252</v>
      </c>
      <c r="AO61" s="27">
        <f t="shared" si="18"/>
        <v>8.2995345703325967</v>
      </c>
      <c r="AP61" s="27">
        <f t="shared" si="19"/>
        <v>10.729240697644094</v>
      </c>
      <c r="AQ61" s="27">
        <f t="shared" si="20"/>
        <v>11.713782506705199</v>
      </c>
      <c r="AR61" s="27">
        <f t="shared" si="21"/>
        <v>7.4295208427864621</v>
      </c>
      <c r="AS61" s="19"/>
      <c r="AT61" s="29">
        <f t="shared" si="23"/>
        <v>3.1562361814376771E-3</v>
      </c>
      <c r="AU61" s="29">
        <f t="shared" si="24"/>
        <v>8.0000426670761016E-3</v>
      </c>
      <c r="AV61" s="29">
        <f t="shared" si="25"/>
        <v>2.0268474218550381E-2</v>
      </c>
      <c r="AW61" s="29">
        <f t="shared" si="26"/>
        <v>1.9400961249896653E-2</v>
      </c>
      <c r="AX61" s="29">
        <f t="shared" si="27"/>
        <v>5.9871882341280269E-3</v>
      </c>
      <c r="AY61" s="29">
        <f t="shared" si="28"/>
        <v>8.211189830394261E-3</v>
      </c>
      <c r="AZ61" s="29">
        <f t="shared" si="29"/>
        <v>4.3753108203716806E-3</v>
      </c>
      <c r="BA61" s="29">
        <f t="shared" si="30"/>
        <v>5.3588704274787347E-3</v>
      </c>
      <c r="BB61" s="29">
        <f t="shared" si="31"/>
        <v>7.0175726586469978E-3</v>
      </c>
      <c r="BC61" s="29">
        <f t="shared" si="32"/>
        <v>1.4060181466433619E-2</v>
      </c>
      <c r="BD61" s="29">
        <f t="shared" si="33"/>
        <v>1.3324044213955943E-2</v>
      </c>
      <c r="BE61" s="29">
        <f t="shared" si="34"/>
        <v>1.1624062507973321E-2</v>
      </c>
      <c r="BF61" s="29">
        <f t="shared" si="35"/>
        <v>3.5842332278148703E-3</v>
      </c>
      <c r="BG61" s="29">
        <f t="shared" si="36"/>
        <v>1.2312467854247444E-2</v>
      </c>
      <c r="BH61" s="29">
        <f t="shared" si="37"/>
        <v>1.0089504690780515E-2</v>
      </c>
      <c r="BI61" s="29">
        <f t="shared" si="38"/>
        <v>-1.0702795384482044E-2</v>
      </c>
      <c r="BJ61" s="29">
        <f t="shared" si="39"/>
        <v>2.6208041209088151E-3</v>
      </c>
      <c r="BK61" s="29">
        <f t="shared" si="40"/>
        <v>8.4894392508676475E-3</v>
      </c>
      <c r="BL61" s="29">
        <f t="shared" si="41"/>
        <v>2.0602747013782619E-3</v>
      </c>
      <c r="BM61" s="29">
        <f t="shared" si="42"/>
        <v>1.0476380273113151E-2</v>
      </c>
      <c r="BN61" s="29">
        <f t="shared" si="43"/>
        <v>2.3417461549446905E-2</v>
      </c>
      <c r="BO61" s="20"/>
      <c r="BP61" s="19"/>
      <c r="BR61" s="19"/>
      <c r="BS61" s="19"/>
      <c r="BT61" s="19"/>
      <c r="BU61" s="19"/>
      <c r="BW61" s="19"/>
      <c r="BX61" s="20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20"/>
      <c r="CO61" s="19"/>
      <c r="CP61" s="20"/>
      <c r="CQ61" s="19"/>
      <c r="CR61" s="19"/>
      <c r="CS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G61" s="20"/>
      <c r="DH61" s="19"/>
      <c r="DI61" s="19"/>
      <c r="DJ61" s="19"/>
      <c r="DK61" s="19"/>
      <c r="DL61" s="19"/>
      <c r="DM61" s="19"/>
      <c r="DN61" s="19"/>
      <c r="DO61" s="20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20"/>
      <c r="EF61" s="20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20"/>
      <c r="GI61" s="19"/>
      <c r="GJ61" s="22"/>
    </row>
    <row r="62" spans="1:192" x14ac:dyDescent="0.25">
      <c r="A62" s="18">
        <v>1930</v>
      </c>
      <c r="B62" s="19">
        <v>6684</v>
      </c>
      <c r="C62" s="19">
        <v>8076</v>
      </c>
      <c r="D62" s="19">
        <v>33568</v>
      </c>
      <c r="E62" s="19">
        <v>10488</v>
      </c>
      <c r="F62" s="19">
        <v>3542</v>
      </c>
      <c r="G62" s="19">
        <v>3449</v>
      </c>
      <c r="H62" s="19">
        <v>41610</v>
      </c>
      <c r="I62" s="19">
        <v>65084</v>
      </c>
      <c r="J62" s="19">
        <v>40791</v>
      </c>
      <c r="K62" s="19">
        <v>64203</v>
      </c>
      <c r="L62" s="19">
        <v>7884</v>
      </c>
      <c r="M62" s="19">
        <v>1493</v>
      </c>
      <c r="N62" s="19">
        <v>2807</v>
      </c>
      <c r="O62" s="19">
        <v>6784</v>
      </c>
      <c r="P62" s="19">
        <v>23445</v>
      </c>
      <c r="Q62" s="19">
        <v>5707</v>
      </c>
      <c r="R62" s="19">
        <v>6131</v>
      </c>
      <c r="S62" s="19">
        <v>4051</v>
      </c>
      <c r="T62" s="19">
        <v>45866</v>
      </c>
      <c r="U62" s="19">
        <v>123668</v>
      </c>
      <c r="V62" s="19">
        <v>1713</v>
      </c>
      <c r="W62" s="20"/>
      <c r="X62" s="27">
        <f t="shared" si="1"/>
        <v>8.8074718897152842</v>
      </c>
      <c r="Y62" s="27">
        <f t="shared" si="2"/>
        <v>8.9966519794327287</v>
      </c>
      <c r="Z62" s="27">
        <f t="shared" si="3"/>
        <v>10.421328511196023</v>
      </c>
      <c r="AA62" s="27">
        <f t="shared" si="4"/>
        <v>9.2579870254435352</v>
      </c>
      <c r="AB62" s="27">
        <f t="shared" si="5"/>
        <v>8.1724468183427792</v>
      </c>
      <c r="AC62" s="27">
        <f t="shared" si="6"/>
        <v>8.1458396129368413</v>
      </c>
      <c r="AD62" s="27">
        <f t="shared" si="7"/>
        <v>10.636095801976987</v>
      </c>
      <c r="AE62" s="27">
        <f t="shared" si="8"/>
        <v>11.08343402225921</v>
      </c>
      <c r="AF62" s="27">
        <f t="shared" si="9"/>
        <v>10.616216747823795</v>
      </c>
      <c r="AG62" s="27">
        <f t="shared" si="10"/>
        <v>11.069805217558251</v>
      </c>
      <c r="AH62" s="27">
        <f t="shared" si="11"/>
        <v>8.9725906682726109</v>
      </c>
      <c r="AI62" s="27">
        <f t="shared" si="12"/>
        <v>7.3085427975391903</v>
      </c>
      <c r="AJ62" s="27">
        <f t="shared" si="13"/>
        <v>7.9398715763618828</v>
      </c>
      <c r="AK62" s="27">
        <f t="shared" si="14"/>
        <v>8.8223221774717384</v>
      </c>
      <c r="AL62" s="27">
        <f t="shared" si="15"/>
        <v>10.062412531523687</v>
      </c>
      <c r="AM62" s="27">
        <f t="shared" si="16"/>
        <v>8.6494487705367078</v>
      </c>
      <c r="AN62" s="27">
        <f t="shared" si="17"/>
        <v>8.7211131477626882</v>
      </c>
      <c r="AO62" s="27">
        <f t="shared" si="18"/>
        <v>8.3067190432026905</v>
      </c>
      <c r="AP62" s="27">
        <f t="shared" si="19"/>
        <v>10.733479380823917</v>
      </c>
      <c r="AQ62" s="27">
        <f t="shared" si="20"/>
        <v>11.725355834534501</v>
      </c>
      <c r="AR62" s="27">
        <f t="shared" si="21"/>
        <v>7.4460014983241196</v>
      </c>
      <c r="AS62" s="19"/>
      <c r="AT62" s="29">
        <f t="shared" si="23"/>
        <v>2.9967058686057868E-3</v>
      </c>
      <c r="AU62" s="29">
        <f t="shared" si="24"/>
        <v>5.4631375012181849E-3</v>
      </c>
      <c r="AV62" s="29">
        <f t="shared" si="25"/>
        <v>2.0282961894809048E-2</v>
      </c>
      <c r="AW62" s="29">
        <f t="shared" si="26"/>
        <v>1.7602532118976555E-2</v>
      </c>
      <c r="AX62" s="29">
        <f t="shared" si="27"/>
        <v>6.798893045274923E-3</v>
      </c>
      <c r="AY62" s="29">
        <f t="shared" si="28"/>
        <v>7.2748756752094579E-3</v>
      </c>
      <c r="AZ62" s="29">
        <f t="shared" si="29"/>
        <v>9.1743762760412295E-3</v>
      </c>
      <c r="BA62" s="29">
        <f t="shared" si="30"/>
        <v>5.3149412992610223E-3</v>
      </c>
      <c r="BB62" s="29">
        <f t="shared" si="31"/>
        <v>7.9252199206507612E-3</v>
      </c>
      <c r="BC62" s="29">
        <f t="shared" si="32"/>
        <v>1.5049677128216032E-2</v>
      </c>
      <c r="BD62" s="29">
        <f t="shared" si="33"/>
        <v>1.3022014728111486E-2</v>
      </c>
      <c r="BE62" s="29">
        <f t="shared" si="34"/>
        <v>1.4845076937752388E-2</v>
      </c>
      <c r="BF62" s="29">
        <f t="shared" si="35"/>
        <v>4.2841907726831607E-3</v>
      </c>
      <c r="BG62" s="29">
        <f t="shared" si="36"/>
        <v>1.231012949856769E-2</v>
      </c>
      <c r="BH62" s="29">
        <f t="shared" si="37"/>
        <v>1.0074032255204202E-2</v>
      </c>
      <c r="BI62" s="29">
        <f t="shared" si="38"/>
        <v>6.6807562124040487E-3</v>
      </c>
      <c r="BJ62" s="29">
        <f t="shared" si="39"/>
        <v>2.9402177339630242E-3</v>
      </c>
      <c r="BK62" s="29">
        <f t="shared" si="40"/>
        <v>7.1844728700938276E-3</v>
      </c>
      <c r="BL62" s="29">
        <f t="shared" si="41"/>
        <v>4.2386831798228997E-3</v>
      </c>
      <c r="BM62" s="29">
        <f t="shared" si="42"/>
        <v>1.1573327829301761E-2</v>
      </c>
      <c r="BN62" s="29">
        <f t="shared" si="43"/>
        <v>1.648065553765754E-2</v>
      </c>
      <c r="BO62" s="20"/>
      <c r="BP62" s="19"/>
      <c r="BR62" s="19"/>
      <c r="BS62" s="19"/>
      <c r="BT62" s="19"/>
      <c r="BU62" s="19"/>
      <c r="BW62" s="19"/>
      <c r="BX62" s="20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20"/>
      <c r="CO62" s="19"/>
      <c r="CP62" s="20"/>
      <c r="CQ62" s="19"/>
      <c r="CR62" s="19"/>
      <c r="CS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G62" s="20"/>
      <c r="DH62" s="19"/>
      <c r="DI62" s="19"/>
      <c r="DJ62" s="19"/>
      <c r="DK62" s="19"/>
      <c r="DL62" s="19"/>
      <c r="DM62" s="19"/>
      <c r="DN62" s="19"/>
      <c r="DO62" s="20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20"/>
      <c r="EF62" s="20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20"/>
      <c r="GI62" s="19"/>
      <c r="GJ62" s="22"/>
    </row>
    <row r="63" spans="1:192" x14ac:dyDescent="0.25">
      <c r="A63" s="18">
        <v>1931</v>
      </c>
      <c r="B63" s="19">
        <v>6705</v>
      </c>
      <c r="C63" s="19">
        <v>8126</v>
      </c>
      <c r="D63" s="19">
        <v>34256</v>
      </c>
      <c r="E63" s="19">
        <v>10657</v>
      </c>
      <c r="F63" s="19">
        <v>3569</v>
      </c>
      <c r="G63" s="19">
        <v>3476</v>
      </c>
      <c r="H63" s="19">
        <v>41860</v>
      </c>
      <c r="I63" s="19">
        <v>65423</v>
      </c>
      <c r="J63" s="19">
        <v>41132</v>
      </c>
      <c r="K63" s="19">
        <v>65205</v>
      </c>
      <c r="L63" s="19">
        <v>7999</v>
      </c>
      <c r="M63" s="19">
        <v>1514</v>
      </c>
      <c r="N63" s="19">
        <v>2824</v>
      </c>
      <c r="O63" s="19">
        <v>6869</v>
      </c>
      <c r="P63" s="19">
        <v>23675</v>
      </c>
      <c r="Q63" s="19">
        <v>5748</v>
      </c>
      <c r="R63" s="19">
        <v>6152</v>
      </c>
      <c r="S63" s="19">
        <v>4080</v>
      </c>
      <c r="T63" s="19">
        <v>46074</v>
      </c>
      <c r="U63" s="19">
        <v>124633</v>
      </c>
      <c r="V63" s="19">
        <v>1741</v>
      </c>
      <c r="W63" s="20"/>
      <c r="X63" s="27">
        <f t="shared" si="1"/>
        <v>8.8106087957157797</v>
      </c>
      <c r="Y63" s="27">
        <f t="shared" si="2"/>
        <v>9.0028240765476717</v>
      </c>
      <c r="Z63" s="27">
        <f t="shared" si="3"/>
        <v>10.441617010829464</v>
      </c>
      <c r="AA63" s="27">
        <f t="shared" si="4"/>
        <v>9.2739722322209559</v>
      </c>
      <c r="AB63" s="27">
        <f t="shared" si="5"/>
        <v>8.1800407234901602</v>
      </c>
      <c r="AC63" s="27">
        <f t="shared" si="6"/>
        <v>8.1536374863852821</v>
      </c>
      <c r="AD63" s="27">
        <f t="shared" si="7"/>
        <v>10.642085995999992</v>
      </c>
      <c r="AE63" s="27">
        <f t="shared" si="8"/>
        <v>11.088629157576872</v>
      </c>
      <c r="AF63" s="27">
        <f t="shared" si="9"/>
        <v>10.624541686349081</v>
      </c>
      <c r="AG63" s="27">
        <f t="shared" si="10"/>
        <v>11.085291432091003</v>
      </c>
      <c r="AH63" s="27">
        <f t="shared" si="11"/>
        <v>8.9870718128488214</v>
      </c>
      <c r="AI63" s="27">
        <f t="shared" si="12"/>
        <v>7.3225104339973939</v>
      </c>
      <c r="AJ63" s="27">
        <f t="shared" si="13"/>
        <v>7.9459095986131327</v>
      </c>
      <c r="AK63" s="27">
        <f t="shared" si="14"/>
        <v>8.8347738142138823</v>
      </c>
      <c r="AL63" s="27">
        <f t="shared" si="15"/>
        <v>10.072174918054278</v>
      </c>
      <c r="AM63" s="27">
        <f t="shared" si="16"/>
        <v>8.6566072471989148</v>
      </c>
      <c r="AN63" s="27">
        <f t="shared" si="17"/>
        <v>8.7245325111854797</v>
      </c>
      <c r="AO63" s="27">
        <f t="shared" si="18"/>
        <v>8.3138522673982074</v>
      </c>
      <c r="AP63" s="27">
        <f t="shared" si="19"/>
        <v>10.738004078558598</v>
      </c>
      <c r="AQ63" s="27">
        <f t="shared" si="20"/>
        <v>11.733128697781618</v>
      </c>
      <c r="AR63" s="27">
        <f t="shared" si="21"/>
        <v>7.4622149397681889</v>
      </c>
      <c r="AS63" s="19"/>
      <c r="AT63" s="29">
        <f t="shared" si="23"/>
        <v>3.1369060004955429E-3</v>
      </c>
      <c r="AU63" s="29">
        <f t="shared" si="24"/>
        <v>6.1720971149430426E-3</v>
      </c>
      <c r="AV63" s="29">
        <f t="shared" si="25"/>
        <v>2.0288499633441148E-2</v>
      </c>
      <c r="AW63" s="29">
        <f t="shared" si="26"/>
        <v>1.5985206777420657E-2</v>
      </c>
      <c r="AX63" s="29">
        <f t="shared" si="27"/>
        <v>7.5939051473810082E-3</v>
      </c>
      <c r="AY63" s="29">
        <f t="shared" si="28"/>
        <v>7.7978734484407397E-3</v>
      </c>
      <c r="AZ63" s="29">
        <f t="shared" si="29"/>
        <v>5.9901940230044914E-3</v>
      </c>
      <c r="BA63" s="29">
        <f t="shared" si="30"/>
        <v>5.1951353176615811E-3</v>
      </c>
      <c r="BB63" s="29">
        <f t="shared" si="31"/>
        <v>8.3249385252859298E-3</v>
      </c>
      <c r="BC63" s="29">
        <f t="shared" si="32"/>
        <v>1.5486214532751674E-2</v>
      </c>
      <c r="BD63" s="29">
        <f t="shared" si="33"/>
        <v>1.4481144576210525E-2</v>
      </c>
      <c r="BE63" s="29">
        <f t="shared" si="34"/>
        <v>1.3967636458203536E-2</v>
      </c>
      <c r="BF63" s="29">
        <f t="shared" si="35"/>
        <v>6.0380222512499415E-3</v>
      </c>
      <c r="BG63" s="29">
        <f t="shared" si="36"/>
        <v>1.245163674214389E-2</v>
      </c>
      <c r="BH63" s="29">
        <f t="shared" si="37"/>
        <v>9.7623865305909163E-3</v>
      </c>
      <c r="BI63" s="29">
        <f t="shared" si="38"/>
        <v>7.1584766622070362E-3</v>
      </c>
      <c r="BJ63" s="29">
        <f t="shared" si="39"/>
        <v>3.4193634227914771E-3</v>
      </c>
      <c r="BK63" s="29">
        <f t="shared" si="40"/>
        <v>7.133224195516874E-3</v>
      </c>
      <c r="BL63" s="29">
        <f t="shared" si="41"/>
        <v>4.5246977346806716E-3</v>
      </c>
      <c r="BM63" s="29">
        <f t="shared" si="42"/>
        <v>7.7728632471174564E-3</v>
      </c>
      <c r="BN63" s="29">
        <f t="shared" si="43"/>
        <v>1.6213441444069332E-2</v>
      </c>
      <c r="BO63" s="20"/>
      <c r="BP63" s="19"/>
      <c r="BR63" s="19"/>
      <c r="BS63" s="19"/>
      <c r="BT63" s="19"/>
      <c r="BU63" s="19"/>
      <c r="BW63" s="19"/>
      <c r="BX63" s="20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20"/>
      <c r="CO63" s="19"/>
      <c r="CP63" s="20"/>
      <c r="CQ63" s="19"/>
      <c r="CR63" s="19"/>
      <c r="CS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G63" s="20"/>
      <c r="DH63" s="19"/>
      <c r="DI63" s="19"/>
      <c r="DJ63" s="19"/>
      <c r="DK63" s="19"/>
      <c r="DL63" s="19"/>
      <c r="DM63" s="19"/>
      <c r="DN63" s="19"/>
      <c r="DO63" s="20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20"/>
      <c r="EF63" s="20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20"/>
      <c r="GI63" s="19"/>
      <c r="GJ63" s="22"/>
    </row>
    <row r="64" spans="1:192" x14ac:dyDescent="0.25">
      <c r="A64" s="18">
        <v>1932</v>
      </c>
      <c r="B64" s="19">
        <v>6725</v>
      </c>
      <c r="C64" s="19">
        <v>8186</v>
      </c>
      <c r="D64" s="19">
        <v>34957</v>
      </c>
      <c r="E64" s="19">
        <v>10794</v>
      </c>
      <c r="F64" s="19">
        <v>3603</v>
      </c>
      <c r="G64" s="19">
        <v>3503</v>
      </c>
      <c r="H64" s="19">
        <v>41860</v>
      </c>
      <c r="I64" s="19">
        <v>65716</v>
      </c>
      <c r="J64" s="19">
        <v>41431</v>
      </c>
      <c r="K64" s="19">
        <v>66189</v>
      </c>
      <c r="L64" s="19">
        <v>8123</v>
      </c>
      <c r="M64" s="19">
        <v>1527</v>
      </c>
      <c r="N64" s="19">
        <v>2842</v>
      </c>
      <c r="O64" s="19">
        <v>6954</v>
      </c>
      <c r="P64" s="19">
        <v>23897</v>
      </c>
      <c r="Q64" s="19">
        <v>5788</v>
      </c>
      <c r="R64" s="19">
        <v>6176</v>
      </c>
      <c r="S64" s="19">
        <v>4102</v>
      </c>
      <c r="T64" s="19">
        <v>46335</v>
      </c>
      <c r="U64" s="19">
        <v>125436</v>
      </c>
      <c r="V64" s="19">
        <v>1770</v>
      </c>
      <c r="W64" s="20"/>
      <c r="X64" s="27">
        <f t="shared" si="1"/>
        <v>8.8135872044700392</v>
      </c>
      <c r="Y64" s="27">
        <f t="shared" si="2"/>
        <v>9.0101806570523486</v>
      </c>
      <c r="Z64" s="27">
        <f t="shared" si="3"/>
        <v>10.461874013730402</v>
      </c>
      <c r="AA64" s="27">
        <f t="shared" si="4"/>
        <v>9.2867457031785889</v>
      </c>
      <c r="AB64" s="27">
        <f t="shared" si="5"/>
        <v>8.1895221107480936</v>
      </c>
      <c r="AC64" s="27">
        <f t="shared" si="6"/>
        <v>8.1613750231974862</v>
      </c>
      <c r="AD64" s="27">
        <f t="shared" si="7"/>
        <v>10.642085995999992</v>
      </c>
      <c r="AE64" s="27">
        <f t="shared" si="8"/>
        <v>11.093097706026228</v>
      </c>
      <c r="AF64" s="27">
        <f t="shared" si="9"/>
        <v>10.631784671878874</v>
      </c>
      <c r="AG64" s="27">
        <f t="shared" si="10"/>
        <v>11.100269564976481</v>
      </c>
      <c r="AH64" s="27">
        <f t="shared" si="11"/>
        <v>9.0024548230509538</v>
      </c>
      <c r="AI64" s="27">
        <f t="shared" si="12"/>
        <v>7.3310603052186325</v>
      </c>
      <c r="AJ64" s="27">
        <f t="shared" si="13"/>
        <v>7.952263308657046</v>
      </c>
      <c r="AK64" s="27">
        <f t="shared" si="14"/>
        <v>8.847072312567807</v>
      </c>
      <c r="AL64" s="27">
        <f t="shared" si="15"/>
        <v>10.081508207028378</v>
      </c>
      <c r="AM64" s="27">
        <f t="shared" si="16"/>
        <v>8.6635420877513738</v>
      </c>
      <c r="AN64" s="27">
        <f t="shared" si="17"/>
        <v>8.7284260917046126</v>
      </c>
      <c r="AO64" s="27">
        <f t="shared" si="18"/>
        <v>8.3192299386323256</v>
      </c>
      <c r="AP64" s="27">
        <f t="shared" si="19"/>
        <v>10.743652894020792</v>
      </c>
      <c r="AQ64" s="27">
        <f t="shared" si="20"/>
        <v>11.739550947320707</v>
      </c>
      <c r="AR64" s="27">
        <f t="shared" si="21"/>
        <v>7.4787348255678747</v>
      </c>
      <c r="AS64" s="19"/>
      <c r="AT64" s="29">
        <f t="shared" si="23"/>
        <v>2.9784087542594762E-3</v>
      </c>
      <c r="AU64" s="29">
        <f t="shared" si="24"/>
        <v>7.3565805046769128E-3</v>
      </c>
      <c r="AV64" s="29">
        <f t="shared" si="25"/>
        <v>2.0257002900937238E-2</v>
      </c>
      <c r="AW64" s="29">
        <f t="shared" si="26"/>
        <v>1.2773470957633037E-2</v>
      </c>
      <c r="AX64" s="29">
        <f t="shared" si="27"/>
        <v>9.4813872579333491E-3</v>
      </c>
      <c r="AY64" s="29">
        <f t="shared" si="28"/>
        <v>7.7375368122041266E-3</v>
      </c>
      <c r="AZ64" s="29">
        <f t="shared" si="29"/>
        <v>0</v>
      </c>
      <c r="BA64" s="29">
        <f t="shared" si="30"/>
        <v>4.468548449356291E-3</v>
      </c>
      <c r="BB64" s="29">
        <f t="shared" si="31"/>
        <v>7.2429855297926338E-3</v>
      </c>
      <c r="BC64" s="29">
        <f t="shared" si="32"/>
        <v>1.4978132885477891E-2</v>
      </c>
      <c r="BD64" s="29">
        <f t="shared" si="33"/>
        <v>1.5383010202132397E-2</v>
      </c>
      <c r="BE64" s="29">
        <f t="shared" si="34"/>
        <v>8.5498712212386252E-3</v>
      </c>
      <c r="BF64" s="29">
        <f t="shared" si="35"/>
        <v>6.3537100439132743E-3</v>
      </c>
      <c r="BG64" s="29">
        <f t="shared" si="36"/>
        <v>1.2298498353924714E-2</v>
      </c>
      <c r="BH64" s="29">
        <f t="shared" si="37"/>
        <v>9.3332889740995739E-3</v>
      </c>
      <c r="BI64" s="29">
        <f t="shared" si="38"/>
        <v>6.9348405524589651E-3</v>
      </c>
      <c r="BJ64" s="29">
        <f t="shared" si="39"/>
        <v>3.8935805191329109E-3</v>
      </c>
      <c r="BK64" s="29">
        <f t="shared" si="40"/>
        <v>5.3776712341182531E-3</v>
      </c>
      <c r="BL64" s="29">
        <f t="shared" si="41"/>
        <v>5.6488154621945341E-3</v>
      </c>
      <c r="BM64" s="29">
        <f t="shared" si="42"/>
        <v>6.4222495390886536E-3</v>
      </c>
      <c r="BN64" s="29">
        <f t="shared" si="43"/>
        <v>1.6519885799685774E-2</v>
      </c>
      <c r="BO64" s="20"/>
      <c r="BP64" s="19"/>
      <c r="BR64" s="19"/>
      <c r="BS64" s="19"/>
      <c r="BT64" s="19"/>
      <c r="BU64" s="19"/>
      <c r="BW64" s="19"/>
      <c r="BX64" s="20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20"/>
      <c r="CO64" s="19"/>
      <c r="CP64" s="20"/>
      <c r="CQ64" s="19"/>
      <c r="CR64" s="19"/>
      <c r="CS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G64" s="20"/>
      <c r="DH64" s="19"/>
      <c r="DI64" s="19"/>
      <c r="DJ64" s="19"/>
      <c r="DK64" s="19"/>
      <c r="DL64" s="19"/>
      <c r="DM64" s="19"/>
      <c r="DN64" s="19"/>
      <c r="DO64" s="20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20"/>
      <c r="EF64" s="20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20"/>
      <c r="GI64" s="19"/>
      <c r="GJ64" s="22"/>
    </row>
    <row r="65" spans="1:192" x14ac:dyDescent="0.25">
      <c r="A65" s="18">
        <v>1933</v>
      </c>
      <c r="B65" s="19">
        <v>6746</v>
      </c>
      <c r="C65" s="19">
        <v>8231</v>
      </c>
      <c r="D65" s="19">
        <v>35673</v>
      </c>
      <c r="E65" s="19">
        <v>10919</v>
      </c>
      <c r="F65" s="19">
        <v>3633</v>
      </c>
      <c r="G65" s="19">
        <v>3526</v>
      </c>
      <c r="H65" s="19">
        <v>41890</v>
      </c>
      <c r="I65" s="19">
        <v>66027</v>
      </c>
      <c r="J65" s="19">
        <v>41753</v>
      </c>
      <c r="K65" s="19">
        <v>67182</v>
      </c>
      <c r="L65" s="19">
        <v>8237</v>
      </c>
      <c r="M65" s="19">
        <v>1540</v>
      </c>
      <c r="N65" s="19">
        <v>2858</v>
      </c>
      <c r="O65" s="19">
        <v>7040</v>
      </c>
      <c r="P65" s="19">
        <v>24122</v>
      </c>
      <c r="Q65" s="19">
        <v>5825</v>
      </c>
      <c r="R65" s="19">
        <v>6201</v>
      </c>
      <c r="S65" s="19">
        <v>4122</v>
      </c>
      <c r="T65" s="19">
        <v>46520</v>
      </c>
      <c r="U65" s="19">
        <v>126180</v>
      </c>
      <c r="V65" s="19">
        <v>1799</v>
      </c>
      <c r="W65" s="20"/>
      <c r="X65" s="27">
        <f t="shared" si="1"/>
        <v>8.8167050156215954</v>
      </c>
      <c r="Y65" s="27">
        <f t="shared" si="2"/>
        <v>9.0156627929726447</v>
      </c>
      <c r="Z65" s="27">
        <f t="shared" si="3"/>
        <v>10.482149379105689</v>
      </c>
      <c r="AA65" s="27">
        <f t="shared" si="4"/>
        <v>9.2982596700140654</v>
      </c>
      <c r="AB65" s="27">
        <f t="shared" si="5"/>
        <v>8.1978140322212028</v>
      </c>
      <c r="AC65" s="27">
        <f t="shared" si="6"/>
        <v>8.1679193629578162</v>
      </c>
      <c r="AD65" s="27">
        <f t="shared" si="7"/>
        <v>10.64280241394108</v>
      </c>
      <c r="AE65" s="27">
        <f t="shared" si="8"/>
        <v>11.097819028262782</v>
      </c>
      <c r="AF65" s="27">
        <f t="shared" si="9"/>
        <v>10.639526583984887</v>
      </c>
      <c r="AG65" s="27">
        <f t="shared" si="10"/>
        <v>11.115160633488252</v>
      </c>
      <c r="AH65" s="27">
        <f t="shared" si="11"/>
        <v>9.016391478941248</v>
      </c>
      <c r="AI65" s="27">
        <f t="shared" si="12"/>
        <v>7.3395376954076745</v>
      </c>
      <c r="AJ65" s="27">
        <f t="shared" si="13"/>
        <v>7.9578773584898128</v>
      </c>
      <c r="AK65" s="27">
        <f t="shared" si="14"/>
        <v>8.8593634491520881</v>
      </c>
      <c r="AL65" s="27">
        <f t="shared" si="15"/>
        <v>10.090879566143188</v>
      </c>
      <c r="AM65" s="27">
        <f t="shared" si="16"/>
        <v>8.6699142784339021</v>
      </c>
      <c r="AN65" s="27">
        <f t="shared" si="17"/>
        <v>8.7324658483498787</v>
      </c>
      <c r="AO65" s="27">
        <f t="shared" si="18"/>
        <v>8.3240937614504045</v>
      </c>
      <c r="AP65" s="27">
        <f t="shared" si="19"/>
        <v>10.747637606632601</v>
      </c>
      <c r="AQ65" s="27">
        <f t="shared" si="20"/>
        <v>11.745464737924801</v>
      </c>
      <c r="AR65" s="27">
        <f t="shared" si="21"/>
        <v>7.4949862339505335</v>
      </c>
      <c r="AS65" s="19"/>
      <c r="AT65" s="29">
        <f t="shared" si="23"/>
        <v>3.1178111515561824E-3</v>
      </c>
      <c r="AU65" s="29">
        <f t="shared" si="24"/>
        <v>5.4821359202961162E-3</v>
      </c>
      <c r="AV65" s="29">
        <f t="shared" si="25"/>
        <v>2.027536537528718E-2</v>
      </c>
      <c r="AW65" s="29">
        <f t="shared" si="26"/>
        <v>1.1513966835476452E-2</v>
      </c>
      <c r="AX65" s="29">
        <f t="shared" si="27"/>
        <v>8.2919214731091984E-3</v>
      </c>
      <c r="AY65" s="29">
        <f t="shared" si="28"/>
        <v>6.5443397603299758E-3</v>
      </c>
      <c r="AZ65" s="29">
        <f t="shared" si="29"/>
        <v>7.1641794108856516E-4</v>
      </c>
      <c r="BA65" s="29">
        <f t="shared" si="30"/>
        <v>4.7213222365538599E-3</v>
      </c>
      <c r="BB65" s="29">
        <f t="shared" si="31"/>
        <v>7.7419121060131602E-3</v>
      </c>
      <c r="BC65" s="29">
        <f t="shared" si="32"/>
        <v>1.4891068511770911E-2</v>
      </c>
      <c r="BD65" s="29">
        <f t="shared" si="33"/>
        <v>1.3936655890294247E-2</v>
      </c>
      <c r="BE65" s="29">
        <f t="shared" si="34"/>
        <v>8.4773901890420333E-3</v>
      </c>
      <c r="BF65" s="29">
        <f t="shared" si="35"/>
        <v>5.6140498327668098E-3</v>
      </c>
      <c r="BG65" s="29">
        <f t="shared" si="36"/>
        <v>1.2291136584281048E-2</v>
      </c>
      <c r="BH65" s="29">
        <f t="shared" si="37"/>
        <v>9.3713591148105735E-3</v>
      </c>
      <c r="BI65" s="29">
        <f t="shared" si="38"/>
        <v>6.3721906825282559E-3</v>
      </c>
      <c r="BJ65" s="29">
        <f t="shared" si="39"/>
        <v>4.0397566452661238E-3</v>
      </c>
      <c r="BK65" s="29">
        <f t="shared" si="40"/>
        <v>4.8638228180788445E-3</v>
      </c>
      <c r="BL65" s="29">
        <f t="shared" si="41"/>
        <v>3.9847126118086607E-3</v>
      </c>
      <c r="BM65" s="29">
        <f t="shared" si="42"/>
        <v>5.9137906040938049E-3</v>
      </c>
      <c r="BN65" s="29">
        <f t="shared" si="43"/>
        <v>1.6251408382658816E-2</v>
      </c>
      <c r="BO65" s="20"/>
      <c r="BP65" s="19"/>
      <c r="BR65" s="19"/>
      <c r="BS65" s="19"/>
      <c r="BT65" s="19"/>
      <c r="BU65" s="19"/>
      <c r="BW65" s="19"/>
      <c r="BX65" s="20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20"/>
      <c r="CO65" s="19"/>
      <c r="CP65" s="20"/>
      <c r="CQ65" s="19"/>
      <c r="CR65" s="19"/>
      <c r="CS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G65" s="20"/>
      <c r="DH65" s="19"/>
      <c r="DI65" s="19"/>
      <c r="DJ65" s="19"/>
      <c r="DK65" s="19"/>
      <c r="DL65" s="19"/>
      <c r="DM65" s="19"/>
      <c r="DN65" s="19"/>
      <c r="DO65" s="20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20"/>
      <c r="EF65" s="20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20"/>
      <c r="GI65" s="19"/>
      <c r="GJ65" s="22"/>
    </row>
    <row r="66" spans="1:192" x14ac:dyDescent="0.25">
      <c r="A66" s="18">
        <v>1934</v>
      </c>
      <c r="B66" s="19">
        <v>6760</v>
      </c>
      <c r="C66" s="19">
        <v>8262</v>
      </c>
      <c r="D66" s="19">
        <v>36404</v>
      </c>
      <c r="E66" s="19">
        <v>11030</v>
      </c>
      <c r="F66" s="19">
        <v>3666</v>
      </c>
      <c r="G66" s="19">
        <v>3549</v>
      </c>
      <c r="H66" s="19">
        <v>41950</v>
      </c>
      <c r="I66" s="19">
        <v>66409</v>
      </c>
      <c r="J66" s="19">
        <v>42093</v>
      </c>
      <c r="K66" s="19">
        <v>68090</v>
      </c>
      <c r="L66" s="19">
        <v>8341</v>
      </c>
      <c r="M66" s="19">
        <v>1552</v>
      </c>
      <c r="N66" s="19">
        <v>2874</v>
      </c>
      <c r="O66" s="19">
        <v>7127</v>
      </c>
      <c r="P66" s="19">
        <v>24349</v>
      </c>
      <c r="Q66" s="19">
        <v>5872</v>
      </c>
      <c r="R66" s="19">
        <v>6222</v>
      </c>
      <c r="S66" s="19">
        <v>4140</v>
      </c>
      <c r="T66" s="19">
        <v>46666</v>
      </c>
      <c r="U66" s="19">
        <v>126978</v>
      </c>
      <c r="V66" s="19">
        <v>1829</v>
      </c>
      <c r="W66" s="20"/>
      <c r="X66" s="27">
        <f t="shared" si="1"/>
        <v>8.8187781690370102</v>
      </c>
      <c r="Y66" s="27">
        <f t="shared" si="2"/>
        <v>9.0194219679567098</v>
      </c>
      <c r="Z66" s="27">
        <f t="shared" si="3"/>
        <v>10.502433937697246</v>
      </c>
      <c r="AA66" s="27">
        <f t="shared" si="4"/>
        <v>9.3083741122475487</v>
      </c>
      <c r="AB66" s="27">
        <f t="shared" si="5"/>
        <v>8.2068564283996501</v>
      </c>
      <c r="AC66" s="27">
        <f t="shared" si="6"/>
        <v>8.1744211526464969</v>
      </c>
      <c r="AD66" s="27">
        <f t="shared" si="7"/>
        <v>10.644233711895351</v>
      </c>
      <c r="AE66" s="27">
        <f t="shared" si="8"/>
        <v>11.103587868448191</v>
      </c>
      <c r="AF66" s="27">
        <f t="shared" si="9"/>
        <v>10.647636735062106</v>
      </c>
      <c r="AG66" s="27">
        <f t="shared" si="10"/>
        <v>11.128585638477013</v>
      </c>
      <c r="AH66" s="27">
        <f t="shared" si="11"/>
        <v>9.0289383922416118</v>
      </c>
      <c r="AI66" s="27">
        <f t="shared" si="12"/>
        <v>7.3472997007431644</v>
      </c>
      <c r="AJ66" s="27">
        <f t="shared" si="13"/>
        <v>7.9634600666389703</v>
      </c>
      <c r="AK66" s="27">
        <f t="shared" si="14"/>
        <v>8.8716456675018716</v>
      </c>
      <c r="AL66" s="27">
        <f t="shared" si="15"/>
        <v>10.100246059905626</v>
      </c>
      <c r="AM66" s="27">
        <f t="shared" si="16"/>
        <v>8.6779505702943514</v>
      </c>
      <c r="AN66" s="27">
        <f t="shared" si="17"/>
        <v>8.735846677457582</v>
      </c>
      <c r="AO66" s="27">
        <f t="shared" si="18"/>
        <v>8.3284510668193601</v>
      </c>
      <c r="AP66" s="27">
        <f t="shared" si="19"/>
        <v>10.750771127107004</v>
      </c>
      <c r="AQ66" s="27">
        <f t="shared" si="20"/>
        <v>11.751769122088509</v>
      </c>
      <c r="AR66" s="27">
        <f t="shared" si="21"/>
        <v>7.511524648390866</v>
      </c>
      <c r="AS66" s="19"/>
      <c r="AT66" s="29">
        <f t="shared" si="23"/>
        <v>2.0731534154148079E-3</v>
      </c>
      <c r="AU66" s="29">
        <f t="shared" si="24"/>
        <v>3.7591749840650834E-3</v>
      </c>
      <c r="AV66" s="29">
        <f t="shared" si="25"/>
        <v>2.02845585915572E-2</v>
      </c>
      <c r="AW66" s="29">
        <f t="shared" si="26"/>
        <v>1.0114442233483345E-2</v>
      </c>
      <c r="AX66" s="29">
        <f t="shared" si="27"/>
        <v>9.0423961784473761E-3</v>
      </c>
      <c r="AY66" s="29">
        <f t="shared" si="28"/>
        <v>6.5017896886807591E-3</v>
      </c>
      <c r="AZ66" s="29">
        <f t="shared" si="29"/>
        <v>1.4312979542712156E-3</v>
      </c>
      <c r="BA66" s="29">
        <f t="shared" si="30"/>
        <v>5.7688401854090188E-3</v>
      </c>
      <c r="BB66" s="29">
        <f t="shared" si="31"/>
        <v>8.1101510772185748E-3</v>
      </c>
      <c r="BC66" s="29">
        <f t="shared" si="32"/>
        <v>1.3425004988761202E-2</v>
      </c>
      <c r="BD66" s="29">
        <f t="shared" si="33"/>
        <v>1.2546913300363727E-2</v>
      </c>
      <c r="BE66" s="29">
        <f t="shared" si="34"/>
        <v>7.7620053354898744E-3</v>
      </c>
      <c r="BF66" s="29">
        <f t="shared" si="35"/>
        <v>5.5827081491575115E-3</v>
      </c>
      <c r="BG66" s="29">
        <f t="shared" si="36"/>
        <v>1.2282218349783491E-2</v>
      </c>
      <c r="BH66" s="29">
        <f t="shared" si="37"/>
        <v>9.3664937624371447E-3</v>
      </c>
      <c r="BI66" s="29">
        <f t="shared" si="38"/>
        <v>8.0362918604492961E-3</v>
      </c>
      <c r="BJ66" s="29">
        <f t="shared" si="39"/>
        <v>3.3808291077033203E-3</v>
      </c>
      <c r="BK66" s="29">
        <f t="shared" si="40"/>
        <v>4.3573053689556218E-3</v>
      </c>
      <c r="BL66" s="29">
        <f t="shared" si="41"/>
        <v>3.1335204744031842E-3</v>
      </c>
      <c r="BM66" s="29">
        <f t="shared" si="42"/>
        <v>6.3043841637089315E-3</v>
      </c>
      <c r="BN66" s="29">
        <f t="shared" si="43"/>
        <v>1.6538414440332438E-2</v>
      </c>
      <c r="BO66" s="20"/>
      <c r="BP66" s="19"/>
      <c r="BR66" s="19"/>
      <c r="BS66" s="19"/>
      <c r="BT66" s="19"/>
      <c r="BU66" s="19"/>
      <c r="BW66" s="19"/>
      <c r="BX66" s="20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20"/>
      <c r="CO66" s="19"/>
      <c r="CP66" s="20"/>
      <c r="CQ66" s="19"/>
      <c r="CR66" s="19"/>
      <c r="CS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G66" s="20"/>
      <c r="DH66" s="19"/>
      <c r="DI66" s="19"/>
      <c r="DJ66" s="19"/>
      <c r="DK66" s="19"/>
      <c r="DL66" s="19"/>
      <c r="DM66" s="19"/>
      <c r="DN66" s="19"/>
      <c r="DO66" s="20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20"/>
      <c r="EF66" s="20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20"/>
      <c r="GI66" s="19"/>
      <c r="GJ66" s="22"/>
    </row>
    <row r="67" spans="1:192" x14ac:dyDescent="0.25">
      <c r="A67" s="18">
        <v>1935</v>
      </c>
      <c r="B67" s="19">
        <v>6761</v>
      </c>
      <c r="C67" s="19">
        <v>8288</v>
      </c>
      <c r="D67" s="19">
        <v>37150</v>
      </c>
      <c r="E67" s="19">
        <v>11136</v>
      </c>
      <c r="F67" s="19">
        <v>3695</v>
      </c>
      <c r="G67" s="19">
        <v>3576</v>
      </c>
      <c r="H67" s="19">
        <v>41940</v>
      </c>
      <c r="I67" s="19">
        <v>66871</v>
      </c>
      <c r="J67" s="19">
        <v>42429</v>
      </c>
      <c r="K67" s="19">
        <v>69238</v>
      </c>
      <c r="L67" s="19">
        <v>8434</v>
      </c>
      <c r="M67" s="19">
        <v>1562</v>
      </c>
      <c r="N67" s="19">
        <v>2889</v>
      </c>
      <c r="O67" s="19">
        <v>7216</v>
      </c>
      <c r="P67" s="19">
        <v>24579</v>
      </c>
      <c r="Q67" s="19">
        <v>5897</v>
      </c>
      <c r="R67" s="19">
        <v>6242</v>
      </c>
      <c r="S67" s="19">
        <v>4155</v>
      </c>
      <c r="T67" s="19">
        <v>46868</v>
      </c>
      <c r="U67" s="19">
        <v>127859</v>
      </c>
      <c r="V67" s="19">
        <v>1859</v>
      </c>
      <c r="W67" s="20"/>
      <c r="X67" s="27">
        <f t="shared" ref="X67:X130" si="44">LN(B67)</f>
        <v>8.8189260870906772</v>
      </c>
      <c r="Y67" s="27">
        <f t="shared" ref="Y67:Y130" si="45">LN(C67)</f>
        <v>9.0225639644992643</v>
      </c>
      <c r="Z67" s="27">
        <f t="shared" ref="Z67:Z130" si="46">LN(D67)</f>
        <v>10.522719050145906</v>
      </c>
      <c r="AA67" s="27">
        <f t="shared" ref="AA67:AA130" si="47">LN(E67)</f>
        <v>9.3179383825742015</v>
      </c>
      <c r="AB67" s="27">
        <f t="shared" ref="AB67:AB130" si="48">LN(F67)</f>
        <v>8.2147358333823028</v>
      </c>
      <c r="AC67" s="27">
        <f t="shared" ref="AC67:AC130" si="49">LN(G67)</f>
        <v>8.1820001362934054</v>
      </c>
      <c r="AD67" s="27">
        <f t="shared" ref="AD67:AD130" si="50">LN(H67)</f>
        <v>10.643995304455911</v>
      </c>
      <c r="AE67" s="27">
        <f t="shared" ref="AE67:AE130" si="51">LN(I67)</f>
        <v>11.110520669325322</v>
      </c>
      <c r="AF67" s="27">
        <f t="shared" ref="AF67:AF130" si="52">LN(J67)</f>
        <v>10.655587369688609</v>
      </c>
      <c r="AG67" s="27">
        <f t="shared" ref="AG67:AG130" si="53">LN(K67)</f>
        <v>11.145305123835413</v>
      </c>
      <c r="AH67" s="27">
        <f t="shared" ref="AH67:AH130" si="54">LN(L67)</f>
        <v>9.0400264343065047</v>
      </c>
      <c r="AI67" s="27">
        <f t="shared" ref="AI67:AI130" si="55">LN(M67)</f>
        <v>7.3537223303996315</v>
      </c>
      <c r="AJ67" s="27">
        <f t="shared" ref="AJ67:AJ130" si="56">LN(N67)</f>
        <v>7.9686657004662349</v>
      </c>
      <c r="AK67" s="27">
        <f t="shared" ref="AK67:AK130" si="57">LN(O67)</f>
        <v>8.8840560617424593</v>
      </c>
      <c r="AL67" s="27">
        <f t="shared" ref="AL67:AL130" si="58">LN(P67)</f>
        <v>10.109647698809924</v>
      </c>
      <c r="AM67" s="27">
        <f t="shared" ref="AM67:AM130" si="59">LN(Q67)</f>
        <v>8.6821990260005037</v>
      </c>
      <c r="AN67" s="27">
        <f t="shared" ref="AN67:AN130" si="60">LN(R67)</f>
        <v>8.7390559228307243</v>
      </c>
      <c r="AO67" s="27">
        <f t="shared" ref="AO67:AO130" si="61">LN(S67)</f>
        <v>8.3320677072895482</v>
      </c>
      <c r="AP67" s="27">
        <f t="shared" ref="AP67:AP130" si="62">LN(T67)</f>
        <v>10.755090418788047</v>
      </c>
      <c r="AQ67" s="27">
        <f t="shared" ref="AQ67:AQ130" si="63">LN(U67)</f>
        <v>11.758683373235854</v>
      </c>
      <c r="AR67" s="27">
        <f t="shared" ref="AR67:AR130" si="64">LN(V67)</f>
        <v>7.5277939877214441</v>
      </c>
      <c r="AS67" s="19"/>
      <c r="AT67" s="29">
        <f t="shared" si="23"/>
        <v>1.4791805366698441E-4</v>
      </c>
      <c r="AU67" s="29">
        <f t="shared" si="24"/>
        <v>3.1419965425545371E-3</v>
      </c>
      <c r="AV67" s="29">
        <f t="shared" si="25"/>
        <v>2.0285112448659604E-2</v>
      </c>
      <c r="AW67" s="29">
        <f t="shared" si="26"/>
        <v>9.5642703266527462E-3</v>
      </c>
      <c r="AX67" s="29">
        <f t="shared" si="27"/>
        <v>7.8794049826527157E-3</v>
      </c>
      <c r="AY67" s="29">
        <f t="shared" si="28"/>
        <v>7.5789836469084548E-3</v>
      </c>
      <c r="AZ67" s="29">
        <f t="shared" si="29"/>
        <v>-2.3840743943992493E-4</v>
      </c>
      <c r="BA67" s="29">
        <f t="shared" si="30"/>
        <v>6.9328008771307736E-3</v>
      </c>
      <c r="BB67" s="29">
        <f t="shared" si="31"/>
        <v>7.9506346265034722E-3</v>
      </c>
      <c r="BC67" s="29">
        <f t="shared" si="32"/>
        <v>1.6719485358400732E-2</v>
      </c>
      <c r="BD67" s="29">
        <f t="shared" si="33"/>
        <v>1.1088042064892889E-2</v>
      </c>
      <c r="BE67" s="29">
        <f t="shared" si="34"/>
        <v>6.4226296564671159E-3</v>
      </c>
      <c r="BF67" s="29">
        <f t="shared" si="35"/>
        <v>5.2056338272645775E-3</v>
      </c>
      <c r="BG67" s="29">
        <f t="shared" si="36"/>
        <v>1.2410394240587763E-2</v>
      </c>
      <c r="BH67" s="29">
        <f t="shared" si="37"/>
        <v>9.4016389042987925E-3</v>
      </c>
      <c r="BI67" s="29">
        <f t="shared" si="38"/>
        <v>4.2484557061523986E-3</v>
      </c>
      <c r="BJ67" s="29">
        <f t="shared" si="39"/>
        <v>3.2092453731422665E-3</v>
      </c>
      <c r="BK67" s="29">
        <f t="shared" si="40"/>
        <v>3.6166404701880595E-3</v>
      </c>
      <c r="BL67" s="29">
        <f t="shared" si="41"/>
        <v>4.3192916810426141E-3</v>
      </c>
      <c r="BM67" s="29">
        <f t="shared" si="42"/>
        <v>6.9142511473447854E-3</v>
      </c>
      <c r="BN67" s="29">
        <f t="shared" si="43"/>
        <v>1.626933933057817E-2</v>
      </c>
      <c r="BO67" s="20"/>
      <c r="BP67" s="19"/>
      <c r="BR67" s="19"/>
      <c r="BS67" s="19"/>
      <c r="BT67" s="19"/>
      <c r="BU67" s="19"/>
      <c r="BW67" s="19"/>
      <c r="BX67" s="20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20"/>
      <c r="CO67" s="19"/>
      <c r="CP67" s="20"/>
      <c r="CQ67" s="19"/>
      <c r="CR67" s="19"/>
      <c r="CS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G67" s="20"/>
      <c r="DH67" s="19"/>
      <c r="DI67" s="19"/>
      <c r="DJ67" s="19"/>
      <c r="DK67" s="19"/>
      <c r="DL67" s="19"/>
      <c r="DM67" s="19"/>
      <c r="DN67" s="19"/>
      <c r="DO67" s="20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20"/>
      <c r="EF67" s="20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20"/>
      <c r="GI67" s="19"/>
      <c r="GJ67" s="22"/>
    </row>
    <row r="68" spans="1:192" x14ac:dyDescent="0.25">
      <c r="A68" s="18">
        <v>1936</v>
      </c>
      <c r="B68" s="19">
        <v>6758</v>
      </c>
      <c r="C68" s="19">
        <v>8315</v>
      </c>
      <c r="D68" s="19">
        <v>37911</v>
      </c>
      <c r="E68" s="19">
        <v>11243</v>
      </c>
      <c r="F68" s="19">
        <v>3722</v>
      </c>
      <c r="G68" s="19">
        <v>3601</v>
      </c>
      <c r="H68" s="19">
        <v>41910</v>
      </c>
      <c r="I68" s="19">
        <v>67349</v>
      </c>
      <c r="J68" s="19">
        <v>42750</v>
      </c>
      <c r="K68" s="19">
        <v>70171</v>
      </c>
      <c r="L68" s="19">
        <v>8516</v>
      </c>
      <c r="M68" s="19">
        <v>1573</v>
      </c>
      <c r="N68" s="19">
        <v>2904</v>
      </c>
      <c r="O68" s="19">
        <v>7305</v>
      </c>
      <c r="P68" s="19">
        <v>24810</v>
      </c>
      <c r="Q68" s="19">
        <v>5943</v>
      </c>
      <c r="R68" s="19">
        <v>6259</v>
      </c>
      <c r="S68" s="19">
        <v>4168</v>
      </c>
      <c r="T68" s="19">
        <v>47081</v>
      </c>
      <c r="U68" s="19">
        <v>128681</v>
      </c>
      <c r="V68" s="19">
        <v>1889</v>
      </c>
      <c r="W68" s="20"/>
      <c r="X68" s="27">
        <f t="shared" si="44"/>
        <v>8.818482267274236</v>
      </c>
      <c r="Y68" s="27">
        <f t="shared" si="45"/>
        <v>9.0258163916270284</v>
      </c>
      <c r="Z68" s="27">
        <f t="shared" si="46"/>
        <v>10.54299658642679</v>
      </c>
      <c r="AA68" s="27">
        <f t="shared" si="47"/>
        <v>9.3275009917497602</v>
      </c>
      <c r="AB68" s="27">
        <f t="shared" si="48"/>
        <v>8.2220164372021962</v>
      </c>
      <c r="AC68" s="27">
        <f t="shared" si="49"/>
        <v>8.1889668636488757</v>
      </c>
      <c r="AD68" s="27">
        <f t="shared" si="50"/>
        <v>10.643279740919118</v>
      </c>
      <c r="AE68" s="27">
        <f t="shared" si="51"/>
        <v>11.117643333918332</v>
      </c>
      <c r="AF68" s="27">
        <f t="shared" si="52"/>
        <v>10.663124474364906</v>
      </c>
      <c r="AG68" s="27">
        <f t="shared" si="53"/>
        <v>11.158690399249249</v>
      </c>
      <c r="AH68" s="27">
        <f t="shared" si="54"/>
        <v>9.0497020260133709</v>
      </c>
      <c r="AI68" s="27">
        <f t="shared" si="55"/>
        <v>7.3607399030582776</v>
      </c>
      <c r="AJ68" s="27">
        <f t="shared" si="56"/>
        <v>7.9738443759446866</v>
      </c>
      <c r="AK68" s="27">
        <f t="shared" si="57"/>
        <v>8.8963143241848002</v>
      </c>
      <c r="AL68" s="27">
        <f t="shared" si="58"/>
        <v>10.119002076685847</v>
      </c>
      <c r="AM68" s="27">
        <f t="shared" si="59"/>
        <v>8.6899693353666603</v>
      </c>
      <c r="AN68" s="27">
        <f t="shared" si="60"/>
        <v>8.7417757069247006</v>
      </c>
      <c r="AO68" s="27">
        <f t="shared" si="61"/>
        <v>8.3351915834332022</v>
      </c>
      <c r="AP68" s="27">
        <f t="shared" si="62"/>
        <v>10.759624801590439</v>
      </c>
      <c r="AQ68" s="27">
        <f t="shared" si="63"/>
        <v>11.765091752538185</v>
      </c>
      <c r="AR68" s="27">
        <f t="shared" si="64"/>
        <v>7.5438028675015092</v>
      </c>
      <c r="AS68" s="19"/>
      <c r="AT68" s="29">
        <f t="shared" ref="AT68:AT131" si="65">X68-X67</f>
        <v>-4.4381981644114887E-4</v>
      </c>
      <c r="AU68" s="29">
        <f t="shared" ref="AU68:AU131" si="66">Y68-Y67</f>
        <v>3.2524271277640793E-3</v>
      </c>
      <c r="AV68" s="29">
        <f t="shared" ref="AV68:AV131" si="67">Z68-Z67</f>
        <v>2.0277536280884689E-2</v>
      </c>
      <c r="AW68" s="29">
        <f t="shared" ref="AW68:AW131" si="68">AA68-AA67</f>
        <v>9.5626091755587339E-3</v>
      </c>
      <c r="AX68" s="29">
        <f t="shared" ref="AX68:AX131" si="69">AB68-AB67</f>
        <v>7.280603819893372E-3</v>
      </c>
      <c r="AY68" s="29">
        <f t="shared" ref="AY68:AY131" si="70">AC68-AC67</f>
        <v>6.9667273554703257E-3</v>
      </c>
      <c r="AZ68" s="29">
        <f t="shared" ref="AZ68:AZ131" si="71">AD68-AD67</f>
        <v>-7.1556353679369522E-4</v>
      </c>
      <c r="BA68" s="29">
        <f t="shared" ref="BA68:BA131" si="72">AE68-AE67</f>
        <v>7.1226645930106969E-3</v>
      </c>
      <c r="BB68" s="29">
        <f t="shared" ref="BB68:BB131" si="73">AF68-AF67</f>
        <v>7.5371046762970906E-3</v>
      </c>
      <c r="BC68" s="29">
        <f t="shared" ref="BC68:BC131" si="74">AG68-AG67</f>
        <v>1.3385275413835274E-2</v>
      </c>
      <c r="BD68" s="29">
        <f t="shared" ref="BD68:BD131" si="75">AH68-AH67</f>
        <v>9.6755917068662711E-3</v>
      </c>
      <c r="BE68" s="29">
        <f t="shared" ref="BE68:BE131" si="76">AI68-AI67</f>
        <v>7.0175726586461096E-3</v>
      </c>
      <c r="BF68" s="29">
        <f t="shared" ref="BF68:BF131" si="77">AJ68-AJ67</f>
        <v>5.1786754784517441E-3</v>
      </c>
      <c r="BG68" s="29">
        <f t="shared" ref="BG68:BG131" si="78">AK68-AK67</f>
        <v>1.225826244234085E-2</v>
      </c>
      <c r="BH68" s="29">
        <f t="shared" ref="BH68:BH131" si="79">AL68-AL67</f>
        <v>9.354377875922637E-3</v>
      </c>
      <c r="BI68" s="29">
        <f t="shared" ref="BI68:BI131" si="80">AM68-AM67</f>
        <v>7.7703093661565248E-3</v>
      </c>
      <c r="BJ68" s="29">
        <f t="shared" ref="BJ68:BJ131" si="81">AN68-AN67</f>
        <v>2.7197840939763296E-3</v>
      </c>
      <c r="BK68" s="29">
        <f t="shared" ref="BK68:BK131" si="82">AO68-AO67</f>
        <v>3.1238761436540585E-3</v>
      </c>
      <c r="BL68" s="29">
        <f t="shared" ref="BL68:BL131" si="83">AP68-AP67</f>
        <v>4.5343828023920452E-3</v>
      </c>
      <c r="BM68" s="29">
        <f t="shared" ref="BM68:BM131" si="84">AQ68-AQ67</f>
        <v>6.4083793023304025E-3</v>
      </c>
      <c r="BN68" s="29">
        <f t="shared" ref="BN68:BN131" si="85">AR68-AR67</f>
        <v>1.6008879780065044E-2</v>
      </c>
      <c r="BO68" s="20"/>
      <c r="BP68" s="19"/>
      <c r="BR68" s="19"/>
      <c r="BS68" s="19"/>
      <c r="BT68" s="19"/>
      <c r="BU68" s="19"/>
      <c r="BW68" s="19"/>
      <c r="BX68" s="20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20"/>
      <c r="CO68" s="19"/>
      <c r="CP68" s="20"/>
      <c r="CQ68" s="19"/>
      <c r="CR68" s="19"/>
      <c r="CS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G68" s="20"/>
      <c r="DH68" s="19"/>
      <c r="DI68" s="19"/>
      <c r="DJ68" s="19"/>
      <c r="DK68" s="19"/>
      <c r="DL68" s="19"/>
      <c r="DM68" s="19"/>
      <c r="DN68" s="19"/>
      <c r="DO68" s="20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20"/>
      <c r="EF68" s="20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20"/>
      <c r="GI68" s="19"/>
      <c r="GJ68" s="22"/>
    </row>
    <row r="69" spans="1:192" x14ac:dyDescent="0.25">
      <c r="A69" s="18">
        <v>1937</v>
      </c>
      <c r="B69" s="19">
        <v>6755</v>
      </c>
      <c r="C69" s="19">
        <v>8346</v>
      </c>
      <c r="D69" s="19">
        <v>38687</v>
      </c>
      <c r="E69" s="19">
        <v>11341</v>
      </c>
      <c r="F69" s="19">
        <v>3749</v>
      </c>
      <c r="G69" s="19">
        <v>3626</v>
      </c>
      <c r="H69" s="19">
        <v>41930</v>
      </c>
      <c r="I69" s="19">
        <v>67831</v>
      </c>
      <c r="J69" s="19">
        <v>43068</v>
      </c>
      <c r="K69" s="19">
        <v>71278</v>
      </c>
      <c r="L69" s="19">
        <v>8599</v>
      </c>
      <c r="M69" s="19">
        <v>1587</v>
      </c>
      <c r="N69" s="19">
        <v>2919</v>
      </c>
      <c r="O69" s="19">
        <v>7396</v>
      </c>
      <c r="P69" s="19">
        <v>25043</v>
      </c>
      <c r="Q69" s="19">
        <v>5989</v>
      </c>
      <c r="R69" s="19">
        <v>6276</v>
      </c>
      <c r="S69" s="19">
        <v>4180</v>
      </c>
      <c r="T69" s="19">
        <v>47289</v>
      </c>
      <c r="U69" s="19">
        <v>129464</v>
      </c>
      <c r="V69" s="19">
        <v>1921</v>
      </c>
      <c r="W69" s="20"/>
      <c r="X69" s="27">
        <f t="shared" si="44"/>
        <v>8.8180382503942987</v>
      </c>
      <c r="Y69" s="27">
        <f t="shared" si="45"/>
        <v>9.0295376611514975</v>
      </c>
      <c r="Z69" s="27">
        <f t="shared" si="46"/>
        <v>10.563258905272352</v>
      </c>
      <c r="AA69" s="27">
        <f t="shared" si="47"/>
        <v>9.33617975681533</v>
      </c>
      <c r="AB69" s="27">
        <f t="shared" si="48"/>
        <v>8.2292444167359129</v>
      </c>
      <c r="AC69" s="27">
        <f t="shared" si="49"/>
        <v>8.1958853913147962</v>
      </c>
      <c r="AD69" s="27">
        <f t="shared" si="50"/>
        <v>10.643756840164809</v>
      </c>
      <c r="AE69" s="27">
        <f t="shared" si="51"/>
        <v>11.124774596570653</v>
      </c>
      <c r="AF69" s="27">
        <f t="shared" si="52"/>
        <v>10.670535540935608</v>
      </c>
      <c r="AG69" s="27">
        <f t="shared" si="53"/>
        <v>11.174343003389657</v>
      </c>
      <c r="AH69" s="27">
        <f t="shared" si="54"/>
        <v>9.0594011964108958</v>
      </c>
      <c r="AI69" s="27">
        <f t="shared" si="55"/>
        <v>7.3696007205264094</v>
      </c>
      <c r="AJ69" s="27">
        <f t="shared" si="56"/>
        <v>7.978996370854115</v>
      </c>
      <c r="AK69" s="27">
        <f t="shared" si="57"/>
        <v>8.9086945925070147</v>
      </c>
      <c r="AL69" s="27">
        <f t="shared" si="58"/>
        <v>10.128349626344303</v>
      </c>
      <c r="AM69" s="27">
        <f t="shared" si="59"/>
        <v>8.6976797322644632</v>
      </c>
      <c r="AN69" s="27">
        <f t="shared" si="60"/>
        <v>8.744488113852924</v>
      </c>
      <c r="AO69" s="27">
        <f t="shared" si="61"/>
        <v>8.3380665255188013</v>
      </c>
      <c r="AP69" s="27">
        <f t="shared" si="62"/>
        <v>10.764032989294652</v>
      </c>
      <c r="AQ69" s="27">
        <f t="shared" si="63"/>
        <v>11.771158129196721</v>
      </c>
      <c r="AR69" s="27">
        <f t="shared" si="64"/>
        <v>7.560601162768557</v>
      </c>
      <c r="AS69" s="19"/>
      <c r="AT69" s="29">
        <f t="shared" si="65"/>
        <v>-4.4401687993733674E-4</v>
      </c>
      <c r="AU69" s="29">
        <f t="shared" si="66"/>
        <v>3.7212695244690508E-3</v>
      </c>
      <c r="AV69" s="29">
        <f t="shared" si="67"/>
        <v>2.0262318845562177E-2</v>
      </c>
      <c r="AW69" s="29">
        <f t="shared" si="68"/>
        <v>8.678765065569749E-3</v>
      </c>
      <c r="AX69" s="29">
        <f t="shared" si="69"/>
        <v>7.2279795337166775E-3</v>
      </c>
      <c r="AY69" s="29">
        <f t="shared" si="70"/>
        <v>6.9185276659204931E-3</v>
      </c>
      <c r="AZ69" s="29">
        <f t="shared" si="71"/>
        <v>4.7709924569083739E-4</v>
      </c>
      <c r="BA69" s="29">
        <f t="shared" si="72"/>
        <v>7.131262652320558E-3</v>
      </c>
      <c r="BB69" s="29">
        <f t="shared" si="73"/>
        <v>7.4110665707021184E-3</v>
      </c>
      <c r="BC69" s="29">
        <f t="shared" si="74"/>
        <v>1.5652604140408144E-2</v>
      </c>
      <c r="BD69" s="29">
        <f t="shared" si="75"/>
        <v>9.6991703975248811E-3</v>
      </c>
      <c r="BE69" s="29">
        <f t="shared" si="76"/>
        <v>8.8608174681317209E-3</v>
      </c>
      <c r="BF69" s="29">
        <f t="shared" si="77"/>
        <v>5.1519949094283035E-3</v>
      </c>
      <c r="BG69" s="29">
        <f t="shared" si="78"/>
        <v>1.2380268322214505E-2</v>
      </c>
      <c r="BH69" s="29">
        <f t="shared" si="79"/>
        <v>9.3475496584556339E-3</v>
      </c>
      <c r="BI69" s="29">
        <f t="shared" si="80"/>
        <v>7.7103968978029513E-3</v>
      </c>
      <c r="BJ69" s="29">
        <f t="shared" si="81"/>
        <v>2.7124069282233876E-3</v>
      </c>
      <c r="BK69" s="29">
        <f t="shared" si="82"/>
        <v>2.8749420855991303E-3</v>
      </c>
      <c r="BL69" s="29">
        <f t="shared" si="83"/>
        <v>4.408187704212807E-3</v>
      </c>
      <c r="BM69" s="29">
        <f t="shared" si="84"/>
        <v>6.0663766585360435E-3</v>
      </c>
      <c r="BN69" s="29">
        <f t="shared" si="85"/>
        <v>1.6798295267047791E-2</v>
      </c>
      <c r="BO69" s="20"/>
      <c r="BP69" s="19"/>
      <c r="BR69" s="19"/>
      <c r="BS69" s="19"/>
      <c r="BT69" s="19"/>
      <c r="BU69" s="19"/>
      <c r="BW69" s="19"/>
      <c r="BX69" s="20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20"/>
      <c r="CO69" s="19"/>
      <c r="CP69" s="20"/>
      <c r="CQ69" s="19"/>
      <c r="CR69" s="19"/>
      <c r="CS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G69" s="20"/>
      <c r="DH69" s="19"/>
      <c r="DI69" s="19"/>
      <c r="DJ69" s="19"/>
      <c r="DK69" s="19"/>
      <c r="DL69" s="19"/>
      <c r="DM69" s="19"/>
      <c r="DN69" s="19"/>
      <c r="DO69" s="20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20"/>
      <c r="EF69" s="20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20"/>
      <c r="GI69" s="19"/>
      <c r="GJ69" s="22"/>
    </row>
    <row r="70" spans="1:192" x14ac:dyDescent="0.25">
      <c r="A70" s="18">
        <v>1938</v>
      </c>
      <c r="B70" s="19">
        <v>6753</v>
      </c>
      <c r="C70" s="19">
        <v>8374</v>
      </c>
      <c r="D70" s="19">
        <v>39480</v>
      </c>
      <c r="E70" s="19">
        <v>11452</v>
      </c>
      <c r="F70" s="19">
        <v>3777</v>
      </c>
      <c r="G70" s="19">
        <v>3656</v>
      </c>
      <c r="H70" s="19">
        <v>41960</v>
      </c>
      <c r="I70" s="19">
        <v>68558</v>
      </c>
      <c r="J70" s="19">
        <v>43419</v>
      </c>
      <c r="K70" s="19">
        <v>71879</v>
      </c>
      <c r="L70" s="19">
        <v>8685</v>
      </c>
      <c r="M70" s="19">
        <v>1604</v>
      </c>
      <c r="N70" s="19">
        <v>2936</v>
      </c>
      <c r="O70" s="19">
        <v>7488</v>
      </c>
      <c r="P70" s="19">
        <v>25279</v>
      </c>
      <c r="Q70" s="19">
        <v>6045</v>
      </c>
      <c r="R70" s="19">
        <v>6297</v>
      </c>
      <c r="S70" s="19">
        <v>4192</v>
      </c>
      <c r="T70" s="19">
        <v>47494</v>
      </c>
      <c r="U70" s="19">
        <v>130476</v>
      </c>
      <c r="V70" s="19">
        <v>1952</v>
      </c>
      <c r="W70" s="20"/>
      <c r="X70" s="27">
        <f t="shared" si="44"/>
        <v>8.8177421295748424</v>
      </c>
      <c r="Y70" s="27">
        <f t="shared" si="45"/>
        <v>9.0328869465790884</v>
      </c>
      <c r="Z70" s="27">
        <f t="shared" si="46"/>
        <v>10.583549493547418</v>
      </c>
      <c r="AA70" s="27">
        <f t="shared" si="47"/>
        <v>9.3459196662180055</v>
      </c>
      <c r="AB70" s="27">
        <f t="shared" si="48"/>
        <v>8.2366853227124572</v>
      </c>
      <c r="AC70" s="27">
        <f t="shared" si="49"/>
        <v>8.2041249325740413</v>
      </c>
      <c r="AD70" s="27">
        <f t="shared" si="50"/>
        <v>10.644472062510234</v>
      </c>
      <c r="AE70" s="27">
        <f t="shared" si="51"/>
        <v>11.135435381317576</v>
      </c>
      <c r="AF70" s="27">
        <f t="shared" si="52"/>
        <v>10.678652412305714</v>
      </c>
      <c r="AG70" s="27">
        <f t="shared" si="53"/>
        <v>11.182739428725039</v>
      </c>
      <c r="AH70" s="27">
        <f t="shared" si="54"/>
        <v>9.0693526786752052</v>
      </c>
      <c r="AI70" s="27">
        <f t="shared" si="55"/>
        <v>7.3802557884264601</v>
      </c>
      <c r="AJ70" s="27">
        <f t="shared" si="56"/>
        <v>7.984803389734406</v>
      </c>
      <c r="AK70" s="27">
        <f t="shared" si="57"/>
        <v>8.9210570181574287</v>
      </c>
      <c r="AL70" s="27">
        <f t="shared" si="58"/>
        <v>10.13772929051637</v>
      </c>
      <c r="AM70" s="27">
        <f t="shared" si="59"/>
        <v>8.7069867630488922</v>
      </c>
      <c r="AN70" s="27">
        <f t="shared" si="60"/>
        <v>8.7478286084887422</v>
      </c>
      <c r="AO70" s="27">
        <f t="shared" si="61"/>
        <v>8.3409332260008782</v>
      </c>
      <c r="AP70" s="27">
        <f t="shared" si="62"/>
        <v>10.768358666254748</v>
      </c>
      <c r="AQ70" s="27">
        <f t="shared" si="63"/>
        <v>11.778944580785749</v>
      </c>
      <c r="AR70" s="27">
        <f t="shared" si="64"/>
        <v>7.5766097669730375</v>
      </c>
      <c r="AS70" s="19"/>
      <c r="AT70" s="29">
        <f t="shared" si="65"/>
        <v>-2.9612081945629143E-4</v>
      </c>
      <c r="AU70" s="29">
        <f t="shared" si="66"/>
        <v>3.3492854275909423E-3</v>
      </c>
      <c r="AV70" s="29">
        <f t="shared" si="67"/>
        <v>2.0290588275065247E-2</v>
      </c>
      <c r="AW70" s="29">
        <f t="shared" si="68"/>
        <v>9.7399094026755506E-3</v>
      </c>
      <c r="AX70" s="29">
        <f t="shared" si="69"/>
        <v>7.440905976544343E-3</v>
      </c>
      <c r="AY70" s="29">
        <f t="shared" si="70"/>
        <v>8.2395412592450867E-3</v>
      </c>
      <c r="AZ70" s="29">
        <f t="shared" si="71"/>
        <v>7.152223454252038E-4</v>
      </c>
      <c r="BA70" s="29">
        <f t="shared" si="72"/>
        <v>1.0660784746923113E-2</v>
      </c>
      <c r="BB70" s="29">
        <f t="shared" si="73"/>
        <v>8.1168713701060824E-3</v>
      </c>
      <c r="BC70" s="29">
        <f t="shared" si="74"/>
        <v>8.3964253353823182E-3</v>
      </c>
      <c r="BD70" s="29">
        <f t="shared" si="75"/>
        <v>9.9514822643094192E-3</v>
      </c>
      <c r="BE70" s="29">
        <f t="shared" si="76"/>
        <v>1.0655067900050774E-2</v>
      </c>
      <c r="BF70" s="29">
        <f t="shared" si="77"/>
        <v>5.8070188802910039E-3</v>
      </c>
      <c r="BG70" s="29">
        <f t="shared" si="78"/>
        <v>1.2362425650414011E-2</v>
      </c>
      <c r="BH70" s="29">
        <f t="shared" si="79"/>
        <v>9.3796641720675922E-3</v>
      </c>
      <c r="BI70" s="29">
        <f t="shared" si="80"/>
        <v>9.3070307844289601E-3</v>
      </c>
      <c r="BJ70" s="29">
        <f t="shared" si="81"/>
        <v>3.3404946358182031E-3</v>
      </c>
      <c r="BK70" s="29">
        <f t="shared" si="82"/>
        <v>2.8667004820768227E-3</v>
      </c>
      <c r="BL70" s="29">
        <f t="shared" si="83"/>
        <v>4.3256769600965583E-3</v>
      </c>
      <c r="BM70" s="29">
        <f t="shared" si="84"/>
        <v>7.7864515890286867E-3</v>
      </c>
      <c r="BN70" s="29">
        <f t="shared" si="85"/>
        <v>1.600860420448047E-2</v>
      </c>
      <c r="BO70" s="20"/>
      <c r="BP70" s="19"/>
      <c r="BR70" s="19"/>
      <c r="BS70" s="19"/>
      <c r="BT70" s="19"/>
      <c r="BU70" s="19"/>
      <c r="BW70" s="19"/>
      <c r="BX70" s="20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20"/>
      <c r="CO70" s="19"/>
      <c r="CP70" s="20"/>
      <c r="CQ70" s="19"/>
      <c r="CR70" s="19"/>
      <c r="CS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G70" s="20"/>
      <c r="DH70" s="19"/>
      <c r="DI70" s="19"/>
      <c r="DJ70" s="19"/>
      <c r="DK70" s="19"/>
      <c r="DL70" s="19"/>
      <c r="DM70" s="19"/>
      <c r="DN70" s="19"/>
      <c r="DO70" s="20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20"/>
      <c r="EF70" s="20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20"/>
      <c r="GI70" s="19"/>
      <c r="GJ70" s="22"/>
    </row>
    <row r="71" spans="1:192" x14ac:dyDescent="0.25">
      <c r="A71" s="18">
        <v>1939</v>
      </c>
      <c r="B71" s="19">
        <v>6653</v>
      </c>
      <c r="C71" s="19">
        <v>8392</v>
      </c>
      <c r="D71" s="19">
        <v>40289</v>
      </c>
      <c r="E71" s="19">
        <v>11570</v>
      </c>
      <c r="F71" s="19">
        <v>3805</v>
      </c>
      <c r="G71" s="19">
        <v>3686</v>
      </c>
      <c r="H71" s="19">
        <v>41900</v>
      </c>
      <c r="I71" s="19">
        <v>69286</v>
      </c>
      <c r="J71" s="19">
        <v>43865</v>
      </c>
      <c r="K71" s="19">
        <v>72364</v>
      </c>
      <c r="L71" s="19">
        <v>8782</v>
      </c>
      <c r="M71" s="19">
        <v>1627</v>
      </c>
      <c r="N71" s="19">
        <v>2954</v>
      </c>
      <c r="O71" s="19">
        <v>7581</v>
      </c>
      <c r="P71" s="19">
        <v>25517</v>
      </c>
      <c r="Q71" s="19">
        <v>6095</v>
      </c>
      <c r="R71" s="19">
        <v>6326</v>
      </c>
      <c r="S71" s="19">
        <v>4206</v>
      </c>
      <c r="T71" s="19">
        <v>47991</v>
      </c>
      <c r="U71" s="19">
        <v>131539</v>
      </c>
      <c r="V71" s="19">
        <v>1944</v>
      </c>
      <c r="W71" s="20"/>
      <c r="X71" s="27">
        <f t="shared" si="44"/>
        <v>8.8028231597418873</v>
      </c>
      <c r="Y71" s="27">
        <f t="shared" si="45"/>
        <v>9.0350341500761324</v>
      </c>
      <c r="Z71" s="27">
        <f t="shared" si="46"/>
        <v>10.603833757822766</v>
      </c>
      <c r="AA71" s="27">
        <f t="shared" si="47"/>
        <v>9.3561708201877227</v>
      </c>
      <c r="AB71" s="27">
        <f t="shared" si="48"/>
        <v>8.2440712702957857</v>
      </c>
      <c r="AC71" s="27">
        <f t="shared" si="49"/>
        <v>8.2122971382297685</v>
      </c>
      <c r="AD71" s="27">
        <f t="shared" si="50"/>
        <v>10.643041105910228</v>
      </c>
      <c r="AE71" s="27">
        <f t="shared" si="51"/>
        <v>11.145998144567145</v>
      </c>
      <c r="AF71" s="27">
        <f t="shared" si="52"/>
        <v>10.688872014562484</v>
      </c>
      <c r="AG71" s="27">
        <f t="shared" si="53"/>
        <v>11.189464217141152</v>
      </c>
      <c r="AH71" s="27">
        <f t="shared" si="54"/>
        <v>9.0804594511216621</v>
      </c>
      <c r="AI71" s="27">
        <f t="shared" si="55"/>
        <v>7.3944931072190379</v>
      </c>
      <c r="AJ71" s="27">
        <f t="shared" si="56"/>
        <v>7.9909154630913255</v>
      </c>
      <c r="AK71" s="27">
        <f t="shared" si="57"/>
        <v>8.9334003960563031</v>
      </c>
      <c r="AL71" s="27">
        <f t="shared" si="58"/>
        <v>10.147100175689678</v>
      </c>
      <c r="AM71" s="27">
        <f t="shared" si="59"/>
        <v>8.7152240419153717</v>
      </c>
      <c r="AN71" s="27">
        <f t="shared" si="60"/>
        <v>8.7524234038655937</v>
      </c>
      <c r="AO71" s="27">
        <f t="shared" si="61"/>
        <v>8.3442673562626446</v>
      </c>
      <c r="AP71" s="27">
        <f t="shared" si="62"/>
        <v>10.778768772309705</v>
      </c>
      <c r="AQ71" s="27">
        <f t="shared" si="63"/>
        <v>11.787058664576179</v>
      </c>
      <c r="AR71" s="27">
        <f t="shared" si="64"/>
        <v>7.5725029850203844</v>
      </c>
      <c r="AS71" s="19"/>
      <c r="AT71" s="29">
        <f t="shared" si="65"/>
        <v>-1.4918969832955042E-2</v>
      </c>
      <c r="AU71" s="29">
        <f t="shared" si="66"/>
        <v>2.1472034970440035E-3</v>
      </c>
      <c r="AV71" s="29">
        <f t="shared" si="67"/>
        <v>2.0284264275348463E-2</v>
      </c>
      <c r="AW71" s="29">
        <f t="shared" si="68"/>
        <v>1.0251153969717208E-2</v>
      </c>
      <c r="AX71" s="29">
        <f t="shared" si="69"/>
        <v>7.3859475833284449E-3</v>
      </c>
      <c r="AY71" s="29">
        <f t="shared" si="70"/>
        <v>8.1722056557271827E-3</v>
      </c>
      <c r="AZ71" s="29">
        <f t="shared" si="71"/>
        <v>-1.430956600005473E-3</v>
      </c>
      <c r="BA71" s="29">
        <f t="shared" si="72"/>
        <v>1.0562763249568619E-2</v>
      </c>
      <c r="BB71" s="29">
        <f t="shared" si="73"/>
        <v>1.0219602256769988E-2</v>
      </c>
      <c r="BC71" s="29">
        <f t="shared" si="74"/>
        <v>6.7247884161130145E-3</v>
      </c>
      <c r="BD71" s="29">
        <f t="shared" si="75"/>
        <v>1.1106772446456858E-2</v>
      </c>
      <c r="BE71" s="29">
        <f t="shared" si="76"/>
        <v>1.4237318792577724E-2</v>
      </c>
      <c r="BF71" s="29">
        <f t="shared" si="77"/>
        <v>6.1120733569195451E-3</v>
      </c>
      <c r="BG71" s="29">
        <f t="shared" si="78"/>
        <v>1.2343377898874408E-2</v>
      </c>
      <c r="BH71" s="29">
        <f t="shared" si="79"/>
        <v>9.3708851733076415E-3</v>
      </c>
      <c r="BI71" s="29">
        <f t="shared" si="80"/>
        <v>8.2372788664795138E-3</v>
      </c>
      <c r="BJ71" s="29">
        <f t="shared" si="81"/>
        <v>4.5947953768514793E-3</v>
      </c>
      <c r="BK71" s="29">
        <f t="shared" si="82"/>
        <v>3.3341302617664326E-3</v>
      </c>
      <c r="BL71" s="29">
        <f t="shared" si="83"/>
        <v>1.0410106054957069E-2</v>
      </c>
      <c r="BM71" s="29">
        <f t="shared" si="84"/>
        <v>8.1140837904296603E-3</v>
      </c>
      <c r="BN71" s="29">
        <f t="shared" si="85"/>
        <v>-4.1067819526530158E-3</v>
      </c>
      <c r="BO71" s="20"/>
      <c r="BP71" s="19"/>
      <c r="BR71" s="19"/>
      <c r="BS71" s="19"/>
      <c r="BT71" s="19"/>
      <c r="BU71" s="19"/>
      <c r="BW71" s="19"/>
      <c r="BX71" s="20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20"/>
      <c r="CO71" s="19"/>
      <c r="CP71" s="20"/>
      <c r="CQ71" s="19"/>
      <c r="CR71" s="19"/>
      <c r="CS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G71" s="20"/>
      <c r="DH71" s="19"/>
      <c r="DI71" s="19"/>
      <c r="DJ71" s="19"/>
      <c r="DK71" s="19"/>
      <c r="DL71" s="19"/>
      <c r="DM71" s="19"/>
      <c r="DN71" s="19"/>
      <c r="DO71" s="20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20"/>
      <c r="EF71" s="20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20"/>
      <c r="GI71" s="19"/>
      <c r="GJ71" s="22"/>
    </row>
    <row r="72" spans="1:192" x14ac:dyDescent="0.25">
      <c r="A72" s="18">
        <v>1940</v>
      </c>
      <c r="B72" s="19">
        <v>6705</v>
      </c>
      <c r="C72" s="19">
        <v>8346</v>
      </c>
      <c r="D72" s="19">
        <v>41114</v>
      </c>
      <c r="E72" s="19">
        <v>11688</v>
      </c>
      <c r="F72" s="19">
        <v>3832</v>
      </c>
      <c r="G72" s="19">
        <v>3698</v>
      </c>
      <c r="H72" s="19">
        <v>41000</v>
      </c>
      <c r="I72" s="19">
        <v>69835</v>
      </c>
      <c r="J72" s="19">
        <v>44341</v>
      </c>
      <c r="K72" s="19">
        <v>72967</v>
      </c>
      <c r="L72" s="19">
        <v>8879</v>
      </c>
      <c r="M72" s="19">
        <v>1636</v>
      </c>
      <c r="N72" s="19">
        <v>2973</v>
      </c>
      <c r="O72" s="19">
        <v>7675</v>
      </c>
      <c r="P72" s="19">
        <v>25757</v>
      </c>
      <c r="Q72" s="19">
        <v>6134</v>
      </c>
      <c r="R72" s="19">
        <v>6356</v>
      </c>
      <c r="S72" s="19">
        <v>4226</v>
      </c>
      <c r="T72" s="19">
        <v>48226</v>
      </c>
      <c r="U72" s="19">
        <v>132637</v>
      </c>
      <c r="V72" s="19">
        <v>1965</v>
      </c>
      <c r="W72" s="20"/>
      <c r="X72" s="27">
        <f t="shared" si="44"/>
        <v>8.8106087957157797</v>
      </c>
      <c r="Y72" s="27">
        <f t="shared" si="45"/>
        <v>9.0295376611514975</v>
      </c>
      <c r="Z72" s="27">
        <f t="shared" si="46"/>
        <v>10.624103975085617</v>
      </c>
      <c r="AA72" s="27">
        <f t="shared" si="47"/>
        <v>9.366317953430535</v>
      </c>
      <c r="AB72" s="27">
        <f t="shared" si="48"/>
        <v>8.2511421390907511</v>
      </c>
      <c r="AC72" s="27">
        <f t="shared" si="49"/>
        <v>8.2155474119470693</v>
      </c>
      <c r="AD72" s="27">
        <f t="shared" si="50"/>
        <v>10.621327345686446</v>
      </c>
      <c r="AE72" s="27">
        <f t="shared" si="51"/>
        <v>11.153890595739872</v>
      </c>
      <c r="AF72" s="27">
        <f t="shared" si="52"/>
        <v>10.699665035915537</v>
      </c>
      <c r="AG72" s="27">
        <f t="shared" si="53"/>
        <v>11.197762563128435</v>
      </c>
      <c r="AH72" s="27">
        <f t="shared" si="54"/>
        <v>9.0914442170323273</v>
      </c>
      <c r="AI72" s="27">
        <f t="shared" si="55"/>
        <v>7.4000095171626921</v>
      </c>
      <c r="AJ72" s="27">
        <f t="shared" si="56"/>
        <v>7.9973268229980974</v>
      </c>
      <c r="AK72" s="27">
        <f t="shared" si="57"/>
        <v>8.9457235724553978</v>
      </c>
      <c r="AL72" s="27">
        <f t="shared" si="58"/>
        <v>10.156461713809012</v>
      </c>
      <c r="AM72" s="27">
        <f t="shared" si="59"/>
        <v>8.7216023446741975</v>
      </c>
      <c r="AN72" s="27">
        <f t="shared" si="60"/>
        <v>8.7571545276566063</v>
      </c>
      <c r="AO72" s="27">
        <f t="shared" si="61"/>
        <v>8.3490111981760027</v>
      </c>
      <c r="AP72" s="27">
        <f t="shared" si="62"/>
        <v>10.78365357369165</v>
      </c>
      <c r="AQ72" s="27">
        <f t="shared" si="63"/>
        <v>11.79537135250176</v>
      </c>
      <c r="AR72" s="27">
        <f t="shared" si="64"/>
        <v>7.5832475243033617</v>
      </c>
      <c r="AS72" s="19"/>
      <c r="AT72" s="29">
        <f t="shared" si="65"/>
        <v>7.7856359738923686E-3</v>
      </c>
      <c r="AU72" s="29">
        <f t="shared" si="66"/>
        <v>-5.4964889246349458E-3</v>
      </c>
      <c r="AV72" s="29">
        <f t="shared" si="67"/>
        <v>2.0270217262851276E-2</v>
      </c>
      <c r="AW72" s="29">
        <f t="shared" si="68"/>
        <v>1.0147133242812245E-2</v>
      </c>
      <c r="AX72" s="29">
        <f t="shared" si="69"/>
        <v>7.0708687949654347E-3</v>
      </c>
      <c r="AY72" s="29">
        <f t="shared" si="70"/>
        <v>3.2502737173008001E-3</v>
      </c>
      <c r="AZ72" s="29">
        <f t="shared" si="71"/>
        <v>-2.1713760223782685E-2</v>
      </c>
      <c r="BA72" s="29">
        <f t="shared" si="72"/>
        <v>7.8924511727276325E-3</v>
      </c>
      <c r="BB72" s="29">
        <f t="shared" si="73"/>
        <v>1.0793021353052268E-2</v>
      </c>
      <c r="BC72" s="29">
        <f t="shared" si="74"/>
        <v>8.2983459872831844E-3</v>
      </c>
      <c r="BD72" s="29">
        <f t="shared" si="75"/>
        <v>1.0984765910665217E-2</v>
      </c>
      <c r="BE72" s="29">
        <f t="shared" si="76"/>
        <v>5.5164099436542102E-3</v>
      </c>
      <c r="BF72" s="29">
        <f t="shared" si="77"/>
        <v>6.4113599067718852E-3</v>
      </c>
      <c r="BG72" s="29">
        <f t="shared" si="78"/>
        <v>1.2323176399094748E-2</v>
      </c>
      <c r="BH72" s="29">
        <f t="shared" si="79"/>
        <v>9.3615381193341562E-3</v>
      </c>
      <c r="BI72" s="29">
        <f t="shared" si="80"/>
        <v>6.3783027588257823E-3</v>
      </c>
      <c r="BJ72" s="29">
        <f t="shared" si="81"/>
        <v>4.7311237910125925E-3</v>
      </c>
      <c r="BK72" s="29">
        <f t="shared" si="82"/>
        <v>4.7438419133580823E-3</v>
      </c>
      <c r="BL72" s="29">
        <f t="shared" si="83"/>
        <v>4.8848013819444702E-3</v>
      </c>
      <c r="BM72" s="29">
        <f t="shared" si="84"/>
        <v>8.3126879255814856E-3</v>
      </c>
      <c r="BN72" s="29">
        <f t="shared" si="85"/>
        <v>1.074453928297725E-2</v>
      </c>
      <c r="BO72" s="20"/>
      <c r="BP72" s="19"/>
      <c r="BR72" s="19"/>
      <c r="BS72" s="19"/>
      <c r="BT72" s="19"/>
      <c r="BU72" s="19"/>
      <c r="BW72" s="19"/>
      <c r="BX72" s="20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20"/>
      <c r="CO72" s="19"/>
      <c r="CP72" s="20"/>
      <c r="CQ72" s="19"/>
      <c r="CR72" s="19"/>
      <c r="CS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G72" s="20"/>
      <c r="DH72" s="19"/>
      <c r="DI72" s="19"/>
      <c r="DJ72" s="19"/>
      <c r="DK72" s="19"/>
      <c r="DL72" s="19"/>
      <c r="DM72" s="19"/>
      <c r="DN72" s="19"/>
      <c r="DO72" s="20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20"/>
      <c r="EF72" s="20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20"/>
      <c r="GI72" s="19"/>
      <c r="GJ72" s="22"/>
    </row>
    <row r="73" spans="1:192" x14ac:dyDescent="0.25">
      <c r="A73" s="18">
        <v>1941</v>
      </c>
      <c r="B73" s="19">
        <v>6745</v>
      </c>
      <c r="C73" s="19">
        <v>8276</v>
      </c>
      <c r="D73" s="19">
        <v>42069</v>
      </c>
      <c r="E73" s="19">
        <v>11818</v>
      </c>
      <c r="F73" s="19">
        <v>3863</v>
      </c>
      <c r="G73" s="19">
        <v>3702</v>
      </c>
      <c r="H73" s="19">
        <v>39600</v>
      </c>
      <c r="I73" s="19">
        <v>70244</v>
      </c>
      <c r="J73" s="19">
        <v>44734</v>
      </c>
      <c r="K73" s="19">
        <v>74005</v>
      </c>
      <c r="L73" s="19">
        <v>8966</v>
      </c>
      <c r="M73" s="19">
        <v>1629</v>
      </c>
      <c r="N73" s="19">
        <v>2990</v>
      </c>
      <c r="O73" s="19">
        <v>7757</v>
      </c>
      <c r="P73" s="19">
        <v>25979</v>
      </c>
      <c r="Q73" s="19">
        <v>6169</v>
      </c>
      <c r="R73" s="19">
        <v>6389</v>
      </c>
      <c r="S73" s="19">
        <v>4254</v>
      </c>
      <c r="T73" s="19">
        <v>48216</v>
      </c>
      <c r="U73" s="19">
        <v>133922</v>
      </c>
      <c r="V73" s="19">
        <v>1987</v>
      </c>
      <c r="W73" s="20"/>
      <c r="X73" s="27">
        <f t="shared" si="44"/>
        <v>8.8165567686418562</v>
      </c>
      <c r="Y73" s="27">
        <f t="shared" si="45"/>
        <v>9.0211150388654335</v>
      </c>
      <c r="Z73" s="27">
        <f t="shared" si="46"/>
        <v>10.64706640639476</v>
      </c>
      <c r="AA73" s="27">
        <f t="shared" si="47"/>
        <v>9.3773790719056205</v>
      </c>
      <c r="AB73" s="27">
        <f t="shared" si="48"/>
        <v>8.2591993626662816</v>
      </c>
      <c r="AC73" s="27">
        <f t="shared" si="49"/>
        <v>8.2166284931334435</v>
      </c>
      <c r="AD73" s="27">
        <f t="shared" si="50"/>
        <v>10.586584397242571</v>
      </c>
      <c r="AE73" s="27">
        <f t="shared" si="51"/>
        <v>11.159730174295746</v>
      </c>
      <c r="AF73" s="27">
        <f t="shared" si="52"/>
        <v>10.708489117870215</v>
      </c>
      <c r="AG73" s="27">
        <f t="shared" si="53"/>
        <v>11.211887937471289</v>
      </c>
      <c r="AH73" s="27">
        <f t="shared" si="54"/>
        <v>9.1011949247153847</v>
      </c>
      <c r="AI73" s="27">
        <f t="shared" si="55"/>
        <v>7.3957216086020452</v>
      </c>
      <c r="AJ73" s="27">
        <f t="shared" si="56"/>
        <v>8.0030286663847328</v>
      </c>
      <c r="AK73" s="27">
        <f t="shared" si="57"/>
        <v>8.9563509404908714</v>
      </c>
      <c r="AL73" s="27">
        <f t="shared" si="58"/>
        <v>10.16504379833675</v>
      </c>
      <c r="AM73" s="27">
        <f t="shared" si="59"/>
        <v>8.7272920292096394</v>
      </c>
      <c r="AN73" s="27">
        <f t="shared" si="60"/>
        <v>8.7623330406023427</v>
      </c>
      <c r="AO73" s="27">
        <f t="shared" si="61"/>
        <v>8.3556149957601829</v>
      </c>
      <c r="AP73" s="27">
        <f t="shared" si="62"/>
        <v>10.783446195162879</v>
      </c>
      <c r="AQ73" s="27">
        <f t="shared" si="63"/>
        <v>11.805012819900915</v>
      </c>
      <c r="AR73" s="27">
        <f t="shared" si="64"/>
        <v>7.5943812425518171</v>
      </c>
      <c r="AS73" s="19"/>
      <c r="AT73" s="29">
        <f t="shared" si="65"/>
        <v>5.9479729260765168E-3</v>
      </c>
      <c r="AU73" s="29">
        <f t="shared" si="66"/>
        <v>-8.422622286063941E-3</v>
      </c>
      <c r="AV73" s="29">
        <f t="shared" si="67"/>
        <v>2.2962431309142772E-2</v>
      </c>
      <c r="AW73" s="29">
        <f t="shared" si="68"/>
        <v>1.1061118475085507E-2</v>
      </c>
      <c r="AX73" s="29">
        <f t="shared" si="69"/>
        <v>8.0572235755305144E-3</v>
      </c>
      <c r="AY73" s="29">
        <f t="shared" si="70"/>
        <v>1.0810811863741776E-3</v>
      </c>
      <c r="AZ73" s="29">
        <f t="shared" si="71"/>
        <v>-3.4742948443874155E-2</v>
      </c>
      <c r="BA73" s="29">
        <f t="shared" si="72"/>
        <v>5.8395785558733593E-3</v>
      </c>
      <c r="BB73" s="29">
        <f t="shared" si="73"/>
        <v>8.82408195467832E-3</v>
      </c>
      <c r="BC73" s="29">
        <f t="shared" si="74"/>
        <v>1.4125374342853547E-2</v>
      </c>
      <c r="BD73" s="29">
        <f t="shared" si="75"/>
        <v>9.7507076830574135E-3</v>
      </c>
      <c r="BE73" s="29">
        <f t="shared" si="76"/>
        <v>-4.2879085606468692E-3</v>
      </c>
      <c r="BF73" s="29">
        <f t="shared" si="77"/>
        <v>5.7018433866353746E-3</v>
      </c>
      <c r="BG73" s="29">
        <f t="shared" si="78"/>
        <v>1.0627368035473594E-2</v>
      </c>
      <c r="BH73" s="29">
        <f t="shared" si="79"/>
        <v>8.5820845277382318E-3</v>
      </c>
      <c r="BI73" s="29">
        <f t="shared" si="80"/>
        <v>5.6896845354419412E-3</v>
      </c>
      <c r="BJ73" s="29">
        <f t="shared" si="81"/>
        <v>5.1785129457364576E-3</v>
      </c>
      <c r="BK73" s="29">
        <f t="shared" si="82"/>
        <v>6.603797584180171E-3</v>
      </c>
      <c r="BL73" s="29">
        <f t="shared" si="83"/>
        <v>-2.0737852877061869E-4</v>
      </c>
      <c r="BM73" s="29">
        <f t="shared" si="84"/>
        <v>9.6414673991542799E-3</v>
      </c>
      <c r="BN73" s="29">
        <f t="shared" si="85"/>
        <v>1.1133718248455438E-2</v>
      </c>
      <c r="BO73" s="20"/>
      <c r="BP73" s="19"/>
      <c r="BR73" s="19"/>
      <c r="BS73" s="19"/>
      <c r="BT73" s="19"/>
      <c r="BU73" s="19"/>
      <c r="BW73" s="19"/>
      <c r="BX73" s="20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20"/>
      <c r="CO73" s="19"/>
      <c r="CP73" s="20"/>
      <c r="CQ73" s="19"/>
      <c r="CR73" s="19"/>
      <c r="CS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G73" s="20"/>
      <c r="DH73" s="19"/>
      <c r="DI73" s="19"/>
      <c r="DJ73" s="19"/>
      <c r="DK73" s="19"/>
      <c r="DL73" s="19"/>
      <c r="DM73" s="19"/>
      <c r="DN73" s="19"/>
      <c r="DO73" s="20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20"/>
      <c r="EF73" s="20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20"/>
      <c r="GI73" s="19"/>
      <c r="GJ73" s="22"/>
    </row>
    <row r="74" spans="1:192" x14ac:dyDescent="0.25">
      <c r="A74" s="18">
        <v>1942</v>
      </c>
      <c r="B74" s="19">
        <v>6783</v>
      </c>
      <c r="C74" s="19">
        <v>8247</v>
      </c>
      <c r="D74" s="19">
        <v>43069</v>
      </c>
      <c r="E74" s="19">
        <v>11969</v>
      </c>
      <c r="F74" s="19">
        <v>3903</v>
      </c>
      <c r="G74" s="19">
        <v>3708</v>
      </c>
      <c r="H74" s="19">
        <v>39400</v>
      </c>
      <c r="I74" s="19">
        <v>70834</v>
      </c>
      <c r="J74" s="19">
        <v>45004</v>
      </c>
      <c r="K74" s="19">
        <v>75029</v>
      </c>
      <c r="L74" s="19">
        <v>9042</v>
      </c>
      <c r="M74" s="19">
        <v>1639</v>
      </c>
      <c r="N74" s="19">
        <v>3009</v>
      </c>
      <c r="O74" s="19">
        <v>7826</v>
      </c>
      <c r="P74" s="19">
        <v>26182</v>
      </c>
      <c r="Q74" s="19">
        <v>6191</v>
      </c>
      <c r="R74" s="19">
        <v>6432</v>
      </c>
      <c r="S74" s="19">
        <v>4286</v>
      </c>
      <c r="T74" s="19">
        <v>48400</v>
      </c>
      <c r="U74" s="19">
        <v>135386</v>
      </c>
      <c r="V74" s="19">
        <v>2010</v>
      </c>
      <c r="W74" s="20"/>
      <c r="X74" s="27">
        <f t="shared" si="44"/>
        <v>8.8221747609460799</v>
      </c>
      <c r="Y74" s="27">
        <f t="shared" si="45"/>
        <v>9.0176047768333554</v>
      </c>
      <c r="Z74" s="27">
        <f t="shared" si="46"/>
        <v>10.670558759761432</v>
      </c>
      <c r="AA74" s="27">
        <f t="shared" si="47"/>
        <v>9.3900752528733697</v>
      </c>
      <c r="AB74" s="27">
        <f t="shared" si="48"/>
        <v>8.2695007671806149</v>
      </c>
      <c r="AC74" s="27">
        <f t="shared" si="49"/>
        <v>8.2182479266857449</v>
      </c>
      <c r="AD74" s="27">
        <f t="shared" si="50"/>
        <v>10.581521095286025</v>
      </c>
      <c r="AE74" s="27">
        <f t="shared" si="51"/>
        <v>11.168094390398915</v>
      </c>
      <c r="AF74" s="27">
        <f t="shared" si="52"/>
        <v>10.714506653690963</v>
      </c>
      <c r="AG74" s="27">
        <f t="shared" si="53"/>
        <v>11.225629984448823</v>
      </c>
      <c r="AH74" s="27">
        <f t="shared" si="54"/>
        <v>9.1096356678545511</v>
      </c>
      <c r="AI74" s="27">
        <f t="shared" si="55"/>
        <v>7.4018415787438299</v>
      </c>
      <c r="AJ74" s="27">
        <f t="shared" si="56"/>
        <v>8.009363076630045</v>
      </c>
      <c r="AK74" s="27">
        <f t="shared" si="57"/>
        <v>8.9652068027703571</v>
      </c>
      <c r="AL74" s="27">
        <f t="shared" si="58"/>
        <v>10.172827430740044</v>
      </c>
      <c r="AM74" s="27">
        <f t="shared" si="59"/>
        <v>8.7308519035192322</v>
      </c>
      <c r="AN74" s="27">
        <f t="shared" si="60"/>
        <v>8.7690408108588027</v>
      </c>
      <c r="AO74" s="27">
        <f t="shared" si="61"/>
        <v>8.3631091760335217</v>
      </c>
      <c r="AP74" s="27">
        <f t="shared" si="62"/>
        <v>10.787255092704724</v>
      </c>
      <c r="AQ74" s="27">
        <f t="shared" si="63"/>
        <v>11.815885236773227</v>
      </c>
      <c r="AR74" s="27">
        <f t="shared" si="64"/>
        <v>7.6058900010531216</v>
      </c>
      <c r="AS74" s="19"/>
      <c r="AT74" s="29">
        <f t="shared" si="65"/>
        <v>5.6179923042236624E-3</v>
      </c>
      <c r="AU74" s="29">
        <f t="shared" si="66"/>
        <v>-3.5102620320781597E-3</v>
      </c>
      <c r="AV74" s="29">
        <f t="shared" si="67"/>
        <v>2.3492353366671992E-2</v>
      </c>
      <c r="AW74" s="29">
        <f t="shared" si="68"/>
        <v>1.2696180967749271E-2</v>
      </c>
      <c r="AX74" s="29">
        <f t="shared" si="69"/>
        <v>1.0301404514333257E-2</v>
      </c>
      <c r="AY74" s="29">
        <f t="shared" si="70"/>
        <v>1.6194335523014303E-3</v>
      </c>
      <c r="AZ74" s="29">
        <f t="shared" si="71"/>
        <v>-5.0633019565466952E-3</v>
      </c>
      <c r="BA74" s="29">
        <f t="shared" si="72"/>
        <v>8.3642161031693973E-3</v>
      </c>
      <c r="BB74" s="29">
        <f t="shared" si="73"/>
        <v>6.0175358207477103E-3</v>
      </c>
      <c r="BC74" s="29">
        <f t="shared" si="74"/>
        <v>1.3742046977533562E-2</v>
      </c>
      <c r="BD74" s="29">
        <f t="shared" si="75"/>
        <v>8.4407431391664289E-3</v>
      </c>
      <c r="BE74" s="29">
        <f t="shared" si="76"/>
        <v>6.1199701417846697E-3</v>
      </c>
      <c r="BF74" s="29">
        <f t="shared" si="77"/>
        <v>6.3344102453122275E-3</v>
      </c>
      <c r="BG74" s="29">
        <f t="shared" si="78"/>
        <v>8.855862279485649E-3</v>
      </c>
      <c r="BH74" s="29">
        <f t="shared" si="79"/>
        <v>7.7836324032940496E-3</v>
      </c>
      <c r="BI74" s="29">
        <f t="shared" si="80"/>
        <v>3.5598743095928143E-3</v>
      </c>
      <c r="BJ74" s="29">
        <f t="shared" si="81"/>
        <v>6.7077702564599662E-3</v>
      </c>
      <c r="BK74" s="29">
        <f t="shared" si="82"/>
        <v>7.494180273338813E-3</v>
      </c>
      <c r="BL74" s="29">
        <f t="shared" si="83"/>
        <v>3.808897541844658E-3</v>
      </c>
      <c r="BM74" s="29">
        <f t="shared" si="84"/>
        <v>1.0872416872311774E-2</v>
      </c>
      <c r="BN74" s="29">
        <f t="shared" si="85"/>
        <v>1.1508758501304506E-2</v>
      </c>
      <c r="BO74" s="20"/>
      <c r="BP74" s="19"/>
      <c r="BR74" s="19"/>
      <c r="BS74" s="19"/>
      <c r="BT74" s="19"/>
      <c r="BU74" s="19"/>
      <c r="BW74" s="19"/>
      <c r="BX74" s="20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20"/>
      <c r="CO74" s="19"/>
      <c r="CP74" s="20"/>
      <c r="CQ74" s="19"/>
      <c r="CR74" s="19"/>
      <c r="CS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G74" s="20"/>
      <c r="DH74" s="19"/>
      <c r="DI74" s="19"/>
      <c r="DJ74" s="19"/>
      <c r="DK74" s="19"/>
      <c r="DL74" s="19"/>
      <c r="DM74" s="19"/>
      <c r="DN74" s="19"/>
      <c r="DO74" s="20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20"/>
      <c r="EF74" s="20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20"/>
      <c r="GI74" s="19"/>
      <c r="GJ74" s="22"/>
    </row>
    <row r="75" spans="1:192" x14ac:dyDescent="0.25">
      <c r="A75" s="18">
        <v>1943</v>
      </c>
      <c r="B75" s="19">
        <v>6808</v>
      </c>
      <c r="C75" s="19">
        <v>8242</v>
      </c>
      <c r="D75" s="19">
        <v>44093</v>
      </c>
      <c r="E75" s="19">
        <v>12115</v>
      </c>
      <c r="F75" s="19">
        <v>3949</v>
      </c>
      <c r="G75" s="19">
        <v>3721</v>
      </c>
      <c r="H75" s="19">
        <v>39000</v>
      </c>
      <c r="I75" s="19">
        <v>70411</v>
      </c>
      <c r="J75" s="19">
        <v>45177</v>
      </c>
      <c r="K75" s="19">
        <v>76005</v>
      </c>
      <c r="L75" s="19">
        <v>9103</v>
      </c>
      <c r="M75" s="19">
        <v>1633</v>
      </c>
      <c r="N75" s="19">
        <v>3032</v>
      </c>
      <c r="O75" s="19">
        <v>7896</v>
      </c>
      <c r="P75" s="19">
        <v>26387</v>
      </c>
      <c r="Q75" s="19">
        <v>6296</v>
      </c>
      <c r="R75" s="19">
        <v>6490</v>
      </c>
      <c r="S75" s="19">
        <v>4323</v>
      </c>
      <c r="T75" s="19">
        <v>48789</v>
      </c>
      <c r="U75" s="19">
        <v>137272</v>
      </c>
      <c r="V75" s="19">
        <v>2032</v>
      </c>
      <c r="W75" s="20"/>
      <c r="X75" s="27">
        <f t="shared" si="44"/>
        <v>8.8258536702532098</v>
      </c>
      <c r="Y75" s="27">
        <f t="shared" si="45"/>
        <v>9.016998311898762</v>
      </c>
      <c r="Z75" s="27">
        <f t="shared" si="46"/>
        <v>10.694056318677243</v>
      </c>
      <c r="AA75" s="27">
        <f t="shared" si="47"/>
        <v>9.4021996332506266</v>
      </c>
      <c r="AB75" s="27">
        <f t="shared" si="48"/>
        <v>8.2812176612866502</v>
      </c>
      <c r="AC75" s="27">
        <f t="shared" si="49"/>
        <v>8.2217477283466227</v>
      </c>
      <c r="AD75" s="27">
        <f t="shared" si="50"/>
        <v>10.571316925111784</v>
      </c>
      <c r="AE75" s="27">
        <f t="shared" si="51"/>
        <v>11.162104779940375</v>
      </c>
      <c r="AF75" s="27">
        <f t="shared" si="52"/>
        <v>10.718343386754929</v>
      </c>
      <c r="AG75" s="27">
        <f t="shared" si="53"/>
        <v>11.238554406578119</v>
      </c>
      <c r="AH75" s="27">
        <f t="shared" si="54"/>
        <v>9.1163593085052881</v>
      </c>
      <c r="AI75" s="27">
        <f t="shared" si="55"/>
        <v>7.3981740929704651</v>
      </c>
      <c r="AJ75" s="27">
        <f t="shared" si="56"/>
        <v>8.0169777467622616</v>
      </c>
      <c r="AK75" s="27">
        <f t="shared" si="57"/>
        <v>8.9741115811133181</v>
      </c>
      <c r="AL75" s="27">
        <f t="shared" si="58"/>
        <v>10.18062674361135</v>
      </c>
      <c r="AM75" s="27">
        <f t="shared" si="59"/>
        <v>8.7476697900972393</v>
      </c>
      <c r="AN75" s="27">
        <f t="shared" si="60"/>
        <v>8.7780178096981363</v>
      </c>
      <c r="AO75" s="27">
        <f t="shared" si="61"/>
        <v>8.371704884667631</v>
      </c>
      <c r="AP75" s="27">
        <f t="shared" si="62"/>
        <v>10.795260156596557</v>
      </c>
      <c r="AQ75" s="27">
        <f t="shared" si="63"/>
        <v>11.829719637965457</v>
      </c>
      <c r="AR75" s="27">
        <f t="shared" si="64"/>
        <v>7.6167758086983728</v>
      </c>
      <c r="AS75" s="19"/>
      <c r="AT75" s="29">
        <f t="shared" si="65"/>
        <v>3.6789093071298851E-3</v>
      </c>
      <c r="AU75" s="29">
        <f t="shared" si="66"/>
        <v>-6.0646493459337592E-4</v>
      </c>
      <c r="AV75" s="29">
        <f t="shared" si="67"/>
        <v>2.3497558915810401E-2</v>
      </c>
      <c r="AW75" s="29">
        <f t="shared" si="68"/>
        <v>1.2124380377256827E-2</v>
      </c>
      <c r="AX75" s="29">
        <f t="shared" si="69"/>
        <v>1.1716894106035269E-2</v>
      </c>
      <c r="AY75" s="29">
        <f t="shared" si="70"/>
        <v>3.4998016608778215E-3</v>
      </c>
      <c r="AZ75" s="29">
        <f t="shared" si="71"/>
        <v>-1.0204170174240801E-2</v>
      </c>
      <c r="BA75" s="29">
        <f t="shared" si="72"/>
        <v>-5.9896104585401844E-3</v>
      </c>
      <c r="BB75" s="29">
        <f t="shared" si="73"/>
        <v>3.8367330639665909E-3</v>
      </c>
      <c r="BC75" s="29">
        <f t="shared" si="74"/>
        <v>1.2924422129296786E-2</v>
      </c>
      <c r="BD75" s="29">
        <f t="shared" si="75"/>
        <v>6.7236406507369395E-3</v>
      </c>
      <c r="BE75" s="29">
        <f t="shared" si="76"/>
        <v>-3.6674857733647315E-3</v>
      </c>
      <c r="BF75" s="29">
        <f t="shared" si="77"/>
        <v>7.6146701322166166E-3</v>
      </c>
      <c r="BG75" s="29">
        <f t="shared" si="78"/>
        <v>8.904778342960995E-3</v>
      </c>
      <c r="BH75" s="29">
        <f t="shared" si="79"/>
        <v>7.7993128713060855E-3</v>
      </c>
      <c r="BI75" s="29">
        <f t="shared" si="80"/>
        <v>1.6817886578007091E-2</v>
      </c>
      <c r="BJ75" s="29">
        <f t="shared" si="81"/>
        <v>8.9769988393335609E-3</v>
      </c>
      <c r="BK75" s="29">
        <f t="shared" si="82"/>
        <v>8.5957086341093003E-3</v>
      </c>
      <c r="BL75" s="29">
        <f t="shared" si="83"/>
        <v>8.0050638918329753E-3</v>
      </c>
      <c r="BM75" s="29">
        <f t="shared" si="84"/>
        <v>1.3834401192230672E-2</v>
      </c>
      <c r="BN75" s="29">
        <f t="shared" si="85"/>
        <v>1.0885807645251155E-2</v>
      </c>
      <c r="BO75" s="20"/>
      <c r="BP75" s="19"/>
      <c r="BR75" s="19"/>
      <c r="BS75" s="19"/>
      <c r="BT75" s="19"/>
      <c r="BU75" s="19"/>
      <c r="BW75" s="19"/>
      <c r="BX75" s="20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20"/>
      <c r="CO75" s="19"/>
      <c r="CP75" s="20"/>
      <c r="CQ75" s="19"/>
      <c r="CR75" s="19"/>
      <c r="CS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G75" s="20"/>
      <c r="DH75" s="19"/>
      <c r="DI75" s="19"/>
      <c r="DJ75" s="19"/>
      <c r="DK75" s="19"/>
      <c r="DL75" s="19"/>
      <c r="DM75" s="19"/>
      <c r="DN75" s="19"/>
      <c r="DO75" s="20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20"/>
      <c r="EF75" s="20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20"/>
      <c r="GI75" s="19"/>
      <c r="GJ75" s="22"/>
    </row>
    <row r="76" spans="1:192" x14ac:dyDescent="0.25">
      <c r="A76" s="18">
        <v>1944</v>
      </c>
      <c r="B76" s="19">
        <v>6834</v>
      </c>
      <c r="C76" s="19">
        <v>8291</v>
      </c>
      <c r="D76" s="19">
        <v>45141</v>
      </c>
      <c r="E76" s="19">
        <v>12268</v>
      </c>
      <c r="F76" s="19">
        <v>3998</v>
      </c>
      <c r="G76" s="19">
        <v>3735</v>
      </c>
      <c r="H76" s="19">
        <v>38900</v>
      </c>
      <c r="I76" s="19">
        <v>69865</v>
      </c>
      <c r="J76" s="19">
        <v>45290</v>
      </c>
      <c r="K76" s="19">
        <v>77178</v>
      </c>
      <c r="L76" s="19">
        <v>9175</v>
      </c>
      <c r="M76" s="19">
        <v>1654</v>
      </c>
      <c r="N76" s="19">
        <v>3060</v>
      </c>
      <c r="O76" s="19">
        <v>7967</v>
      </c>
      <c r="P76" s="19">
        <v>26594</v>
      </c>
      <c r="Q76" s="19">
        <v>6442</v>
      </c>
      <c r="R76" s="19">
        <v>6560</v>
      </c>
      <c r="S76" s="19">
        <v>4364</v>
      </c>
      <c r="T76" s="19">
        <v>49016</v>
      </c>
      <c r="U76" s="19">
        <v>138937</v>
      </c>
      <c r="V76" s="19">
        <v>2055</v>
      </c>
      <c r="W76" s="20"/>
      <c r="X76" s="27">
        <f t="shared" si="44"/>
        <v>8.8296654326752364</v>
      </c>
      <c r="Y76" s="27">
        <f t="shared" si="45"/>
        <v>9.0229258681162179</v>
      </c>
      <c r="Z76" s="27">
        <f t="shared" si="46"/>
        <v>10.717546203426988</v>
      </c>
      <c r="AA76" s="27">
        <f t="shared" si="47"/>
        <v>9.4147495252341429</v>
      </c>
      <c r="AB76" s="27">
        <f t="shared" si="48"/>
        <v>8.2935495150603451</v>
      </c>
      <c r="AC76" s="27">
        <f t="shared" si="49"/>
        <v>8.2255030975669179</v>
      </c>
      <c r="AD76" s="27">
        <f t="shared" si="50"/>
        <v>10.568749529606537</v>
      </c>
      <c r="AE76" s="27">
        <f t="shared" si="51"/>
        <v>11.154320087514549</v>
      </c>
      <c r="AF76" s="27">
        <f t="shared" si="52"/>
        <v>10.72084153655026</v>
      </c>
      <c r="AG76" s="27">
        <f t="shared" si="53"/>
        <v>11.253869721306771</v>
      </c>
      <c r="AH76" s="27">
        <f t="shared" si="54"/>
        <v>9.1242376729227708</v>
      </c>
      <c r="AI76" s="27">
        <f t="shared" si="55"/>
        <v>7.4109518755836366</v>
      </c>
      <c r="AJ76" s="27">
        <f t="shared" si="56"/>
        <v>8.0261701949464257</v>
      </c>
      <c r="AK76" s="27">
        <f t="shared" si="57"/>
        <v>8.9830632893803664</v>
      </c>
      <c r="AL76" s="27">
        <f t="shared" si="58"/>
        <v>10.188440905416652</v>
      </c>
      <c r="AM76" s="27">
        <f t="shared" si="59"/>
        <v>8.7705943298911446</v>
      </c>
      <c r="AN76" s="27">
        <f t="shared" si="60"/>
        <v>8.7887458819381354</v>
      </c>
      <c r="AO76" s="27">
        <f t="shared" si="61"/>
        <v>8.3811443469529614</v>
      </c>
      <c r="AP76" s="27">
        <f t="shared" si="62"/>
        <v>10.799902054405491</v>
      </c>
      <c r="AQ76" s="27">
        <f t="shared" si="63"/>
        <v>11.841775871959635</v>
      </c>
      <c r="AR76" s="27">
        <f t="shared" si="64"/>
        <v>7.6280311269303347</v>
      </c>
      <c r="AS76" s="19"/>
      <c r="AT76" s="29">
        <f t="shared" si="65"/>
        <v>3.8117624220266322E-3</v>
      </c>
      <c r="AU76" s="29">
        <f t="shared" si="66"/>
        <v>5.9275562174558871E-3</v>
      </c>
      <c r="AV76" s="29">
        <f t="shared" si="67"/>
        <v>2.3489884749745116E-2</v>
      </c>
      <c r="AW76" s="29">
        <f t="shared" si="68"/>
        <v>1.2549891983516304E-2</v>
      </c>
      <c r="AX76" s="29">
        <f t="shared" si="69"/>
        <v>1.2331853773694945E-2</v>
      </c>
      <c r="AY76" s="29">
        <f t="shared" si="70"/>
        <v>3.7553692202951794E-3</v>
      </c>
      <c r="AZ76" s="29">
        <f t="shared" si="71"/>
        <v>-2.5673955052472053E-3</v>
      </c>
      <c r="BA76" s="29">
        <f t="shared" si="72"/>
        <v>-7.7846924258260231E-3</v>
      </c>
      <c r="BB76" s="29">
        <f t="shared" si="73"/>
        <v>2.4981497953309173E-3</v>
      </c>
      <c r="BC76" s="29">
        <f t="shared" si="74"/>
        <v>1.531531472865133E-2</v>
      </c>
      <c r="BD76" s="29">
        <f t="shared" si="75"/>
        <v>7.8783644174826861E-3</v>
      </c>
      <c r="BE76" s="29">
        <f t="shared" si="76"/>
        <v>1.2777782613171418E-2</v>
      </c>
      <c r="BF76" s="29">
        <f t="shared" si="77"/>
        <v>9.1924481841640926E-3</v>
      </c>
      <c r="BG76" s="29">
        <f t="shared" si="78"/>
        <v>8.951708267048275E-3</v>
      </c>
      <c r="BH76" s="29">
        <f t="shared" si="79"/>
        <v>7.8141618053013673E-3</v>
      </c>
      <c r="BI76" s="29">
        <f t="shared" si="80"/>
        <v>2.2924539793905296E-2</v>
      </c>
      <c r="BJ76" s="29">
        <f t="shared" si="81"/>
        <v>1.0728072239999165E-2</v>
      </c>
      <c r="BK76" s="29">
        <f t="shared" si="82"/>
        <v>9.4394622853304355E-3</v>
      </c>
      <c r="BL76" s="29">
        <f t="shared" si="83"/>
        <v>4.6418978089342033E-3</v>
      </c>
      <c r="BM76" s="29">
        <f t="shared" si="84"/>
        <v>1.20562339941781E-2</v>
      </c>
      <c r="BN76" s="29">
        <f t="shared" si="85"/>
        <v>1.1255318231961908E-2</v>
      </c>
      <c r="BO76" s="20"/>
      <c r="BP76" s="19"/>
      <c r="BR76" s="19"/>
      <c r="BS76" s="19"/>
      <c r="BT76" s="19"/>
      <c r="BU76" s="19"/>
      <c r="BW76" s="19"/>
      <c r="BX76" s="20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20"/>
      <c r="CO76" s="19"/>
      <c r="CP76" s="20"/>
      <c r="CQ76" s="19"/>
      <c r="CR76" s="19"/>
      <c r="CS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G76" s="20"/>
      <c r="DH76" s="19"/>
      <c r="DI76" s="19"/>
      <c r="DJ76" s="19"/>
      <c r="DK76" s="19"/>
      <c r="DL76" s="19"/>
      <c r="DM76" s="19"/>
      <c r="DN76" s="19"/>
      <c r="DO76" s="20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20"/>
      <c r="EF76" s="20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20"/>
      <c r="GI76" s="19"/>
      <c r="GJ76" s="22"/>
    </row>
    <row r="77" spans="1:192" x14ac:dyDescent="0.25">
      <c r="A77" s="18">
        <v>1945</v>
      </c>
      <c r="B77" s="19">
        <v>6799</v>
      </c>
      <c r="C77" s="19">
        <v>8339</v>
      </c>
      <c r="D77" s="19">
        <v>46215</v>
      </c>
      <c r="E77" s="19">
        <v>12404</v>
      </c>
      <c r="F77" s="19">
        <v>4045</v>
      </c>
      <c r="G77" s="19">
        <v>3758</v>
      </c>
      <c r="H77" s="19">
        <v>39700</v>
      </c>
      <c r="I77" s="19">
        <v>67000</v>
      </c>
      <c r="J77" s="19">
        <v>45442</v>
      </c>
      <c r="K77" s="19">
        <v>76224</v>
      </c>
      <c r="L77" s="19">
        <v>9262</v>
      </c>
      <c r="M77" s="19">
        <v>1688</v>
      </c>
      <c r="N77" s="19">
        <v>3091</v>
      </c>
      <c r="O77" s="19">
        <v>8038</v>
      </c>
      <c r="P77" s="19">
        <v>26802</v>
      </c>
      <c r="Q77" s="19">
        <v>6650</v>
      </c>
      <c r="R77" s="19">
        <v>6635</v>
      </c>
      <c r="S77" s="19">
        <v>4412</v>
      </c>
      <c r="T77" s="19">
        <v>49182</v>
      </c>
      <c r="U77" s="19">
        <v>140474</v>
      </c>
      <c r="V77" s="19">
        <v>2081</v>
      </c>
      <c r="W77" s="20"/>
      <c r="X77" s="27">
        <f t="shared" si="44"/>
        <v>8.8245308215264604</v>
      </c>
      <c r="Y77" s="27">
        <f t="shared" si="45"/>
        <v>9.0286985840869853</v>
      </c>
      <c r="Z77" s="27">
        <f t="shared" si="46"/>
        <v>10.741059699698878</v>
      </c>
      <c r="AA77" s="27">
        <f t="shared" si="47"/>
        <v>9.4257742802203399</v>
      </c>
      <c r="AB77" s="27">
        <f t="shared" si="48"/>
        <v>8.3052368294925927</v>
      </c>
      <c r="AC77" s="27">
        <f t="shared" si="49"/>
        <v>8.2316421799734112</v>
      </c>
      <c r="AD77" s="27">
        <f t="shared" si="50"/>
        <v>10.589106466675283</v>
      </c>
      <c r="AE77" s="27">
        <f t="shared" si="51"/>
        <v>11.112447898373103</v>
      </c>
      <c r="AF77" s="27">
        <f t="shared" si="52"/>
        <v>10.724192066510948</v>
      </c>
      <c r="AG77" s="27">
        <f t="shared" si="53"/>
        <v>11.241431652714972</v>
      </c>
      <c r="AH77" s="27">
        <f t="shared" si="54"/>
        <v>9.1336752870406972</v>
      </c>
      <c r="AI77" s="27">
        <f t="shared" si="55"/>
        <v>7.4312996751559028</v>
      </c>
      <c r="AJ77" s="27">
        <f t="shared" si="56"/>
        <v>8.0362499421321161</v>
      </c>
      <c r="AK77" s="27">
        <f t="shared" si="57"/>
        <v>8.9919355750091459</v>
      </c>
      <c r="AL77" s="27">
        <f t="shared" si="58"/>
        <v>10.196231790580173</v>
      </c>
      <c r="AM77" s="27">
        <f t="shared" si="59"/>
        <v>8.8023721336499001</v>
      </c>
      <c r="AN77" s="27">
        <f t="shared" si="60"/>
        <v>8.8001139467663076</v>
      </c>
      <c r="AO77" s="27">
        <f t="shared" si="61"/>
        <v>8.3920833803733927</v>
      </c>
      <c r="AP77" s="27">
        <f t="shared" si="62"/>
        <v>10.803282981881086</v>
      </c>
      <c r="AQ77" s="27">
        <f t="shared" si="63"/>
        <v>11.852777697250666</v>
      </c>
      <c r="AR77" s="27">
        <f t="shared" si="64"/>
        <v>7.640603826393634</v>
      </c>
      <c r="AS77" s="19"/>
      <c r="AT77" s="29">
        <f t="shared" si="65"/>
        <v>-5.1346111487760027E-3</v>
      </c>
      <c r="AU77" s="29">
        <f t="shared" si="66"/>
        <v>5.7727159707674502E-3</v>
      </c>
      <c r="AV77" s="29">
        <f t="shared" si="67"/>
        <v>2.3513496271890588E-2</v>
      </c>
      <c r="AW77" s="29">
        <f t="shared" si="68"/>
        <v>1.1024754986197038E-2</v>
      </c>
      <c r="AX77" s="29">
        <f t="shared" si="69"/>
        <v>1.1687314432247575E-2</v>
      </c>
      <c r="AY77" s="29">
        <f t="shared" si="70"/>
        <v>6.1390824064933014E-3</v>
      </c>
      <c r="AZ77" s="29">
        <f t="shared" si="71"/>
        <v>2.0356937068745751E-2</v>
      </c>
      <c r="BA77" s="29">
        <f t="shared" si="72"/>
        <v>-4.1872189141445304E-2</v>
      </c>
      <c r="BB77" s="29">
        <f t="shared" si="73"/>
        <v>3.3505299606879646E-3</v>
      </c>
      <c r="BC77" s="29">
        <f t="shared" si="74"/>
        <v>-1.2438068591798412E-2</v>
      </c>
      <c r="BD77" s="29">
        <f t="shared" si="75"/>
        <v>9.4376141179264295E-3</v>
      </c>
      <c r="BE77" s="29">
        <f t="shared" si="76"/>
        <v>2.034779957226629E-2</v>
      </c>
      <c r="BF77" s="29">
        <f t="shared" si="77"/>
        <v>1.007974718569038E-2</v>
      </c>
      <c r="BG77" s="29">
        <f t="shared" si="78"/>
        <v>8.8722856287795082E-3</v>
      </c>
      <c r="BH77" s="29">
        <f t="shared" si="79"/>
        <v>7.7908851635211107E-3</v>
      </c>
      <c r="BI77" s="29">
        <f t="shared" si="80"/>
        <v>3.1777803758755496E-2</v>
      </c>
      <c r="BJ77" s="29">
        <f t="shared" si="81"/>
        <v>1.1368064828172209E-2</v>
      </c>
      <c r="BK77" s="29">
        <f t="shared" si="82"/>
        <v>1.0939033420431343E-2</v>
      </c>
      <c r="BL77" s="29">
        <f t="shared" si="83"/>
        <v>3.3809274755949303E-3</v>
      </c>
      <c r="BM77" s="29">
        <f t="shared" si="84"/>
        <v>1.1001825291030443E-2</v>
      </c>
      <c r="BN77" s="29">
        <f t="shared" si="85"/>
        <v>1.2572699463299308E-2</v>
      </c>
      <c r="BO77" s="20"/>
      <c r="BP77" s="19"/>
      <c r="BR77" s="19"/>
      <c r="BS77" s="19"/>
      <c r="BT77" s="19"/>
      <c r="BU77" s="19"/>
      <c r="BW77" s="19"/>
      <c r="BX77" s="20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20"/>
      <c r="CO77" s="19"/>
      <c r="CP77" s="20"/>
      <c r="CQ77" s="19"/>
      <c r="CR77" s="19"/>
      <c r="CS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G77" s="20"/>
      <c r="DH77" s="19"/>
      <c r="DI77" s="19"/>
      <c r="DJ77" s="19"/>
      <c r="DK77" s="19"/>
      <c r="DL77" s="19"/>
      <c r="DM77" s="19"/>
      <c r="DN77" s="19"/>
      <c r="DO77" s="20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20"/>
      <c r="EF77" s="20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20"/>
      <c r="GI77" s="19"/>
      <c r="GJ77" s="22"/>
    </row>
    <row r="78" spans="1:192" x14ac:dyDescent="0.25">
      <c r="A78" s="18">
        <v>1946</v>
      </c>
      <c r="B78" s="19">
        <v>7000</v>
      </c>
      <c r="C78" s="19">
        <v>8367</v>
      </c>
      <c r="D78" s="19">
        <v>47313</v>
      </c>
      <c r="E78" s="19">
        <v>12634</v>
      </c>
      <c r="F78" s="19">
        <v>4101</v>
      </c>
      <c r="G78" s="19">
        <v>3806</v>
      </c>
      <c r="H78" s="19">
        <v>40290</v>
      </c>
      <c r="I78" s="19">
        <v>64678</v>
      </c>
      <c r="J78" s="19">
        <v>45725</v>
      </c>
      <c r="K78" s="19">
        <v>77199</v>
      </c>
      <c r="L78" s="19">
        <v>9424</v>
      </c>
      <c r="M78" s="19">
        <v>1759</v>
      </c>
      <c r="N78" s="19">
        <v>3127</v>
      </c>
      <c r="O78" s="19">
        <v>8110</v>
      </c>
      <c r="P78" s="19">
        <v>27012</v>
      </c>
      <c r="Q78" s="19">
        <v>6854</v>
      </c>
      <c r="R78" s="19">
        <v>6719</v>
      </c>
      <c r="S78" s="19">
        <v>4467</v>
      </c>
      <c r="T78" s="19">
        <v>49217</v>
      </c>
      <c r="U78" s="19">
        <v>141940</v>
      </c>
      <c r="V78" s="19">
        <v>2107</v>
      </c>
      <c r="W78" s="20"/>
      <c r="X78" s="27">
        <f t="shared" si="44"/>
        <v>8.8536654280374503</v>
      </c>
      <c r="Y78" s="27">
        <f t="shared" si="45"/>
        <v>9.032050676295599</v>
      </c>
      <c r="Z78" s="27">
        <f t="shared" si="46"/>
        <v>10.764540378155667</v>
      </c>
      <c r="AA78" s="27">
        <f t="shared" si="47"/>
        <v>9.4441468714586456</v>
      </c>
      <c r="AB78" s="27">
        <f t="shared" si="48"/>
        <v>8.3189861253920601</v>
      </c>
      <c r="AC78" s="27">
        <f t="shared" si="49"/>
        <v>8.2443340478560945</v>
      </c>
      <c r="AD78" s="27">
        <f t="shared" si="50"/>
        <v>10.603858578185394</v>
      </c>
      <c r="AE78" s="27">
        <f t="shared" si="51"/>
        <v>11.077176391753472</v>
      </c>
      <c r="AF78" s="27">
        <f t="shared" si="52"/>
        <v>10.730400473259067</v>
      </c>
      <c r="AG78" s="27">
        <f t="shared" si="53"/>
        <v>11.254141782561096</v>
      </c>
      <c r="AH78" s="27">
        <f t="shared" si="54"/>
        <v>9.1510149058913672</v>
      </c>
      <c r="AI78" s="27">
        <f t="shared" si="55"/>
        <v>7.472500744737558</v>
      </c>
      <c r="AJ78" s="27">
        <f t="shared" si="56"/>
        <v>8.0478293574578412</v>
      </c>
      <c r="AK78" s="27">
        <f t="shared" si="57"/>
        <v>9.0008531471094582</v>
      </c>
      <c r="AL78" s="27">
        <f t="shared" si="58"/>
        <v>10.204036490694733</v>
      </c>
      <c r="AM78" s="27">
        <f t="shared" si="59"/>
        <v>8.8325877024345534</v>
      </c>
      <c r="AN78" s="27">
        <f t="shared" si="60"/>
        <v>8.8126946129201507</v>
      </c>
      <c r="AO78" s="27">
        <f t="shared" si="61"/>
        <v>8.4044723213521184</v>
      </c>
      <c r="AP78" s="27">
        <f t="shared" si="62"/>
        <v>10.803994371254475</v>
      </c>
      <c r="AQ78" s="27">
        <f t="shared" si="63"/>
        <v>11.863159712078973</v>
      </c>
      <c r="AR78" s="27">
        <f t="shared" si="64"/>
        <v>7.6530204138041888</v>
      </c>
      <c r="AS78" s="19"/>
      <c r="AT78" s="29">
        <f t="shared" si="65"/>
        <v>2.9134606510989869E-2</v>
      </c>
      <c r="AU78" s="29">
        <f t="shared" si="66"/>
        <v>3.3520922086136551E-3</v>
      </c>
      <c r="AV78" s="29">
        <f t="shared" si="67"/>
        <v>2.3480678456788695E-2</v>
      </c>
      <c r="AW78" s="29">
        <f t="shared" si="68"/>
        <v>1.8372591238305702E-2</v>
      </c>
      <c r="AX78" s="29">
        <f t="shared" si="69"/>
        <v>1.3749295899467384E-2</v>
      </c>
      <c r="AY78" s="29">
        <f t="shared" si="70"/>
        <v>1.2691867882683283E-2</v>
      </c>
      <c r="AZ78" s="29">
        <f t="shared" si="71"/>
        <v>1.4752111510111021E-2</v>
      </c>
      <c r="BA78" s="29">
        <f t="shared" si="72"/>
        <v>-3.527150661963141E-2</v>
      </c>
      <c r="BB78" s="29">
        <f t="shared" si="73"/>
        <v>6.2084067481187333E-3</v>
      </c>
      <c r="BC78" s="29">
        <f t="shared" si="74"/>
        <v>1.2710129846123408E-2</v>
      </c>
      <c r="BD78" s="29">
        <f t="shared" si="75"/>
        <v>1.7339618850670035E-2</v>
      </c>
      <c r="BE78" s="29">
        <f t="shared" si="76"/>
        <v>4.1201069581655148E-2</v>
      </c>
      <c r="BF78" s="29">
        <f t="shared" si="77"/>
        <v>1.1579415325725151E-2</v>
      </c>
      <c r="BG78" s="29">
        <f t="shared" si="78"/>
        <v>8.9175721003122987E-3</v>
      </c>
      <c r="BH78" s="29">
        <f t="shared" si="79"/>
        <v>7.8047001145602479E-3</v>
      </c>
      <c r="BI78" s="29">
        <f t="shared" si="80"/>
        <v>3.0215568784653257E-2</v>
      </c>
      <c r="BJ78" s="29">
        <f t="shared" si="81"/>
        <v>1.2580666153843012E-2</v>
      </c>
      <c r="BK78" s="29">
        <f t="shared" si="82"/>
        <v>1.2388940978725671E-2</v>
      </c>
      <c r="BL78" s="29">
        <f t="shared" si="83"/>
        <v>7.113893733894372E-4</v>
      </c>
      <c r="BM78" s="29">
        <f t="shared" si="84"/>
        <v>1.0382014828307362E-2</v>
      </c>
      <c r="BN78" s="29">
        <f t="shared" si="85"/>
        <v>1.2416587410554847E-2</v>
      </c>
      <c r="BO78" s="20"/>
      <c r="BP78" s="19"/>
      <c r="BR78" s="19"/>
      <c r="BS78" s="19"/>
      <c r="BT78" s="19"/>
      <c r="BU78" s="19"/>
      <c r="BW78" s="19"/>
      <c r="BX78" s="20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20"/>
      <c r="CO78" s="19"/>
      <c r="CP78" s="20"/>
      <c r="CQ78" s="19"/>
      <c r="CR78" s="19"/>
      <c r="CS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G78" s="20"/>
      <c r="DH78" s="19"/>
      <c r="DI78" s="19"/>
      <c r="DJ78" s="19"/>
      <c r="DK78" s="19"/>
      <c r="DL78" s="19"/>
      <c r="DM78" s="19"/>
      <c r="DN78" s="19"/>
      <c r="DO78" s="20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20"/>
      <c r="EF78" s="20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20"/>
      <c r="GI78" s="19"/>
      <c r="GJ78" s="22"/>
    </row>
    <row r="79" spans="1:192" x14ac:dyDescent="0.25">
      <c r="A79" s="18">
        <v>1947</v>
      </c>
      <c r="B79" s="19">
        <v>6971</v>
      </c>
      <c r="C79" s="19">
        <v>8450</v>
      </c>
      <c r="D79" s="19">
        <v>48438</v>
      </c>
      <c r="E79" s="19">
        <v>12901</v>
      </c>
      <c r="F79" s="19">
        <v>4146</v>
      </c>
      <c r="G79" s="19">
        <v>3859</v>
      </c>
      <c r="H79" s="19">
        <v>40680</v>
      </c>
      <c r="I79" s="19">
        <v>66094</v>
      </c>
      <c r="J79" s="19">
        <v>46040</v>
      </c>
      <c r="K79" s="19">
        <v>78119</v>
      </c>
      <c r="L79" s="19">
        <v>9630</v>
      </c>
      <c r="M79" s="19">
        <v>1797</v>
      </c>
      <c r="N79" s="19">
        <v>3165</v>
      </c>
      <c r="O79" s="19">
        <v>8183</v>
      </c>
      <c r="P79" s="19">
        <v>27223</v>
      </c>
      <c r="Q79" s="19">
        <v>7037</v>
      </c>
      <c r="R79" s="19">
        <v>6803</v>
      </c>
      <c r="S79" s="19">
        <v>4524</v>
      </c>
      <c r="T79" s="19">
        <v>49519</v>
      </c>
      <c r="U79" s="19">
        <v>144688</v>
      </c>
      <c r="V79" s="19">
        <v>2134</v>
      </c>
      <c r="W79" s="20"/>
      <c r="X79" s="27">
        <f t="shared" si="44"/>
        <v>8.8495139654863983</v>
      </c>
      <c r="Y79" s="27">
        <f t="shared" si="45"/>
        <v>9.041921720351219</v>
      </c>
      <c r="Z79" s="27">
        <f t="shared" si="46"/>
        <v>10.788039908623071</v>
      </c>
      <c r="AA79" s="27">
        <f t="shared" si="47"/>
        <v>9.4650601067251365</v>
      </c>
      <c r="AB79" s="27">
        <f t="shared" si="48"/>
        <v>8.3298992929957247</v>
      </c>
      <c r="AC79" s="27">
        <f t="shared" si="49"/>
        <v>8.2581633615376191</v>
      </c>
      <c r="AD79" s="27">
        <f t="shared" si="50"/>
        <v>10.613491850162497</v>
      </c>
      <c r="AE79" s="27">
        <f t="shared" si="51"/>
        <v>11.098833250161546</v>
      </c>
      <c r="AF79" s="27">
        <f t="shared" si="52"/>
        <v>10.73726586283582</v>
      </c>
      <c r="AG79" s="27">
        <f t="shared" si="53"/>
        <v>11.265988584089431</v>
      </c>
      <c r="AH79" s="27">
        <f t="shared" si="54"/>
        <v>9.1726385047921717</v>
      </c>
      <c r="AI79" s="27">
        <f t="shared" si="55"/>
        <v>7.4938738867835593</v>
      </c>
      <c r="AJ79" s="27">
        <f t="shared" si="56"/>
        <v>8.0599083345782763</v>
      </c>
      <c r="AK79" s="27">
        <f t="shared" si="57"/>
        <v>9.0098141105273815</v>
      </c>
      <c r="AL79" s="27">
        <f t="shared" si="58"/>
        <v>10.21181748321106</v>
      </c>
      <c r="AM79" s="27">
        <f t="shared" si="59"/>
        <v>8.8589372219665492</v>
      </c>
      <c r="AN79" s="27">
        <f t="shared" si="60"/>
        <v>8.825118970345061</v>
      </c>
      <c r="AO79" s="27">
        <f t="shared" si="61"/>
        <v>8.4171518372360108</v>
      </c>
      <c r="AP79" s="27">
        <f t="shared" si="62"/>
        <v>10.810111713293512</v>
      </c>
      <c r="AQ79" s="27">
        <f t="shared" si="63"/>
        <v>11.882334978980261</v>
      </c>
      <c r="AR79" s="27">
        <f t="shared" si="64"/>
        <v>7.6657534318616989</v>
      </c>
      <c r="AS79" s="19"/>
      <c r="AT79" s="29">
        <f t="shared" si="65"/>
        <v>-4.151462551051921E-3</v>
      </c>
      <c r="AU79" s="29">
        <f t="shared" si="66"/>
        <v>9.8710440556200041E-3</v>
      </c>
      <c r="AV79" s="29">
        <f t="shared" si="67"/>
        <v>2.3499530467404384E-2</v>
      </c>
      <c r="AW79" s="29">
        <f t="shared" si="68"/>
        <v>2.0913235266490915E-2</v>
      </c>
      <c r="AX79" s="29">
        <f t="shared" si="69"/>
        <v>1.0913167603664675E-2</v>
      </c>
      <c r="AY79" s="29">
        <f t="shared" si="70"/>
        <v>1.3829313681524624E-2</v>
      </c>
      <c r="AZ79" s="29">
        <f t="shared" si="71"/>
        <v>9.6332719771030639E-3</v>
      </c>
      <c r="BA79" s="29">
        <f t="shared" si="72"/>
        <v>2.1656858408073631E-2</v>
      </c>
      <c r="BB79" s="29">
        <f t="shared" si="73"/>
        <v>6.8653895767525341E-3</v>
      </c>
      <c r="BC79" s="29">
        <f t="shared" si="74"/>
        <v>1.1846801528335504E-2</v>
      </c>
      <c r="BD79" s="29">
        <f t="shared" si="75"/>
        <v>2.1623598900804453E-2</v>
      </c>
      <c r="BE79" s="29">
        <f t="shared" si="76"/>
        <v>2.137314204600127E-2</v>
      </c>
      <c r="BF79" s="29">
        <f t="shared" si="77"/>
        <v>1.2078977120435042E-2</v>
      </c>
      <c r="BG79" s="29">
        <f t="shared" si="78"/>
        <v>8.9609634179232955E-3</v>
      </c>
      <c r="BH79" s="29">
        <f t="shared" si="79"/>
        <v>7.7809925163272453E-3</v>
      </c>
      <c r="BI79" s="29">
        <f t="shared" si="80"/>
        <v>2.6349519531995824E-2</v>
      </c>
      <c r="BJ79" s="29">
        <f t="shared" si="81"/>
        <v>1.2424357424910326E-2</v>
      </c>
      <c r="BK79" s="29">
        <f t="shared" si="82"/>
        <v>1.2679515883892378E-2</v>
      </c>
      <c r="BL79" s="29">
        <f t="shared" si="83"/>
        <v>6.1173420390367994E-3</v>
      </c>
      <c r="BM79" s="29">
        <f t="shared" si="84"/>
        <v>1.9175266901287458E-2</v>
      </c>
      <c r="BN79" s="29">
        <f t="shared" si="85"/>
        <v>1.2733018057510037E-2</v>
      </c>
      <c r="BO79" s="20"/>
      <c r="BP79" s="19"/>
      <c r="BR79" s="19"/>
      <c r="BS79" s="19"/>
      <c r="BT79" s="19"/>
      <c r="BU79" s="19"/>
      <c r="BW79" s="19"/>
      <c r="BX79" s="20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20"/>
      <c r="CO79" s="19"/>
      <c r="CP79" s="20"/>
      <c r="CQ79" s="19"/>
      <c r="CR79" s="19"/>
      <c r="CS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G79" s="20"/>
      <c r="DH79" s="19"/>
      <c r="DI79" s="19"/>
      <c r="DJ79" s="19"/>
      <c r="DK79" s="19"/>
      <c r="DL79" s="19"/>
      <c r="DM79" s="19"/>
      <c r="DN79" s="19"/>
      <c r="DO79" s="20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20"/>
      <c r="EF79" s="20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20"/>
      <c r="GI79" s="19"/>
      <c r="GJ79" s="22"/>
    </row>
    <row r="80" spans="1:192" x14ac:dyDescent="0.25">
      <c r="A80" s="18">
        <v>1948</v>
      </c>
      <c r="B80" s="19">
        <v>6956</v>
      </c>
      <c r="C80" s="19">
        <v>8557</v>
      </c>
      <c r="D80" s="19">
        <v>49590</v>
      </c>
      <c r="E80" s="19">
        <v>13180</v>
      </c>
      <c r="F80" s="19">
        <v>4190</v>
      </c>
      <c r="G80" s="19">
        <v>3912</v>
      </c>
      <c r="H80" s="19">
        <v>41110</v>
      </c>
      <c r="I80" s="19">
        <v>67295</v>
      </c>
      <c r="J80" s="19">
        <v>46381</v>
      </c>
      <c r="K80" s="19">
        <v>80155</v>
      </c>
      <c r="L80" s="19">
        <v>9800</v>
      </c>
      <c r="M80" s="19">
        <v>1833</v>
      </c>
      <c r="N80" s="19">
        <v>3201</v>
      </c>
      <c r="O80" s="19">
        <v>8256</v>
      </c>
      <c r="P80" s="19">
        <v>27437</v>
      </c>
      <c r="Q80" s="19">
        <v>7244</v>
      </c>
      <c r="R80" s="19">
        <v>6883</v>
      </c>
      <c r="S80" s="19">
        <v>4582</v>
      </c>
      <c r="T80" s="19">
        <v>50014</v>
      </c>
      <c r="U80" s="19">
        <v>147203</v>
      </c>
      <c r="V80" s="19">
        <v>2160</v>
      </c>
      <c r="W80" s="20"/>
      <c r="X80" s="27">
        <f t="shared" si="44"/>
        <v>8.847359875474174</v>
      </c>
      <c r="Y80" s="27">
        <f t="shared" si="45"/>
        <v>9.0545049404180542</v>
      </c>
      <c r="Z80" s="27">
        <f t="shared" si="46"/>
        <v>10.81154447948318</v>
      </c>
      <c r="AA80" s="27">
        <f t="shared" si="47"/>
        <v>9.4864558080564976</v>
      </c>
      <c r="AB80" s="27">
        <f t="shared" si="48"/>
        <v>8.3404560129161833</v>
      </c>
      <c r="AC80" s="27">
        <f t="shared" si="49"/>
        <v>8.2718040311547085</v>
      </c>
      <c r="AD80" s="27">
        <f t="shared" si="50"/>
        <v>10.624006679891924</v>
      </c>
      <c r="AE80" s="27">
        <f t="shared" si="51"/>
        <v>11.116841218667815</v>
      </c>
      <c r="AF80" s="27">
        <f t="shared" si="52"/>
        <v>10.744645171594767</v>
      </c>
      <c r="AG80" s="27">
        <f t="shared" si="53"/>
        <v>11.291717539123773</v>
      </c>
      <c r="AH80" s="27">
        <f t="shared" si="54"/>
        <v>9.1901376646586641</v>
      </c>
      <c r="AI80" s="27">
        <f t="shared" si="55"/>
        <v>7.5137092478397047</v>
      </c>
      <c r="AJ80" s="27">
        <f t="shared" si="56"/>
        <v>8.0712185399698626</v>
      </c>
      <c r="AK80" s="27">
        <f t="shared" si="57"/>
        <v>9.0186954877213434</v>
      </c>
      <c r="AL80" s="27">
        <f t="shared" si="58"/>
        <v>10.219647746416857</v>
      </c>
      <c r="AM80" s="27">
        <f t="shared" si="59"/>
        <v>8.8879288190033048</v>
      </c>
      <c r="AN80" s="27">
        <f t="shared" si="60"/>
        <v>8.8368098823983647</v>
      </c>
      <c r="AO80" s="27">
        <f t="shared" si="61"/>
        <v>8.4298908630134406</v>
      </c>
      <c r="AP80" s="27">
        <f t="shared" si="62"/>
        <v>10.820058245217599</v>
      </c>
      <c r="AQ80" s="27">
        <f t="shared" si="63"/>
        <v>11.899567865504018</v>
      </c>
      <c r="AR80" s="27">
        <f t="shared" si="64"/>
        <v>7.6778635006782103</v>
      </c>
      <c r="AS80" s="19"/>
      <c r="AT80" s="29">
        <f t="shared" si="65"/>
        <v>-2.1540900122243301E-3</v>
      </c>
      <c r="AU80" s="29">
        <f t="shared" si="66"/>
        <v>1.258322006683521E-2</v>
      </c>
      <c r="AV80" s="29">
        <f t="shared" si="67"/>
        <v>2.3504570860108487E-2</v>
      </c>
      <c r="AW80" s="29">
        <f t="shared" si="68"/>
        <v>2.1395701331361039E-2</v>
      </c>
      <c r="AX80" s="29">
        <f t="shared" si="69"/>
        <v>1.055671992045859E-2</v>
      </c>
      <c r="AY80" s="29">
        <f t="shared" si="70"/>
        <v>1.3640669617089429E-2</v>
      </c>
      <c r="AZ80" s="29">
        <f t="shared" si="71"/>
        <v>1.0514829729427078E-2</v>
      </c>
      <c r="BA80" s="29">
        <f t="shared" si="72"/>
        <v>1.8007968506269734E-2</v>
      </c>
      <c r="BB80" s="29">
        <f t="shared" si="73"/>
        <v>7.3793087589475448E-3</v>
      </c>
      <c r="BC80" s="29">
        <f t="shared" si="74"/>
        <v>2.5728955034342249E-2</v>
      </c>
      <c r="BD80" s="29">
        <f t="shared" si="75"/>
        <v>1.749915986649242E-2</v>
      </c>
      <c r="BE80" s="29">
        <f t="shared" si="76"/>
        <v>1.9835361056145473E-2</v>
      </c>
      <c r="BF80" s="29">
        <f t="shared" si="77"/>
        <v>1.1310205391586337E-2</v>
      </c>
      <c r="BG80" s="29">
        <f t="shared" si="78"/>
        <v>8.8813771939619812E-3</v>
      </c>
      <c r="BH80" s="29">
        <f t="shared" si="79"/>
        <v>7.830263205796939E-3</v>
      </c>
      <c r="BI80" s="29">
        <f t="shared" si="80"/>
        <v>2.8991597036755579E-2</v>
      </c>
      <c r="BJ80" s="29">
        <f t="shared" si="81"/>
        <v>1.1690912053303748E-2</v>
      </c>
      <c r="BK80" s="29">
        <f t="shared" si="82"/>
        <v>1.2739025777429802E-2</v>
      </c>
      <c r="BL80" s="29">
        <f t="shared" si="83"/>
        <v>9.9465319240863437E-3</v>
      </c>
      <c r="BM80" s="29">
        <f t="shared" si="84"/>
        <v>1.7232886523757429E-2</v>
      </c>
      <c r="BN80" s="29">
        <f t="shared" si="85"/>
        <v>1.2110068816511443E-2</v>
      </c>
      <c r="BO80" s="20"/>
      <c r="BP80" s="19"/>
      <c r="BR80" s="19"/>
      <c r="BS80" s="19"/>
      <c r="BT80" s="19"/>
      <c r="BU80" s="19"/>
      <c r="BW80" s="19"/>
      <c r="BX80" s="20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20"/>
      <c r="CO80" s="19"/>
      <c r="CP80" s="20"/>
      <c r="CQ80" s="19"/>
      <c r="CR80" s="19"/>
      <c r="CS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G80" s="20"/>
      <c r="DH80" s="19"/>
      <c r="DI80" s="19"/>
      <c r="DJ80" s="19"/>
      <c r="DK80" s="19"/>
      <c r="DL80" s="19"/>
      <c r="DM80" s="19"/>
      <c r="DN80" s="19"/>
      <c r="DO80" s="20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20"/>
      <c r="EF80" s="20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20"/>
      <c r="GI80" s="19"/>
      <c r="GJ80" s="22"/>
    </row>
    <row r="81" spans="1:192" x14ac:dyDescent="0.25">
      <c r="A81" s="18">
        <v>1949</v>
      </c>
      <c r="B81" s="19">
        <v>6943</v>
      </c>
      <c r="C81" s="19">
        <v>8614</v>
      </c>
      <c r="D81" s="19">
        <v>50769</v>
      </c>
      <c r="E81" s="19">
        <v>13469</v>
      </c>
      <c r="F81" s="19">
        <v>4230</v>
      </c>
      <c r="G81" s="19">
        <v>3963</v>
      </c>
      <c r="H81" s="19">
        <v>41480</v>
      </c>
      <c r="I81" s="19">
        <v>67991</v>
      </c>
      <c r="J81" s="19">
        <v>46733</v>
      </c>
      <c r="K81" s="19">
        <v>81971</v>
      </c>
      <c r="L81" s="19">
        <v>9956</v>
      </c>
      <c r="M81" s="19">
        <v>1871</v>
      </c>
      <c r="N81" s="19">
        <v>3234</v>
      </c>
      <c r="O81" s="19">
        <v>8329</v>
      </c>
      <c r="P81" s="19">
        <v>27651</v>
      </c>
      <c r="Q81" s="19">
        <v>7455</v>
      </c>
      <c r="R81" s="19">
        <v>6955</v>
      </c>
      <c r="S81" s="19">
        <v>4640</v>
      </c>
      <c r="T81" s="19">
        <v>50312</v>
      </c>
      <c r="U81" s="19">
        <v>149770</v>
      </c>
      <c r="V81" s="19">
        <v>2188</v>
      </c>
      <c r="W81" s="20"/>
      <c r="X81" s="27">
        <f t="shared" si="44"/>
        <v>8.8454892367532736</v>
      </c>
      <c r="Y81" s="27">
        <f t="shared" si="45"/>
        <v>9.0611440656140552</v>
      </c>
      <c r="Z81" s="27">
        <f t="shared" si="46"/>
        <v>10.835041211076195</v>
      </c>
      <c r="AA81" s="27">
        <f t="shared" si="47"/>
        <v>9.5081460275988157</v>
      </c>
      <c r="AB81" s="27">
        <f t="shared" si="48"/>
        <v>8.3499572720403243</v>
      </c>
      <c r="AC81" s="27">
        <f t="shared" si="49"/>
        <v>8.2847565931904352</v>
      </c>
      <c r="AD81" s="27">
        <f t="shared" si="50"/>
        <v>10.632966662343463</v>
      </c>
      <c r="AE81" s="27">
        <f t="shared" si="51"/>
        <v>11.127130622457644</v>
      </c>
      <c r="AF81" s="27">
        <f t="shared" si="52"/>
        <v>10.752205832221462</v>
      </c>
      <c r="AG81" s="27">
        <f t="shared" si="53"/>
        <v>11.314120805157875</v>
      </c>
      <c r="AH81" s="27">
        <f t="shared" si="54"/>
        <v>9.2059306634874822</v>
      </c>
      <c r="AI81" s="27">
        <f t="shared" si="55"/>
        <v>7.5342283262740892</v>
      </c>
      <c r="AJ81" s="27">
        <f t="shared" si="56"/>
        <v>8.0814750401370521</v>
      </c>
      <c r="AK81" s="27">
        <f t="shared" si="57"/>
        <v>9.0274986799353396</v>
      </c>
      <c r="AL81" s="27">
        <f t="shared" si="58"/>
        <v>10.227417172661774</v>
      </c>
      <c r="AM81" s="27">
        <f t="shared" si="59"/>
        <v>8.9166402271988385</v>
      </c>
      <c r="AN81" s="27">
        <f t="shared" si="60"/>
        <v>8.8472161043575426</v>
      </c>
      <c r="AO81" s="27">
        <f t="shared" si="61"/>
        <v>8.4424696452203012</v>
      </c>
      <c r="AP81" s="27">
        <f t="shared" si="62"/>
        <v>10.825998896223339</v>
      </c>
      <c r="AQ81" s="27">
        <f t="shared" si="63"/>
        <v>11.916856062986442</v>
      </c>
      <c r="AR81" s="27">
        <f t="shared" si="64"/>
        <v>7.6907431635418719</v>
      </c>
      <c r="AS81" s="19"/>
      <c r="AT81" s="29">
        <f t="shared" si="65"/>
        <v>-1.8706387209004305E-3</v>
      </c>
      <c r="AU81" s="29">
        <f t="shared" si="66"/>
        <v>6.6391251960009612E-3</v>
      </c>
      <c r="AV81" s="29">
        <f t="shared" si="67"/>
        <v>2.3496731593015241E-2</v>
      </c>
      <c r="AW81" s="29">
        <f t="shared" si="68"/>
        <v>2.169021954231809E-2</v>
      </c>
      <c r="AX81" s="29">
        <f t="shared" si="69"/>
        <v>9.5012591241410149E-3</v>
      </c>
      <c r="AY81" s="29">
        <f t="shared" si="70"/>
        <v>1.29525620357267E-2</v>
      </c>
      <c r="AZ81" s="29">
        <f t="shared" si="71"/>
        <v>8.9599824515396165E-3</v>
      </c>
      <c r="BA81" s="29">
        <f t="shared" si="72"/>
        <v>1.0289403789828455E-2</v>
      </c>
      <c r="BB81" s="29">
        <f t="shared" si="73"/>
        <v>7.5606606266944709E-3</v>
      </c>
      <c r="BC81" s="29">
        <f t="shared" si="74"/>
        <v>2.2403266034102032E-2</v>
      </c>
      <c r="BD81" s="29">
        <f t="shared" si="75"/>
        <v>1.5792998828818128E-2</v>
      </c>
      <c r="BE81" s="29">
        <f t="shared" si="76"/>
        <v>2.0519078434384497E-2</v>
      </c>
      <c r="BF81" s="29">
        <f t="shared" si="77"/>
        <v>1.0256500167189486E-2</v>
      </c>
      <c r="BG81" s="29">
        <f t="shared" si="78"/>
        <v>8.8031922139961694E-3</v>
      </c>
      <c r="BH81" s="29">
        <f t="shared" si="79"/>
        <v>7.7694262449163887E-3</v>
      </c>
      <c r="BI81" s="29">
        <f t="shared" si="80"/>
        <v>2.871140819553375E-2</v>
      </c>
      <c r="BJ81" s="29">
        <f t="shared" si="81"/>
        <v>1.0406221959177842E-2</v>
      </c>
      <c r="BK81" s="29">
        <f t="shared" si="82"/>
        <v>1.2578782206860595E-2</v>
      </c>
      <c r="BL81" s="29">
        <f t="shared" si="83"/>
        <v>5.9406510057407047E-3</v>
      </c>
      <c r="BM81" s="29">
        <f t="shared" si="84"/>
        <v>1.7288197482423939E-2</v>
      </c>
      <c r="BN81" s="29">
        <f t="shared" si="85"/>
        <v>1.2879662863661601E-2</v>
      </c>
      <c r="BO81" s="20"/>
      <c r="BP81" s="19"/>
      <c r="BR81" s="19"/>
      <c r="BS81" s="19"/>
      <c r="BT81" s="19"/>
      <c r="BU81" s="19"/>
      <c r="BW81" s="19"/>
      <c r="BX81" s="20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20"/>
      <c r="CO81" s="19"/>
      <c r="CP81" s="20"/>
      <c r="CQ81" s="19"/>
      <c r="CR81" s="19"/>
      <c r="CS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G81" s="20"/>
      <c r="DH81" s="19"/>
      <c r="DI81" s="19"/>
      <c r="DJ81" s="19"/>
      <c r="DK81" s="19"/>
      <c r="DL81" s="19"/>
      <c r="DM81" s="19"/>
      <c r="DN81" s="19"/>
      <c r="DO81" s="20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20"/>
      <c r="EF81" s="20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20"/>
      <c r="GI81" s="19"/>
      <c r="GJ81" s="22"/>
    </row>
    <row r="82" spans="1:192" x14ac:dyDescent="0.25">
      <c r="A82" s="18">
        <v>1950</v>
      </c>
      <c r="B82" s="19">
        <v>6935.1</v>
      </c>
      <c r="C82" s="19">
        <v>8639.3690000000006</v>
      </c>
      <c r="D82" s="19">
        <v>53443.074999999997</v>
      </c>
      <c r="E82" s="19">
        <v>14011.422</v>
      </c>
      <c r="F82" s="19">
        <v>4271</v>
      </c>
      <c r="G82" s="19">
        <v>4008.9</v>
      </c>
      <c r="H82" s="19">
        <v>42518</v>
      </c>
      <c r="I82" s="19">
        <v>68374.572</v>
      </c>
      <c r="J82" s="19">
        <v>47105</v>
      </c>
      <c r="K82" s="21">
        <v>83805</v>
      </c>
      <c r="L82" s="19">
        <v>10113.527</v>
      </c>
      <c r="M82" s="19">
        <v>1908.31</v>
      </c>
      <c r="N82" s="19">
        <v>3265.1260000000002</v>
      </c>
      <c r="O82" s="19">
        <v>8442.75</v>
      </c>
      <c r="P82" s="19">
        <v>28062.963</v>
      </c>
      <c r="Q82" s="21">
        <v>7533.0969999999998</v>
      </c>
      <c r="R82" s="19">
        <v>7014</v>
      </c>
      <c r="S82" s="19">
        <v>4694</v>
      </c>
      <c r="T82" s="19">
        <v>50127</v>
      </c>
      <c r="U82" s="19">
        <v>152271</v>
      </c>
      <c r="V82" s="19">
        <v>2194.2750000000001</v>
      </c>
      <c r="W82" s="20"/>
      <c r="X82" s="27">
        <f t="shared" si="44"/>
        <v>8.8443507522556413</v>
      </c>
      <c r="Y82" s="27">
        <f t="shared" si="45"/>
        <v>9.0640848267236986</v>
      </c>
      <c r="Z82" s="27">
        <f t="shared" si="46"/>
        <v>10.886372347722762</v>
      </c>
      <c r="AA82" s="27">
        <f t="shared" si="47"/>
        <v>9.5476281331097219</v>
      </c>
      <c r="AB82" s="27">
        <f t="shared" si="48"/>
        <v>8.3596032708414665</v>
      </c>
      <c r="AC82" s="27">
        <f t="shared" si="49"/>
        <v>8.2962721684551255</v>
      </c>
      <c r="AD82" s="27">
        <f t="shared" si="50"/>
        <v>10.657682794661007</v>
      </c>
      <c r="AE82" s="27">
        <f t="shared" si="51"/>
        <v>11.132756280106884</v>
      </c>
      <c r="AF82" s="27">
        <f t="shared" si="52"/>
        <v>10.760134431482768</v>
      </c>
      <c r="AG82" s="27">
        <f t="shared" si="53"/>
        <v>11.33624795056136</v>
      </c>
      <c r="AH82" s="27">
        <f t="shared" si="54"/>
        <v>9.221629113688504</v>
      </c>
      <c r="AI82" s="27">
        <f t="shared" si="55"/>
        <v>7.5539733126053434</v>
      </c>
      <c r="AJ82" s="27">
        <f t="shared" si="56"/>
        <v>8.0910536320838311</v>
      </c>
      <c r="AK82" s="27">
        <f t="shared" si="57"/>
        <v>9.0410633639030227</v>
      </c>
      <c r="AL82" s="27">
        <f t="shared" si="58"/>
        <v>10.24220594323492</v>
      </c>
      <c r="AM82" s="27">
        <f t="shared" si="59"/>
        <v>8.9270615244187503</v>
      </c>
      <c r="AN82" s="27">
        <f t="shared" si="60"/>
        <v>8.8556634307001243</v>
      </c>
      <c r="AO82" s="27">
        <f t="shared" si="61"/>
        <v>8.4540403764109691</v>
      </c>
      <c r="AP82" s="27">
        <f t="shared" si="62"/>
        <v>10.822315064062254</v>
      </c>
      <c r="AQ82" s="27">
        <f t="shared" si="63"/>
        <v>11.933417107095016</v>
      </c>
      <c r="AR82" s="27">
        <f t="shared" si="64"/>
        <v>7.6936069748219289</v>
      </c>
      <c r="AS82" s="19"/>
      <c r="AT82" s="29">
        <f t="shared" si="65"/>
        <v>-1.1384844976323194E-3</v>
      </c>
      <c r="AU82" s="29">
        <f t="shared" si="66"/>
        <v>2.9407611096434749E-3</v>
      </c>
      <c r="AV82" s="29">
        <f t="shared" si="67"/>
        <v>5.1331136646567188E-2</v>
      </c>
      <c r="AW82" s="29">
        <f t="shared" si="68"/>
        <v>3.9482105510906251E-2</v>
      </c>
      <c r="AX82" s="29">
        <f t="shared" si="69"/>
        <v>9.6459988011421416E-3</v>
      </c>
      <c r="AY82" s="29">
        <f t="shared" si="70"/>
        <v>1.151557526469027E-2</v>
      </c>
      <c r="AZ82" s="29">
        <f t="shared" si="71"/>
        <v>2.4716132317543327E-2</v>
      </c>
      <c r="BA82" s="29">
        <f t="shared" si="72"/>
        <v>5.6256576492401678E-3</v>
      </c>
      <c r="BB82" s="29">
        <f t="shared" si="73"/>
        <v>7.9285992613069567E-3</v>
      </c>
      <c r="BC82" s="29">
        <f t="shared" si="74"/>
        <v>2.212714540348415E-2</v>
      </c>
      <c r="BD82" s="29">
        <f t="shared" si="75"/>
        <v>1.5698450201021785E-2</v>
      </c>
      <c r="BE82" s="29">
        <f t="shared" si="76"/>
        <v>1.9744986331254211E-2</v>
      </c>
      <c r="BF82" s="29">
        <f t="shared" si="77"/>
        <v>9.5785919467790137E-3</v>
      </c>
      <c r="BG82" s="29">
        <f t="shared" si="78"/>
        <v>1.3564683967683067E-2</v>
      </c>
      <c r="BH82" s="29">
        <f t="shared" si="79"/>
        <v>1.4788770573145982E-2</v>
      </c>
      <c r="BI82" s="29">
        <f t="shared" si="80"/>
        <v>1.0421297219911807E-2</v>
      </c>
      <c r="BJ82" s="29">
        <f t="shared" si="81"/>
        <v>8.447326342581718E-3</v>
      </c>
      <c r="BK82" s="29">
        <f t="shared" si="82"/>
        <v>1.1570731190667871E-2</v>
      </c>
      <c r="BL82" s="29">
        <f t="shared" si="83"/>
        <v>-3.6838321610854763E-3</v>
      </c>
      <c r="BM82" s="29">
        <f t="shared" si="84"/>
        <v>1.6561044108573952E-2</v>
      </c>
      <c r="BN82" s="29">
        <f t="shared" si="85"/>
        <v>2.8638112800569715E-3</v>
      </c>
      <c r="BO82" s="20"/>
      <c r="BP82" s="19"/>
      <c r="BR82" s="19"/>
      <c r="BS82" s="19"/>
      <c r="BT82" s="19"/>
      <c r="BU82" s="19"/>
      <c r="BW82" s="19"/>
      <c r="BX82" s="20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20"/>
      <c r="CO82" s="19"/>
      <c r="CP82" s="20"/>
      <c r="DG82" s="24"/>
      <c r="DO82" s="24"/>
      <c r="EE82" s="24"/>
      <c r="EF82" s="20"/>
      <c r="GH82" s="24"/>
      <c r="GI82" s="19"/>
      <c r="GJ82" s="22"/>
    </row>
    <row r="83" spans="1:192" x14ac:dyDescent="0.25">
      <c r="A83" s="18">
        <v>1951</v>
      </c>
      <c r="B83" s="19">
        <v>6935.451</v>
      </c>
      <c r="C83" s="19">
        <v>8678.3860000000004</v>
      </c>
      <c r="D83" s="19">
        <v>54995.531999999999</v>
      </c>
      <c r="E83" s="19">
        <v>14330.674999999999</v>
      </c>
      <c r="F83" s="19">
        <v>4303.62</v>
      </c>
      <c r="G83" s="19">
        <v>4047.3</v>
      </c>
      <c r="H83" s="19">
        <v>42862</v>
      </c>
      <c r="I83" s="19">
        <v>68875.884000000005</v>
      </c>
      <c r="J83" s="19">
        <v>47418</v>
      </c>
      <c r="K83" s="21">
        <v>85163.847999999998</v>
      </c>
      <c r="L83" s="19">
        <v>10264.311</v>
      </c>
      <c r="M83" s="19">
        <v>1947.3889999999999</v>
      </c>
      <c r="N83" s="19">
        <v>3295.8710000000001</v>
      </c>
      <c r="O83" s="19">
        <v>8490.25</v>
      </c>
      <c r="P83" s="19">
        <v>28298.01</v>
      </c>
      <c r="Q83" s="21">
        <v>7755.0619999999999</v>
      </c>
      <c r="R83" s="19">
        <v>7070</v>
      </c>
      <c r="S83" s="19">
        <v>4749</v>
      </c>
      <c r="T83" s="19">
        <v>50290</v>
      </c>
      <c r="U83" s="19">
        <v>154878</v>
      </c>
      <c r="V83" s="19">
        <v>2223.06</v>
      </c>
      <c r="W83" s="20"/>
      <c r="X83" s="27">
        <f t="shared" si="44"/>
        <v>8.8444013630785374</v>
      </c>
      <c r="Y83" s="27">
        <f t="shared" si="45"/>
        <v>9.068590845664076</v>
      </c>
      <c r="Z83" s="27">
        <f t="shared" si="46"/>
        <v>10.91500722455112</v>
      </c>
      <c r="AA83" s="27">
        <f t="shared" si="47"/>
        <v>9.5701576236905286</v>
      </c>
      <c r="AB83" s="27">
        <f t="shared" si="48"/>
        <v>8.3672118079810076</v>
      </c>
      <c r="AC83" s="27">
        <f t="shared" si="49"/>
        <v>8.3058052711128809</v>
      </c>
      <c r="AD83" s="27">
        <f t="shared" si="50"/>
        <v>10.665740931494621</v>
      </c>
      <c r="AE83" s="27">
        <f t="shared" si="51"/>
        <v>11.140061381218585</v>
      </c>
      <c r="AF83" s="27">
        <f t="shared" si="52"/>
        <v>10.766757182433031</v>
      </c>
      <c r="AG83" s="27">
        <f t="shared" si="53"/>
        <v>11.352332303519695</v>
      </c>
      <c r="AH83" s="27">
        <f t="shared" si="54"/>
        <v>9.2364282059143772</v>
      </c>
      <c r="AI83" s="27">
        <f t="shared" si="55"/>
        <v>7.5742447799716519</v>
      </c>
      <c r="AJ83" s="27">
        <f t="shared" si="56"/>
        <v>8.1004257519139227</v>
      </c>
      <c r="AK83" s="27">
        <f t="shared" si="57"/>
        <v>9.0466737252793941</v>
      </c>
      <c r="AL83" s="27">
        <f t="shared" si="58"/>
        <v>10.250546763137699</v>
      </c>
      <c r="AM83" s="27">
        <f t="shared" si="59"/>
        <v>8.9561010704207185</v>
      </c>
      <c r="AN83" s="27">
        <f t="shared" si="60"/>
        <v>8.863615758890619</v>
      </c>
      <c r="AO83" s="27">
        <f t="shared" si="61"/>
        <v>8.4656893485491214</v>
      </c>
      <c r="AP83" s="27">
        <f t="shared" si="62"/>
        <v>10.825561529166011</v>
      </c>
      <c r="AQ83" s="27">
        <f t="shared" si="63"/>
        <v>11.950392989203888</v>
      </c>
      <c r="AR83" s="27">
        <f t="shared" si="64"/>
        <v>7.7066399041532643</v>
      </c>
      <c r="AS83" s="19"/>
      <c r="AT83" s="29">
        <f t="shared" si="65"/>
        <v>5.0610822896146601E-5</v>
      </c>
      <c r="AU83" s="29">
        <f t="shared" si="66"/>
        <v>4.5060189403773876E-3</v>
      </c>
      <c r="AV83" s="29">
        <f t="shared" si="67"/>
        <v>2.8634876828357747E-2</v>
      </c>
      <c r="AW83" s="29">
        <f t="shared" si="68"/>
        <v>2.2529490580806666E-2</v>
      </c>
      <c r="AX83" s="29">
        <f t="shared" si="69"/>
        <v>7.6085371395411272E-3</v>
      </c>
      <c r="AY83" s="29">
        <f t="shared" si="70"/>
        <v>9.5331026577554212E-3</v>
      </c>
      <c r="AZ83" s="29">
        <f t="shared" si="71"/>
        <v>8.0581368336147818E-3</v>
      </c>
      <c r="BA83" s="29">
        <f t="shared" si="72"/>
        <v>7.3051011117009068E-3</v>
      </c>
      <c r="BB83" s="29">
        <f t="shared" si="73"/>
        <v>6.6227509502621018E-3</v>
      </c>
      <c r="BC83" s="29">
        <f t="shared" si="74"/>
        <v>1.6084352958335657E-2</v>
      </c>
      <c r="BD83" s="29">
        <f t="shared" si="75"/>
        <v>1.4799092225873167E-2</v>
      </c>
      <c r="BE83" s="29">
        <f t="shared" si="76"/>
        <v>2.0271467366308471E-2</v>
      </c>
      <c r="BF83" s="29">
        <f t="shared" si="77"/>
        <v>9.3721198300915631E-3</v>
      </c>
      <c r="BG83" s="29">
        <f t="shared" si="78"/>
        <v>5.6103613763713867E-3</v>
      </c>
      <c r="BH83" s="29">
        <f t="shared" si="79"/>
        <v>8.3408199027790175E-3</v>
      </c>
      <c r="BI83" s="29">
        <f t="shared" si="80"/>
        <v>2.903954600196812E-2</v>
      </c>
      <c r="BJ83" s="29">
        <f t="shared" si="81"/>
        <v>7.9523281904947396E-3</v>
      </c>
      <c r="BK83" s="29">
        <f t="shared" si="82"/>
        <v>1.1648972138152303E-2</v>
      </c>
      <c r="BL83" s="29">
        <f t="shared" si="83"/>
        <v>3.2464651037571457E-3</v>
      </c>
      <c r="BM83" s="29">
        <f t="shared" si="84"/>
        <v>1.6975882108871687E-2</v>
      </c>
      <c r="BN83" s="29">
        <f t="shared" si="85"/>
        <v>1.3032929331335374E-2</v>
      </c>
      <c r="BO83" s="20"/>
      <c r="BP83" s="19"/>
      <c r="BR83" s="19"/>
      <c r="BS83" s="19"/>
      <c r="BT83" s="19"/>
      <c r="BU83" s="19"/>
      <c r="BW83" s="19"/>
      <c r="BX83" s="20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20"/>
      <c r="CO83" s="19"/>
      <c r="CP83" s="20"/>
      <c r="DG83" s="24"/>
      <c r="DO83" s="24"/>
      <c r="EE83" s="24"/>
      <c r="EF83" s="20"/>
      <c r="GH83" s="24"/>
      <c r="GI83" s="19"/>
      <c r="GJ83" s="22"/>
    </row>
    <row r="84" spans="1:192" x14ac:dyDescent="0.25">
      <c r="A84" s="18">
        <v>1952</v>
      </c>
      <c r="B84" s="19">
        <v>6927.7719999999999</v>
      </c>
      <c r="C84" s="19">
        <v>8730.4050000000007</v>
      </c>
      <c r="D84" s="19">
        <v>56602.559999999998</v>
      </c>
      <c r="E84" s="19">
        <v>14785.584000000001</v>
      </c>
      <c r="F84" s="19">
        <v>4334</v>
      </c>
      <c r="G84" s="19">
        <v>4090.5</v>
      </c>
      <c r="H84" s="19">
        <v>43184</v>
      </c>
      <c r="I84" s="19">
        <v>69145.952000000005</v>
      </c>
      <c r="J84" s="19">
        <v>47666</v>
      </c>
      <c r="K84" s="21">
        <v>86459.024999999994</v>
      </c>
      <c r="L84" s="19">
        <v>10381.987999999999</v>
      </c>
      <c r="M84" s="19">
        <v>1994.7940000000001</v>
      </c>
      <c r="N84" s="19">
        <v>3327.7280000000001</v>
      </c>
      <c r="O84" s="19">
        <v>8526.0499999999993</v>
      </c>
      <c r="P84" s="19">
        <v>28549.87</v>
      </c>
      <c r="Q84" s="21">
        <v>7987.8789999999999</v>
      </c>
      <c r="R84" s="19">
        <v>7125</v>
      </c>
      <c r="S84" s="19">
        <v>4815</v>
      </c>
      <c r="T84" s="19">
        <v>50430</v>
      </c>
      <c r="U84" s="19">
        <v>157553</v>
      </c>
      <c r="V84" s="19">
        <v>2252.9650000000001</v>
      </c>
      <c r="W84" s="20"/>
      <c r="X84" s="27">
        <f t="shared" si="44"/>
        <v>8.843293539770011</v>
      </c>
      <c r="Y84" s="27">
        <f t="shared" si="45"/>
        <v>9.0745670395101605</v>
      </c>
      <c r="Z84" s="27">
        <f t="shared" si="46"/>
        <v>10.943809492850422</v>
      </c>
      <c r="AA84" s="27">
        <f t="shared" si="47"/>
        <v>9.6014079309992226</v>
      </c>
      <c r="AB84" s="27">
        <f t="shared" si="48"/>
        <v>8.3742461820963037</v>
      </c>
      <c r="AC84" s="27">
        <f t="shared" si="49"/>
        <v>8.3164224909537534</v>
      </c>
      <c r="AD84" s="27">
        <f t="shared" si="50"/>
        <v>10.673225335257786</v>
      </c>
      <c r="AE84" s="27">
        <f t="shared" si="51"/>
        <v>11.143974795972321</v>
      </c>
      <c r="AF84" s="27">
        <f t="shared" si="52"/>
        <v>10.771973634462144</v>
      </c>
      <c r="AG84" s="27">
        <f t="shared" si="53"/>
        <v>11.367425881266991</v>
      </c>
      <c r="AH84" s="27">
        <f t="shared" si="54"/>
        <v>9.2478276605398477</v>
      </c>
      <c r="AI84" s="27">
        <f t="shared" si="55"/>
        <v>7.5982960658471113</v>
      </c>
      <c r="AJ84" s="27">
        <f t="shared" si="56"/>
        <v>8.1100450678317273</v>
      </c>
      <c r="AK84" s="27">
        <f t="shared" si="57"/>
        <v>9.0508814617226907</v>
      </c>
      <c r="AL84" s="27">
        <f t="shared" si="58"/>
        <v>10.259407661658727</v>
      </c>
      <c r="AM84" s="27">
        <f t="shared" si="59"/>
        <v>8.9856805466993954</v>
      </c>
      <c r="AN84" s="27">
        <f t="shared" si="60"/>
        <v>8.8713650051368518</v>
      </c>
      <c r="AO84" s="27">
        <f t="shared" si="61"/>
        <v>8.4794913242322263</v>
      </c>
      <c r="AP84" s="27">
        <f t="shared" si="62"/>
        <v>10.828341515070772</v>
      </c>
      <c r="AQ84" s="27">
        <f t="shared" si="63"/>
        <v>11.967517188578235</v>
      </c>
      <c r="AR84" s="27">
        <f t="shared" si="64"/>
        <v>7.7200024054691454</v>
      </c>
      <c r="AS84" s="19"/>
      <c r="AT84" s="29">
        <f t="shared" si="65"/>
        <v>-1.1078233085264344E-3</v>
      </c>
      <c r="AU84" s="29">
        <f t="shared" si="66"/>
        <v>5.9761938460844988E-3</v>
      </c>
      <c r="AV84" s="29">
        <f t="shared" si="67"/>
        <v>2.8802268299301659E-2</v>
      </c>
      <c r="AW84" s="29">
        <f t="shared" si="68"/>
        <v>3.1250307308694047E-2</v>
      </c>
      <c r="AX84" s="29">
        <f t="shared" si="69"/>
        <v>7.0343741152960604E-3</v>
      </c>
      <c r="AY84" s="29">
        <f t="shared" si="70"/>
        <v>1.0617219840872494E-2</v>
      </c>
      <c r="AZ84" s="29">
        <f t="shared" si="71"/>
        <v>7.4844037631649485E-3</v>
      </c>
      <c r="BA84" s="29">
        <f t="shared" si="72"/>
        <v>3.9134147537360775E-3</v>
      </c>
      <c r="BB84" s="29">
        <f t="shared" si="73"/>
        <v>5.216452029113583E-3</v>
      </c>
      <c r="BC84" s="29">
        <f t="shared" si="74"/>
        <v>1.5093577747295583E-2</v>
      </c>
      <c r="BD84" s="29">
        <f t="shared" si="75"/>
        <v>1.139945462547054E-2</v>
      </c>
      <c r="BE84" s="29">
        <f t="shared" si="76"/>
        <v>2.4051285875459349E-2</v>
      </c>
      <c r="BF84" s="29">
        <f t="shared" si="77"/>
        <v>9.6193159178046272E-3</v>
      </c>
      <c r="BG84" s="29">
        <f t="shared" si="78"/>
        <v>4.2077364432966391E-3</v>
      </c>
      <c r="BH84" s="29">
        <f t="shared" si="79"/>
        <v>8.8608985210285596E-3</v>
      </c>
      <c r="BI84" s="29">
        <f t="shared" si="80"/>
        <v>2.9579476278676964E-2</v>
      </c>
      <c r="BJ84" s="29">
        <f t="shared" si="81"/>
        <v>7.7492462462327438E-3</v>
      </c>
      <c r="BK84" s="29">
        <f t="shared" si="82"/>
        <v>1.3801975683104928E-2</v>
      </c>
      <c r="BL84" s="29">
        <f t="shared" si="83"/>
        <v>2.7799859047608066E-3</v>
      </c>
      <c r="BM84" s="29">
        <f t="shared" si="84"/>
        <v>1.7124199374347171E-2</v>
      </c>
      <c r="BN84" s="29">
        <f t="shared" si="85"/>
        <v>1.3362501315881126E-2</v>
      </c>
      <c r="BO84" s="20"/>
      <c r="BP84" s="19"/>
      <c r="BR84" s="19"/>
      <c r="BS84" s="19"/>
      <c r="BT84" s="19"/>
      <c r="BU84" s="19"/>
      <c r="BW84" s="19"/>
      <c r="BX84" s="20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20"/>
      <c r="CO84" s="19"/>
      <c r="CP84" s="20"/>
      <c r="DG84" s="24"/>
      <c r="DO84" s="24"/>
      <c r="EE84" s="24"/>
      <c r="EF84" s="20"/>
      <c r="GH84" s="24"/>
      <c r="GI84" s="19"/>
      <c r="GJ84" s="22"/>
    </row>
    <row r="85" spans="1:192" x14ac:dyDescent="0.25">
      <c r="A85" s="18">
        <v>1953</v>
      </c>
      <c r="B85" s="19">
        <v>6932.4830000000002</v>
      </c>
      <c r="C85" s="19">
        <v>8777.8729999999996</v>
      </c>
      <c r="D85" s="19">
        <v>58266.357000000004</v>
      </c>
      <c r="E85" s="19">
        <v>15183.375</v>
      </c>
      <c r="F85" s="19">
        <v>4369.28</v>
      </c>
      <c r="G85" s="19">
        <v>4139.3999999999996</v>
      </c>
      <c r="H85" s="19">
        <v>43495</v>
      </c>
      <c r="I85" s="19">
        <v>69550.236000000004</v>
      </c>
      <c r="J85" s="19">
        <v>47957</v>
      </c>
      <c r="K85" s="21">
        <v>87655.163</v>
      </c>
      <c r="L85" s="19">
        <v>10493.183999999999</v>
      </c>
      <c r="M85" s="19">
        <v>2047.3910000000001</v>
      </c>
      <c r="N85" s="19">
        <v>3360.8879999999999</v>
      </c>
      <c r="O85" s="19">
        <v>8578.9500000000007</v>
      </c>
      <c r="P85" s="19">
        <v>28804.128000000001</v>
      </c>
      <c r="Q85" s="21">
        <v>8229.8469999999998</v>
      </c>
      <c r="R85" s="19">
        <v>7171</v>
      </c>
      <c r="S85" s="19">
        <v>4878</v>
      </c>
      <c r="T85" s="19">
        <v>50593</v>
      </c>
      <c r="U85" s="19">
        <v>160184</v>
      </c>
      <c r="V85" s="19">
        <v>2283.92</v>
      </c>
      <c r="W85" s="20"/>
      <c r="X85" s="27">
        <f t="shared" si="44"/>
        <v>8.8439733252691113</v>
      </c>
      <c r="Y85" s="27">
        <f t="shared" si="45"/>
        <v>9.0799894021553644</v>
      </c>
      <c r="Z85" s="27">
        <f t="shared" si="46"/>
        <v>10.972780138876031</v>
      </c>
      <c r="AA85" s="27">
        <f t="shared" si="47"/>
        <v>9.6279563582533321</v>
      </c>
      <c r="AB85" s="27">
        <f t="shared" si="48"/>
        <v>8.3823535147898607</v>
      </c>
      <c r="AC85" s="27">
        <f t="shared" si="49"/>
        <v>8.3283061287801186</v>
      </c>
      <c r="AD85" s="27">
        <f t="shared" si="50"/>
        <v>10.680401267941642</v>
      </c>
      <c r="AE85" s="27">
        <f t="shared" si="51"/>
        <v>11.149804590588104</v>
      </c>
      <c r="AF85" s="27">
        <f t="shared" si="52"/>
        <v>10.778060055058212</v>
      </c>
      <c r="AG85" s="27">
        <f t="shared" si="53"/>
        <v>11.381165793349306</v>
      </c>
      <c r="AH85" s="27">
        <f t="shared" si="54"/>
        <v>9.2584811825040223</v>
      </c>
      <c r="AI85" s="27">
        <f t="shared" si="55"/>
        <v>7.6243215786569216</v>
      </c>
      <c r="AJ85" s="27">
        <f t="shared" si="56"/>
        <v>8.1199605037542177</v>
      </c>
      <c r="AK85" s="27">
        <f t="shared" si="57"/>
        <v>9.0570668073708784</v>
      </c>
      <c r="AL85" s="27">
        <f t="shared" si="58"/>
        <v>10.268273989186129</v>
      </c>
      <c r="AM85" s="27">
        <f t="shared" si="59"/>
        <v>9.0155227029758311</v>
      </c>
      <c r="AN85" s="27">
        <f t="shared" si="60"/>
        <v>8.8778003938825751</v>
      </c>
      <c r="AO85" s="27">
        <f t="shared" si="61"/>
        <v>8.4924905787758664</v>
      </c>
      <c r="AP85" s="27">
        <f t="shared" si="62"/>
        <v>10.831568505784759</v>
      </c>
      <c r="AQ85" s="27">
        <f t="shared" si="63"/>
        <v>11.984078433472485</v>
      </c>
      <c r="AR85" s="27">
        <f t="shared" si="64"/>
        <v>7.7336485438927642</v>
      </c>
      <c r="AS85" s="19"/>
      <c r="AT85" s="29">
        <f t="shared" si="65"/>
        <v>6.7978549910030495E-4</v>
      </c>
      <c r="AU85" s="29">
        <f t="shared" si="66"/>
        <v>5.4223626452039042E-3</v>
      </c>
      <c r="AV85" s="29">
        <f t="shared" si="67"/>
        <v>2.897064602560917E-2</v>
      </c>
      <c r="AW85" s="29">
        <f t="shared" si="68"/>
        <v>2.6548427254109441E-2</v>
      </c>
      <c r="AX85" s="29">
        <f t="shared" si="69"/>
        <v>8.1073326935570122E-3</v>
      </c>
      <c r="AY85" s="29">
        <f t="shared" si="70"/>
        <v>1.1883637826365145E-2</v>
      </c>
      <c r="AZ85" s="29">
        <f t="shared" si="71"/>
        <v>7.1759326838556348E-3</v>
      </c>
      <c r="BA85" s="29">
        <f t="shared" si="72"/>
        <v>5.829794615783257E-3</v>
      </c>
      <c r="BB85" s="29">
        <f t="shared" si="73"/>
        <v>6.0864205960680096E-3</v>
      </c>
      <c r="BC85" s="29">
        <f t="shared" si="74"/>
        <v>1.3739912082314731E-2</v>
      </c>
      <c r="BD85" s="29">
        <f t="shared" si="75"/>
        <v>1.0653521964174573E-2</v>
      </c>
      <c r="BE85" s="29">
        <f t="shared" si="76"/>
        <v>2.6025512809810358E-2</v>
      </c>
      <c r="BF85" s="29">
        <f t="shared" si="77"/>
        <v>9.9154359224904454E-3</v>
      </c>
      <c r="BG85" s="29">
        <f t="shared" si="78"/>
        <v>6.1853456481877345E-3</v>
      </c>
      <c r="BH85" s="29">
        <f t="shared" si="79"/>
        <v>8.8663275274019071E-3</v>
      </c>
      <c r="BI85" s="29">
        <f t="shared" si="80"/>
        <v>2.9842156276435716E-2</v>
      </c>
      <c r="BJ85" s="29">
        <f t="shared" si="81"/>
        <v>6.4353887457233583E-3</v>
      </c>
      <c r="BK85" s="29">
        <f t="shared" si="82"/>
        <v>1.2999254543640149E-2</v>
      </c>
      <c r="BL85" s="29">
        <f t="shared" si="83"/>
        <v>3.2269907139870213E-3</v>
      </c>
      <c r="BM85" s="29">
        <f t="shared" si="84"/>
        <v>1.6561244894250038E-2</v>
      </c>
      <c r="BN85" s="29">
        <f t="shared" si="85"/>
        <v>1.3646138423618837E-2</v>
      </c>
      <c r="BO85" s="20"/>
      <c r="BP85" s="19"/>
      <c r="BR85" s="19"/>
      <c r="BS85" s="19"/>
      <c r="BT85" s="19"/>
      <c r="BU85" s="19"/>
      <c r="BW85" s="19"/>
      <c r="BX85" s="20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20"/>
      <c r="CO85" s="19"/>
      <c r="CP85" s="20"/>
      <c r="DG85" s="24"/>
      <c r="DO85" s="24"/>
      <c r="EE85" s="24"/>
      <c r="EF85" s="20"/>
      <c r="GH85" s="24"/>
      <c r="GI85" s="19"/>
      <c r="GJ85" s="22"/>
    </row>
    <row r="86" spans="1:192" x14ac:dyDescent="0.25">
      <c r="A86" s="18">
        <v>1954</v>
      </c>
      <c r="B86" s="19">
        <v>6940.2089999999998</v>
      </c>
      <c r="C86" s="19">
        <v>8819.3799999999992</v>
      </c>
      <c r="D86" s="19">
        <v>59989.218999999997</v>
      </c>
      <c r="E86" s="19">
        <v>15636.245000000001</v>
      </c>
      <c r="F86" s="19">
        <v>4406</v>
      </c>
      <c r="G86" s="19">
        <v>4186.8999999999996</v>
      </c>
      <c r="H86" s="19">
        <v>43822</v>
      </c>
      <c r="I86" s="19">
        <v>69868.115000000005</v>
      </c>
      <c r="J86" s="19">
        <v>48299</v>
      </c>
      <c r="K86" s="21">
        <v>88753.892000000007</v>
      </c>
      <c r="L86" s="19">
        <v>10615.38</v>
      </c>
      <c r="M86" s="19">
        <v>2092.779</v>
      </c>
      <c r="N86" s="19">
        <v>3394.2460000000001</v>
      </c>
      <c r="O86" s="19">
        <v>8632.1</v>
      </c>
      <c r="P86" s="19">
        <v>29060.413</v>
      </c>
      <c r="Q86" s="21">
        <v>8468.9599999999991</v>
      </c>
      <c r="R86" s="19">
        <v>7213</v>
      </c>
      <c r="S86" s="19">
        <v>4929</v>
      </c>
      <c r="T86" s="19">
        <v>50765</v>
      </c>
      <c r="U86" s="19">
        <v>163026</v>
      </c>
      <c r="V86" s="19">
        <v>2316.5430000000001</v>
      </c>
      <c r="W86" s="20"/>
      <c r="X86" s="27">
        <f t="shared" si="44"/>
        <v>8.8450871683211698</v>
      </c>
      <c r="Y86" s="27">
        <f t="shared" si="45"/>
        <v>9.0847068517454623</v>
      </c>
      <c r="Z86" s="27">
        <f t="shared" si="46"/>
        <v>11.00192014172592</v>
      </c>
      <c r="AA86" s="27">
        <f t="shared" si="47"/>
        <v>9.6573468957591349</v>
      </c>
      <c r="AB86" s="27">
        <f t="shared" si="48"/>
        <v>8.3907225273622892</v>
      </c>
      <c r="AC86" s="27">
        <f t="shared" si="49"/>
        <v>8.3397158822851587</v>
      </c>
      <c r="AD86" s="27">
        <f t="shared" si="50"/>
        <v>10.687891253367626</v>
      </c>
      <c r="AE86" s="27">
        <f t="shared" si="51"/>
        <v>11.154364672507883</v>
      </c>
      <c r="AF86" s="27">
        <f t="shared" si="52"/>
        <v>10.785166135492588</v>
      </c>
      <c r="AG86" s="27">
        <f t="shared" si="53"/>
        <v>11.393622559897251</v>
      </c>
      <c r="AH86" s="27">
        <f t="shared" si="54"/>
        <v>9.2700591718951024</v>
      </c>
      <c r="AI86" s="27">
        <f t="shared" si="55"/>
        <v>7.6462481268088647</v>
      </c>
      <c r="AJ86" s="27">
        <f t="shared" si="56"/>
        <v>8.1298369240161179</v>
      </c>
      <c r="AK86" s="27">
        <f t="shared" si="57"/>
        <v>9.0632430916716089</v>
      </c>
      <c r="AL86" s="27">
        <f t="shared" si="58"/>
        <v>10.277132148998508</v>
      </c>
      <c r="AM86" s="27">
        <f t="shared" si="59"/>
        <v>9.0441629938026402</v>
      </c>
      <c r="AN86" s="27">
        <f t="shared" si="60"/>
        <v>8.883640232503673</v>
      </c>
      <c r="AO86" s="27">
        <f t="shared" si="61"/>
        <v>8.5028914067053769</v>
      </c>
      <c r="AP86" s="27">
        <f t="shared" si="62"/>
        <v>10.834962419735323</v>
      </c>
      <c r="AQ86" s="27">
        <f t="shared" si="63"/>
        <v>12.001664976271114</v>
      </c>
      <c r="AR86" s="27">
        <f t="shared" si="64"/>
        <v>7.7478312671709322</v>
      </c>
      <c r="AS86" s="19"/>
      <c r="AT86" s="29">
        <f t="shared" si="65"/>
        <v>1.1138430520585274E-3</v>
      </c>
      <c r="AU86" s="29">
        <f t="shared" si="66"/>
        <v>4.7174495900978997E-3</v>
      </c>
      <c r="AV86" s="29">
        <f t="shared" si="67"/>
        <v>2.9140002849889157E-2</v>
      </c>
      <c r="AW86" s="29">
        <f t="shared" si="68"/>
        <v>2.9390537505802783E-2</v>
      </c>
      <c r="AX86" s="29">
        <f t="shared" si="69"/>
        <v>8.3690125724285025E-3</v>
      </c>
      <c r="AY86" s="29">
        <f t="shared" si="70"/>
        <v>1.1409753505040143E-2</v>
      </c>
      <c r="AZ86" s="29">
        <f t="shared" si="71"/>
        <v>7.4899854259840026E-3</v>
      </c>
      <c r="BA86" s="29">
        <f t="shared" si="72"/>
        <v>4.5600819197790798E-3</v>
      </c>
      <c r="BB86" s="29">
        <f t="shared" si="73"/>
        <v>7.1060804343758832E-3</v>
      </c>
      <c r="BC86" s="29">
        <f t="shared" si="74"/>
        <v>1.2456766547945364E-2</v>
      </c>
      <c r="BD86" s="29">
        <f t="shared" si="75"/>
        <v>1.1577989391080123E-2</v>
      </c>
      <c r="BE86" s="29">
        <f t="shared" si="76"/>
        <v>2.1926548151943059E-2</v>
      </c>
      <c r="BF86" s="29">
        <f t="shared" si="77"/>
        <v>9.8764202619001651E-3</v>
      </c>
      <c r="BG86" s="29">
        <f t="shared" si="78"/>
        <v>6.1762843007304724E-3</v>
      </c>
      <c r="BH86" s="29">
        <f t="shared" si="79"/>
        <v>8.8581598123784744E-3</v>
      </c>
      <c r="BI86" s="29">
        <f t="shared" si="80"/>
        <v>2.8640290826809078E-2</v>
      </c>
      <c r="BJ86" s="29">
        <f t="shared" si="81"/>
        <v>5.8398386210978259E-3</v>
      </c>
      <c r="BK86" s="29">
        <f t="shared" si="82"/>
        <v>1.040082792951047E-2</v>
      </c>
      <c r="BL86" s="29">
        <f t="shared" si="83"/>
        <v>3.3939139505640981E-3</v>
      </c>
      <c r="BM86" s="29">
        <f t="shared" si="84"/>
        <v>1.7586542798628813E-2</v>
      </c>
      <c r="BN86" s="29">
        <f t="shared" si="85"/>
        <v>1.4182723278167941E-2</v>
      </c>
      <c r="BO86" s="20"/>
      <c r="BP86" s="19"/>
      <c r="BR86" s="19"/>
      <c r="BS86" s="19"/>
      <c r="BT86" s="19"/>
      <c r="BU86" s="19"/>
      <c r="BW86" s="19"/>
      <c r="BX86" s="20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20"/>
      <c r="CO86" s="19"/>
      <c r="CP86" s="20"/>
      <c r="DG86" s="24"/>
      <c r="DO86" s="24"/>
      <c r="EE86" s="24"/>
      <c r="EF86" s="20"/>
      <c r="GH86" s="24"/>
      <c r="GI86" s="19"/>
      <c r="GJ86" s="22"/>
    </row>
    <row r="87" spans="1:192" x14ac:dyDescent="0.25">
      <c r="A87" s="18">
        <v>1955</v>
      </c>
      <c r="B87" s="19">
        <v>6946.8850000000002</v>
      </c>
      <c r="C87" s="19">
        <v>8868.4750000000004</v>
      </c>
      <c r="D87" s="19">
        <v>61773.546000000002</v>
      </c>
      <c r="E87" s="19">
        <v>16050.356</v>
      </c>
      <c r="F87" s="19">
        <v>4439</v>
      </c>
      <c r="G87" s="19">
        <v>4234.8999999999996</v>
      </c>
      <c r="H87" s="19">
        <v>44218</v>
      </c>
      <c r="I87" s="19">
        <v>70195.611999999994</v>
      </c>
      <c r="J87" s="19">
        <v>48633</v>
      </c>
      <c r="K87" s="21">
        <v>89815.06</v>
      </c>
      <c r="L87" s="19">
        <v>10750.842000000001</v>
      </c>
      <c r="M87" s="19">
        <v>2136.1680000000001</v>
      </c>
      <c r="N87" s="19">
        <v>3427.4090000000001</v>
      </c>
      <c r="O87" s="19">
        <v>8692.6</v>
      </c>
      <c r="P87" s="19">
        <v>29318.744999999999</v>
      </c>
      <c r="Q87" s="21">
        <v>8693.7790000000005</v>
      </c>
      <c r="R87" s="19">
        <v>7262</v>
      </c>
      <c r="S87" s="19">
        <v>4980</v>
      </c>
      <c r="T87" s="19">
        <v>50946</v>
      </c>
      <c r="U87" s="19">
        <v>165931</v>
      </c>
      <c r="V87" s="19">
        <v>2353.136</v>
      </c>
      <c r="W87" s="20"/>
      <c r="X87" s="27">
        <f t="shared" si="44"/>
        <v>8.8460486366477014</v>
      </c>
      <c r="Y87" s="27">
        <f t="shared" si="45"/>
        <v>9.0902581326756646</v>
      </c>
      <c r="Z87" s="27">
        <f t="shared" si="46"/>
        <v>11.031230493550268</v>
      </c>
      <c r="AA87" s="27">
        <f t="shared" si="47"/>
        <v>9.6834863089975318</v>
      </c>
      <c r="AB87" s="27">
        <f t="shared" si="48"/>
        <v>8.3981844048340353</v>
      </c>
      <c r="AC87" s="27">
        <f t="shared" si="49"/>
        <v>8.3511149940564842</v>
      </c>
      <c r="AD87" s="27">
        <f t="shared" si="50"/>
        <v>10.696887224985165</v>
      </c>
      <c r="AE87" s="27">
        <f t="shared" si="51"/>
        <v>11.159041080937744</v>
      </c>
      <c r="AF87" s="27">
        <f t="shared" si="52"/>
        <v>10.792057591809684</v>
      </c>
      <c r="AG87" s="27">
        <f t="shared" si="53"/>
        <v>11.405507946242572</v>
      </c>
      <c r="AH87" s="27">
        <f t="shared" si="54"/>
        <v>9.2827393560699161</v>
      </c>
      <c r="AI87" s="27">
        <f t="shared" si="55"/>
        <v>7.6667688486725973</v>
      </c>
      <c r="AJ87" s="27">
        <f t="shared" si="56"/>
        <v>8.1395598611204836</v>
      </c>
      <c r="AK87" s="27">
        <f t="shared" si="57"/>
        <v>9.0702273679861065</v>
      </c>
      <c r="AL87" s="27">
        <f t="shared" si="58"/>
        <v>10.285982351537424</v>
      </c>
      <c r="AM87" s="27">
        <f t="shared" si="59"/>
        <v>9.0703629913958803</v>
      </c>
      <c r="AN87" s="27">
        <f t="shared" si="60"/>
        <v>8.8904105519742807</v>
      </c>
      <c r="AO87" s="27">
        <f t="shared" si="61"/>
        <v>8.5131851700186978</v>
      </c>
      <c r="AP87" s="27">
        <f t="shared" si="62"/>
        <v>10.838521527227419</v>
      </c>
      <c r="AQ87" s="27">
        <f t="shared" si="63"/>
        <v>12.019327318276412</v>
      </c>
      <c r="AR87" s="27">
        <f t="shared" si="64"/>
        <v>7.7635041856121267</v>
      </c>
      <c r="AS87" s="19"/>
      <c r="AT87" s="29">
        <f t="shared" si="65"/>
        <v>9.614683265315449E-4</v>
      </c>
      <c r="AU87" s="29">
        <f t="shared" si="66"/>
        <v>5.5512809302022958E-3</v>
      </c>
      <c r="AV87" s="29">
        <f t="shared" si="67"/>
        <v>2.9310351824348047E-2</v>
      </c>
      <c r="AW87" s="29">
        <f t="shared" si="68"/>
        <v>2.6139413238396969E-2</v>
      </c>
      <c r="AX87" s="29">
        <f t="shared" si="69"/>
        <v>7.4618774717460923E-3</v>
      </c>
      <c r="AY87" s="29">
        <f t="shared" si="70"/>
        <v>1.1399111771325465E-2</v>
      </c>
      <c r="AZ87" s="29">
        <f t="shared" si="71"/>
        <v>8.9959716175389559E-3</v>
      </c>
      <c r="BA87" s="29">
        <f t="shared" si="72"/>
        <v>4.6764084298605013E-3</v>
      </c>
      <c r="BB87" s="29">
        <f t="shared" si="73"/>
        <v>6.8914563170956455E-3</v>
      </c>
      <c r="BC87" s="29">
        <f t="shared" si="74"/>
        <v>1.1885386345321436E-2</v>
      </c>
      <c r="BD87" s="29">
        <f t="shared" si="75"/>
        <v>1.2680184174813647E-2</v>
      </c>
      <c r="BE87" s="29">
        <f t="shared" si="76"/>
        <v>2.052072186373266E-2</v>
      </c>
      <c r="BF87" s="29">
        <f t="shared" si="77"/>
        <v>9.7229371043656698E-3</v>
      </c>
      <c r="BG87" s="29">
        <f t="shared" si="78"/>
        <v>6.9842763144976061E-3</v>
      </c>
      <c r="BH87" s="29">
        <f t="shared" si="79"/>
        <v>8.8502025389161076E-3</v>
      </c>
      <c r="BI87" s="29">
        <f t="shared" si="80"/>
        <v>2.6199997593240099E-2</v>
      </c>
      <c r="BJ87" s="29">
        <f t="shared" si="81"/>
        <v>6.7703194706076886E-3</v>
      </c>
      <c r="BK87" s="29">
        <f t="shared" si="82"/>
        <v>1.0293763313320881E-2</v>
      </c>
      <c r="BL87" s="29">
        <f t="shared" si="83"/>
        <v>3.5591074920962029E-3</v>
      </c>
      <c r="BM87" s="29">
        <f t="shared" si="84"/>
        <v>1.766234200529837E-2</v>
      </c>
      <c r="BN87" s="29">
        <f t="shared" si="85"/>
        <v>1.5672918441194561E-2</v>
      </c>
      <c r="BO87" s="20"/>
      <c r="BP87" s="19"/>
      <c r="BR87" s="19"/>
      <c r="BS87" s="19"/>
      <c r="BT87" s="19"/>
      <c r="BU87" s="19"/>
      <c r="BW87" s="19"/>
      <c r="BX87" s="20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20"/>
      <c r="CO87" s="19"/>
      <c r="CP87" s="20"/>
      <c r="DG87" s="24"/>
      <c r="DO87" s="24"/>
      <c r="EE87" s="24"/>
      <c r="EF87" s="20"/>
      <c r="GH87" s="24"/>
      <c r="GI87" s="19"/>
      <c r="GJ87" s="22"/>
    </row>
    <row r="88" spans="1:192" x14ac:dyDescent="0.25">
      <c r="A88" s="18">
        <v>1956</v>
      </c>
      <c r="B88" s="19">
        <v>6952.3590000000004</v>
      </c>
      <c r="C88" s="19">
        <v>8923.8449999999993</v>
      </c>
      <c r="D88" s="19">
        <v>63631.991999999998</v>
      </c>
      <c r="E88" s="19">
        <v>16445.087</v>
      </c>
      <c r="F88" s="19">
        <v>4466.4709999999995</v>
      </c>
      <c r="G88" s="19">
        <v>4281.7</v>
      </c>
      <c r="H88" s="19">
        <v>44657</v>
      </c>
      <c r="I88" s="19">
        <v>70602.517999999996</v>
      </c>
      <c r="J88" s="19">
        <v>48921</v>
      </c>
      <c r="K88" s="21">
        <v>90766.210999999996</v>
      </c>
      <c r="L88" s="19">
        <v>10889.351000000001</v>
      </c>
      <c r="M88" s="19">
        <v>2178.2890000000002</v>
      </c>
      <c r="N88" s="19">
        <v>3459.9920000000002</v>
      </c>
      <c r="O88" s="19">
        <v>8756</v>
      </c>
      <c r="P88" s="19">
        <v>29579.142</v>
      </c>
      <c r="Q88" s="21">
        <v>8917.01</v>
      </c>
      <c r="R88" s="19">
        <v>7315</v>
      </c>
      <c r="S88" s="19">
        <v>5045</v>
      </c>
      <c r="T88" s="19">
        <v>51184</v>
      </c>
      <c r="U88" s="19">
        <v>168903</v>
      </c>
      <c r="V88" s="19">
        <v>2389.29</v>
      </c>
      <c r="W88" s="20"/>
      <c r="X88" s="27">
        <f t="shared" si="44"/>
        <v>8.8468363054278196</v>
      </c>
      <c r="Y88" s="27">
        <f t="shared" si="45"/>
        <v>9.0964821865087089</v>
      </c>
      <c r="Z88" s="27">
        <f t="shared" si="46"/>
        <v>11.060871641724557</v>
      </c>
      <c r="AA88" s="27">
        <f t="shared" si="47"/>
        <v>9.7077820489709747</v>
      </c>
      <c r="AB88" s="27">
        <f t="shared" si="48"/>
        <v>8.404353890341234</v>
      </c>
      <c r="AC88" s="27">
        <f t="shared" si="49"/>
        <v>8.3621054059759707</v>
      </c>
      <c r="AD88" s="27">
        <f t="shared" si="50"/>
        <v>10.706766348932756</v>
      </c>
      <c r="AE88" s="27">
        <f t="shared" si="51"/>
        <v>11.164821088567706</v>
      </c>
      <c r="AF88" s="27">
        <f t="shared" si="52"/>
        <v>10.797962031129387</v>
      </c>
      <c r="AG88" s="27">
        <f t="shared" si="53"/>
        <v>11.416042369782829</v>
      </c>
      <c r="AH88" s="27">
        <f t="shared" si="54"/>
        <v>9.2955406181915006</v>
      </c>
      <c r="AI88" s="27">
        <f t="shared" si="55"/>
        <v>7.6862949852320757</v>
      </c>
      <c r="AJ88" s="27">
        <f t="shared" si="56"/>
        <v>8.1490215559103678</v>
      </c>
      <c r="AK88" s="27">
        <f t="shared" si="57"/>
        <v>9.0774944586427537</v>
      </c>
      <c r="AL88" s="27">
        <f t="shared" si="58"/>
        <v>10.294824729758913</v>
      </c>
      <c r="AM88" s="27">
        <f t="shared" si="59"/>
        <v>9.0957159675876547</v>
      </c>
      <c r="AN88" s="27">
        <f t="shared" si="60"/>
        <v>8.897682313454224</v>
      </c>
      <c r="AO88" s="27">
        <f t="shared" si="61"/>
        <v>8.5261529327877099</v>
      </c>
      <c r="AP88" s="27">
        <f t="shared" si="62"/>
        <v>10.843182262189298</v>
      </c>
      <c r="AQ88" s="27">
        <f t="shared" si="63"/>
        <v>12.037079864627492</v>
      </c>
      <c r="AR88" s="27">
        <f t="shared" si="64"/>
        <v>7.7787515296614806</v>
      </c>
      <c r="AS88" s="19"/>
      <c r="AT88" s="29">
        <f t="shared" si="65"/>
        <v>7.8766878011826691E-4</v>
      </c>
      <c r="AU88" s="29">
        <f t="shared" si="66"/>
        <v>6.2240538330442519E-3</v>
      </c>
      <c r="AV88" s="29">
        <f t="shared" si="67"/>
        <v>2.9641148174288645E-2</v>
      </c>
      <c r="AW88" s="29">
        <f t="shared" si="68"/>
        <v>2.429573997344292E-2</v>
      </c>
      <c r="AX88" s="29">
        <f t="shared" si="69"/>
        <v>6.1694855071987575E-3</v>
      </c>
      <c r="AY88" s="29">
        <f t="shared" si="70"/>
        <v>1.0990411919486576E-2</v>
      </c>
      <c r="AZ88" s="29">
        <f t="shared" si="71"/>
        <v>9.8791239475914949E-3</v>
      </c>
      <c r="BA88" s="29">
        <f t="shared" si="72"/>
        <v>5.7800076299621139E-3</v>
      </c>
      <c r="BB88" s="29">
        <f t="shared" si="73"/>
        <v>5.904439319703414E-3</v>
      </c>
      <c r="BC88" s="29">
        <f t="shared" si="74"/>
        <v>1.053442354025691E-2</v>
      </c>
      <c r="BD88" s="29">
        <f t="shared" si="75"/>
        <v>1.28012621215845E-2</v>
      </c>
      <c r="BE88" s="29">
        <f t="shared" si="76"/>
        <v>1.9526136559478324E-2</v>
      </c>
      <c r="BF88" s="29">
        <f t="shared" si="77"/>
        <v>9.4616947898842341E-3</v>
      </c>
      <c r="BG88" s="29">
        <f t="shared" si="78"/>
        <v>7.2670906566472127E-3</v>
      </c>
      <c r="BH88" s="29">
        <f t="shared" si="79"/>
        <v>8.8423782214892555E-3</v>
      </c>
      <c r="BI88" s="29">
        <f t="shared" si="80"/>
        <v>2.5352976191774346E-2</v>
      </c>
      <c r="BJ88" s="29">
        <f t="shared" si="81"/>
        <v>7.2717614799433505E-3</v>
      </c>
      <c r="BK88" s="29">
        <f t="shared" si="82"/>
        <v>1.2967762769012126E-2</v>
      </c>
      <c r="BL88" s="29">
        <f t="shared" si="83"/>
        <v>4.6607349618792426E-3</v>
      </c>
      <c r="BM88" s="29">
        <f t="shared" si="84"/>
        <v>1.7752546351079701E-2</v>
      </c>
      <c r="BN88" s="29">
        <f t="shared" si="85"/>
        <v>1.5247344049353906E-2</v>
      </c>
      <c r="BO88" s="20"/>
      <c r="BP88" s="19"/>
      <c r="BR88" s="19"/>
      <c r="BS88" s="19"/>
      <c r="BT88" s="19"/>
      <c r="BU88" s="19"/>
      <c r="BW88" s="19"/>
      <c r="BX88" s="20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20"/>
      <c r="CO88" s="19"/>
      <c r="CP88" s="20"/>
      <c r="DG88" s="24"/>
      <c r="DO88" s="24"/>
      <c r="EE88" s="24"/>
      <c r="EF88" s="20"/>
      <c r="GH88" s="24"/>
      <c r="GI88" s="19"/>
      <c r="GJ88" s="22"/>
    </row>
    <row r="89" spans="1:192" x14ac:dyDescent="0.25">
      <c r="A89" s="18">
        <v>1957</v>
      </c>
      <c r="B89" s="19">
        <v>6965.86</v>
      </c>
      <c r="C89" s="19">
        <v>8989.1110000000008</v>
      </c>
      <c r="D89" s="19">
        <v>65551.171000000002</v>
      </c>
      <c r="E89" s="19">
        <v>17010.153999999999</v>
      </c>
      <c r="F89" s="19">
        <v>4487.8310000000001</v>
      </c>
      <c r="G89" s="19">
        <v>4324</v>
      </c>
      <c r="H89" s="19">
        <v>45152</v>
      </c>
      <c r="I89" s="19">
        <v>71019.069000000003</v>
      </c>
      <c r="J89" s="19">
        <v>49182</v>
      </c>
      <c r="K89" s="21">
        <v>91563.009000000005</v>
      </c>
      <c r="L89" s="19">
        <v>11026.383</v>
      </c>
      <c r="M89" s="19">
        <v>2229.4070000000002</v>
      </c>
      <c r="N89" s="19">
        <v>3491.9380000000001</v>
      </c>
      <c r="O89" s="19">
        <v>8817.65</v>
      </c>
      <c r="P89" s="19">
        <v>29841.614000000001</v>
      </c>
      <c r="Q89" s="21">
        <v>9150.7279999999992</v>
      </c>
      <c r="R89" s="19">
        <v>7364</v>
      </c>
      <c r="S89" s="19">
        <v>5126</v>
      </c>
      <c r="T89" s="19">
        <v>51430</v>
      </c>
      <c r="U89" s="19">
        <v>171984</v>
      </c>
      <c r="V89" s="19">
        <v>2424.9589999999998</v>
      </c>
      <c r="W89" s="20"/>
      <c r="X89" s="27">
        <f t="shared" si="44"/>
        <v>8.8487763531069898</v>
      </c>
      <c r="Y89" s="27">
        <f t="shared" si="45"/>
        <v>9.1037692349230124</v>
      </c>
      <c r="Z89" s="27">
        <f t="shared" si="46"/>
        <v>11.090586353258065</v>
      </c>
      <c r="AA89" s="27">
        <f t="shared" si="47"/>
        <v>9.7415657388468677</v>
      </c>
      <c r="AB89" s="27">
        <f t="shared" si="48"/>
        <v>8.4091247905220481</v>
      </c>
      <c r="AC89" s="27">
        <f t="shared" si="49"/>
        <v>8.371936178759098</v>
      </c>
      <c r="AD89" s="27">
        <f t="shared" si="50"/>
        <v>10.717789854652541</v>
      </c>
      <c r="AE89" s="27">
        <f t="shared" si="51"/>
        <v>11.17070369742777</v>
      </c>
      <c r="AF89" s="27">
        <f t="shared" si="52"/>
        <v>10.803282981881086</v>
      </c>
      <c r="AG89" s="27">
        <f t="shared" si="53"/>
        <v>11.424782637222441</v>
      </c>
      <c r="AH89" s="27">
        <f t="shared" si="54"/>
        <v>9.3080461346247052</v>
      </c>
      <c r="AI89" s="27">
        <f t="shared" si="55"/>
        <v>7.709490909808852</v>
      </c>
      <c r="AJ89" s="27">
        <f t="shared" si="56"/>
        <v>8.1582121619336032</v>
      </c>
      <c r="AK89" s="27">
        <f t="shared" si="57"/>
        <v>9.0845106735901204</v>
      </c>
      <c r="AL89" s="27">
        <f t="shared" si="58"/>
        <v>10.303659141326818</v>
      </c>
      <c r="AM89" s="27">
        <f t="shared" si="59"/>
        <v>9.1215887179461426</v>
      </c>
      <c r="AN89" s="27">
        <f t="shared" si="60"/>
        <v>8.9043585423529681</v>
      </c>
      <c r="AO89" s="27">
        <f t="shared" si="61"/>
        <v>8.5420809069240171</v>
      </c>
      <c r="AP89" s="27">
        <f t="shared" si="62"/>
        <v>10.847976938768962</v>
      </c>
      <c r="AQ89" s="27">
        <f t="shared" si="63"/>
        <v>12.055156728212845</v>
      </c>
      <c r="AR89" s="27">
        <f t="shared" si="64"/>
        <v>7.7935698960121602</v>
      </c>
      <c r="AS89" s="19"/>
      <c r="AT89" s="29">
        <f t="shared" si="65"/>
        <v>1.9400476791702204E-3</v>
      </c>
      <c r="AU89" s="29">
        <f t="shared" si="66"/>
        <v>7.2870484143034986E-3</v>
      </c>
      <c r="AV89" s="29">
        <f t="shared" si="67"/>
        <v>2.9714711533507909E-2</v>
      </c>
      <c r="AW89" s="29">
        <f t="shared" si="68"/>
        <v>3.3783689875892975E-2</v>
      </c>
      <c r="AX89" s="29">
        <f t="shared" si="69"/>
        <v>4.7709001808140528E-3</v>
      </c>
      <c r="AY89" s="29">
        <f t="shared" si="70"/>
        <v>9.8307727831272729E-3</v>
      </c>
      <c r="AZ89" s="29">
        <f t="shared" si="71"/>
        <v>1.1023505719784055E-2</v>
      </c>
      <c r="BA89" s="29">
        <f t="shared" si="72"/>
        <v>5.8826088600643089E-3</v>
      </c>
      <c r="BB89" s="29">
        <f t="shared" si="73"/>
        <v>5.3209507516989163E-3</v>
      </c>
      <c r="BC89" s="29">
        <f t="shared" si="74"/>
        <v>8.7402674396113156E-3</v>
      </c>
      <c r="BD89" s="29">
        <f t="shared" si="75"/>
        <v>1.2505516433204633E-2</v>
      </c>
      <c r="BE89" s="29">
        <f t="shared" si="76"/>
        <v>2.3195924576776328E-2</v>
      </c>
      <c r="BF89" s="29">
        <f t="shared" si="77"/>
        <v>9.1906060232354037E-3</v>
      </c>
      <c r="BG89" s="29">
        <f t="shared" si="78"/>
        <v>7.0162149473667057E-3</v>
      </c>
      <c r="BH89" s="29">
        <f t="shared" si="79"/>
        <v>8.8344115679053203E-3</v>
      </c>
      <c r="BI89" s="29">
        <f t="shared" si="80"/>
        <v>2.5872750358487906E-2</v>
      </c>
      <c r="BJ89" s="29">
        <f t="shared" si="81"/>
        <v>6.6762288987440854E-3</v>
      </c>
      <c r="BK89" s="29">
        <f t="shared" si="82"/>
        <v>1.5927974136307199E-2</v>
      </c>
      <c r="BL89" s="29">
        <f t="shared" si="83"/>
        <v>4.7946765796638147E-3</v>
      </c>
      <c r="BM89" s="29">
        <f t="shared" si="84"/>
        <v>1.8076863585353209E-2</v>
      </c>
      <c r="BN89" s="29">
        <f t="shared" si="85"/>
        <v>1.4818366350679568E-2</v>
      </c>
      <c r="BO89" s="20"/>
      <c r="BP89" s="19"/>
      <c r="BR89" s="19"/>
      <c r="BS89" s="19"/>
      <c r="BT89" s="19"/>
      <c r="BU89" s="19"/>
      <c r="BW89" s="19"/>
      <c r="BX89" s="20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20"/>
      <c r="CO89" s="19"/>
      <c r="CP89" s="20"/>
      <c r="DG89" s="24"/>
      <c r="DO89" s="24"/>
      <c r="EE89" s="24"/>
      <c r="EF89" s="20"/>
      <c r="GH89" s="24"/>
      <c r="GI89" s="19"/>
      <c r="GJ89" s="22"/>
    </row>
    <row r="90" spans="1:192" x14ac:dyDescent="0.25">
      <c r="A90" s="18">
        <v>1958</v>
      </c>
      <c r="B90" s="19">
        <v>6987.3580000000002</v>
      </c>
      <c r="C90" s="19">
        <v>9052.7070000000003</v>
      </c>
      <c r="D90" s="19">
        <v>67533.213000000003</v>
      </c>
      <c r="E90" s="19">
        <v>17462.004000000001</v>
      </c>
      <c r="F90" s="19">
        <v>4515.1319999999996</v>
      </c>
      <c r="G90" s="19">
        <v>4359.8</v>
      </c>
      <c r="H90" s="19">
        <v>45654</v>
      </c>
      <c r="I90" s="19">
        <v>71488.167000000001</v>
      </c>
      <c r="J90" s="19">
        <v>49476</v>
      </c>
      <c r="K90" s="21">
        <v>92388.771999999997</v>
      </c>
      <c r="L90" s="19">
        <v>11186.875</v>
      </c>
      <c r="M90" s="19">
        <v>2281.5329999999999</v>
      </c>
      <c r="N90" s="19">
        <v>3522.9929999999999</v>
      </c>
      <c r="O90" s="19">
        <v>8888.5499999999993</v>
      </c>
      <c r="P90" s="19">
        <v>30106.187999999998</v>
      </c>
      <c r="Q90" s="21">
        <v>9387.7569999999996</v>
      </c>
      <c r="R90" s="19">
        <v>7409</v>
      </c>
      <c r="S90" s="19">
        <v>5199</v>
      </c>
      <c r="T90" s="19">
        <v>51652</v>
      </c>
      <c r="U90" s="19">
        <v>174882</v>
      </c>
      <c r="V90" s="19">
        <v>2460.4110000000001</v>
      </c>
      <c r="W90" s="20"/>
      <c r="X90" s="27">
        <f t="shared" si="44"/>
        <v>8.8518577952532826</v>
      </c>
      <c r="Y90" s="27">
        <f t="shared" si="45"/>
        <v>9.1108191079897924</v>
      </c>
      <c r="Z90" s="27">
        <f t="shared" si="46"/>
        <v>11.120374800290893</v>
      </c>
      <c r="AA90" s="27">
        <f t="shared" si="47"/>
        <v>9.7677825994395615</v>
      </c>
      <c r="AB90" s="27">
        <f t="shared" si="48"/>
        <v>8.4151897013041239</v>
      </c>
      <c r="AC90" s="27">
        <f t="shared" si="49"/>
        <v>8.380181463731315</v>
      </c>
      <c r="AD90" s="27">
        <f t="shared" si="50"/>
        <v>10.728846505404578</v>
      </c>
      <c r="AE90" s="27">
        <f t="shared" si="51"/>
        <v>11.177287218482546</v>
      </c>
      <c r="AF90" s="27">
        <f t="shared" si="52"/>
        <v>10.809242982494901</v>
      </c>
      <c r="AG90" s="27">
        <f t="shared" si="53"/>
        <v>11.433760735094696</v>
      </c>
      <c r="AH90" s="27">
        <f t="shared" si="54"/>
        <v>9.3224964951007649</v>
      </c>
      <c r="AI90" s="27">
        <f t="shared" si="55"/>
        <v>7.7326028644311622</v>
      </c>
      <c r="AJ90" s="27">
        <f t="shared" si="56"/>
        <v>8.1670661913963176</v>
      </c>
      <c r="AK90" s="27">
        <f t="shared" si="57"/>
        <v>9.0925192105930233</v>
      </c>
      <c r="AL90" s="27">
        <f t="shared" si="58"/>
        <v>10.312486011003356</v>
      </c>
      <c r="AM90" s="27">
        <f t="shared" si="59"/>
        <v>9.1471616725285436</v>
      </c>
      <c r="AN90" s="27">
        <f t="shared" si="60"/>
        <v>8.9104507564166564</v>
      </c>
      <c r="AO90" s="27">
        <f t="shared" si="61"/>
        <v>8.556221578383715</v>
      </c>
      <c r="AP90" s="27">
        <f t="shared" si="62"/>
        <v>10.852284195966542</v>
      </c>
      <c r="AQ90" s="27">
        <f t="shared" si="63"/>
        <v>12.07186673975851</v>
      </c>
      <c r="AR90" s="27">
        <f t="shared" si="64"/>
        <v>7.8080836881419726</v>
      </c>
      <c r="AS90" s="19"/>
      <c r="AT90" s="29">
        <f t="shared" si="65"/>
        <v>3.081442146292801E-3</v>
      </c>
      <c r="AU90" s="29">
        <f t="shared" si="66"/>
        <v>7.0498730667800658E-3</v>
      </c>
      <c r="AV90" s="29">
        <f t="shared" si="67"/>
        <v>2.9788447032828458E-2</v>
      </c>
      <c r="AW90" s="29">
        <f t="shared" si="68"/>
        <v>2.6216860592693791E-2</v>
      </c>
      <c r="AX90" s="29">
        <f t="shared" si="69"/>
        <v>6.0649107820758275E-3</v>
      </c>
      <c r="AY90" s="29">
        <f t="shared" si="70"/>
        <v>8.245284972216993E-3</v>
      </c>
      <c r="AZ90" s="29">
        <f t="shared" si="71"/>
        <v>1.10566507520371E-2</v>
      </c>
      <c r="BA90" s="29">
        <f t="shared" si="72"/>
        <v>6.583521054775332E-3</v>
      </c>
      <c r="BB90" s="29">
        <f t="shared" si="73"/>
        <v>5.9600006138147421E-3</v>
      </c>
      <c r="BC90" s="29">
        <f t="shared" si="74"/>
        <v>8.9780978722551197E-3</v>
      </c>
      <c r="BD90" s="29">
        <f t="shared" si="75"/>
        <v>1.4450360476059743E-2</v>
      </c>
      <c r="BE90" s="29">
        <f t="shared" si="76"/>
        <v>2.3111954622310193E-2</v>
      </c>
      <c r="BF90" s="29">
        <f t="shared" si="77"/>
        <v>8.8540294627144078E-3</v>
      </c>
      <c r="BG90" s="29">
        <f t="shared" si="78"/>
        <v>8.0085370029028269E-3</v>
      </c>
      <c r="BH90" s="29">
        <f t="shared" si="79"/>
        <v>8.8268696765378962E-3</v>
      </c>
      <c r="BI90" s="29">
        <f t="shared" si="80"/>
        <v>2.5572954582401053E-2</v>
      </c>
      <c r="BJ90" s="29">
        <f t="shared" si="81"/>
        <v>6.0922140636883171E-3</v>
      </c>
      <c r="BK90" s="29">
        <f t="shared" si="82"/>
        <v>1.4140671459697884E-2</v>
      </c>
      <c r="BL90" s="29">
        <f t="shared" si="83"/>
        <v>4.3072571975795171E-3</v>
      </c>
      <c r="BM90" s="29">
        <f t="shared" si="84"/>
        <v>1.6710011545665537E-2</v>
      </c>
      <c r="BN90" s="29">
        <f t="shared" si="85"/>
        <v>1.4513792129812408E-2</v>
      </c>
      <c r="BO90" s="20"/>
      <c r="BP90" s="19"/>
      <c r="BR90" s="19"/>
      <c r="BS90" s="19"/>
      <c r="BT90" s="19"/>
      <c r="BU90" s="19"/>
      <c r="BW90" s="19"/>
      <c r="BX90" s="20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20"/>
      <c r="CO90" s="19"/>
      <c r="CP90" s="20"/>
      <c r="DG90" s="24"/>
      <c r="DO90" s="24"/>
      <c r="EE90" s="24"/>
      <c r="EF90" s="20"/>
      <c r="GH90" s="24"/>
      <c r="GI90" s="19"/>
      <c r="GJ90" s="22"/>
    </row>
    <row r="91" spans="1:192" x14ac:dyDescent="0.25">
      <c r="A91" s="18">
        <v>1959</v>
      </c>
      <c r="B91" s="19">
        <v>7014.3310000000001</v>
      </c>
      <c r="C91" s="19">
        <v>9103.7289999999994</v>
      </c>
      <c r="D91" s="19">
        <v>69580.327999999994</v>
      </c>
      <c r="E91" s="19">
        <v>17872.034</v>
      </c>
      <c r="F91" s="19">
        <v>4546.6360000000004</v>
      </c>
      <c r="G91" s="19">
        <v>4394.7</v>
      </c>
      <c r="H91" s="19">
        <v>46129</v>
      </c>
      <c r="I91" s="19">
        <v>72013.853000000003</v>
      </c>
      <c r="J91" s="19">
        <v>49832</v>
      </c>
      <c r="K91" s="21">
        <v>93296.566000000006</v>
      </c>
      <c r="L91" s="19">
        <v>11347.638999999999</v>
      </c>
      <c r="M91" s="19">
        <v>2331.1219999999998</v>
      </c>
      <c r="N91" s="19">
        <v>3552.8510000000001</v>
      </c>
      <c r="O91" s="19">
        <v>8961.5499999999993</v>
      </c>
      <c r="P91" s="19">
        <v>30372.877</v>
      </c>
      <c r="Q91" s="21">
        <v>9639.5879999999997</v>
      </c>
      <c r="R91" s="19">
        <v>7446</v>
      </c>
      <c r="S91" s="19">
        <v>5259</v>
      </c>
      <c r="T91" s="19">
        <v>51956</v>
      </c>
      <c r="U91" s="19">
        <v>177830</v>
      </c>
      <c r="V91" s="19">
        <v>2495.0219999999999</v>
      </c>
      <c r="W91" s="20"/>
      <c r="X91" s="27">
        <f t="shared" si="44"/>
        <v>8.8557106209182699</v>
      </c>
      <c r="Y91" s="27">
        <f t="shared" si="45"/>
        <v>9.1164393887877377</v>
      </c>
      <c r="Z91" s="27">
        <f t="shared" si="46"/>
        <v>11.150237162693097</v>
      </c>
      <c r="AA91" s="27">
        <f t="shared" si="47"/>
        <v>9.7909924237243615</v>
      </c>
      <c r="AB91" s="27">
        <f t="shared" si="48"/>
        <v>8.4221428978385617</v>
      </c>
      <c r="AC91" s="27">
        <f t="shared" si="49"/>
        <v>8.3881545484038345</v>
      </c>
      <c r="AD91" s="27">
        <f t="shared" si="50"/>
        <v>10.739197098449999</v>
      </c>
      <c r="AE91" s="27">
        <f t="shared" si="51"/>
        <v>11.184613782268929</v>
      </c>
      <c r="AF91" s="27">
        <f t="shared" si="52"/>
        <v>10.816412626933982</v>
      </c>
      <c r="AG91" s="27">
        <f t="shared" si="53"/>
        <v>11.443538580155934</v>
      </c>
      <c r="AH91" s="27">
        <f t="shared" si="54"/>
        <v>9.3367649836497364</v>
      </c>
      <c r="AI91" s="27">
        <f t="shared" si="55"/>
        <v>7.7541049757185068</v>
      </c>
      <c r="AJ91" s="27">
        <f t="shared" si="56"/>
        <v>8.1755056587498913</v>
      </c>
      <c r="AK91" s="27">
        <f t="shared" si="57"/>
        <v>9.1006984820791743</v>
      </c>
      <c r="AL91" s="27">
        <f t="shared" si="58"/>
        <v>10.321305285196104</v>
      </c>
      <c r="AM91" s="27">
        <f t="shared" si="59"/>
        <v>9.1736336481020597</v>
      </c>
      <c r="AN91" s="27">
        <f t="shared" si="60"/>
        <v>8.9154322544326625</v>
      </c>
      <c r="AO91" s="27">
        <f t="shared" si="61"/>
        <v>8.5676961735893435</v>
      </c>
      <c r="AP91" s="27">
        <f t="shared" si="62"/>
        <v>10.858152485527174</v>
      </c>
      <c r="AQ91" s="27">
        <f t="shared" si="63"/>
        <v>12.088583316737706</v>
      </c>
      <c r="AR91" s="27">
        <f t="shared" si="64"/>
        <v>7.8220528257820146</v>
      </c>
      <c r="AS91" s="19"/>
      <c r="AT91" s="29">
        <f t="shared" si="65"/>
        <v>3.8528256649872361E-3</v>
      </c>
      <c r="AU91" s="29">
        <f t="shared" si="66"/>
        <v>5.6202807979452984E-3</v>
      </c>
      <c r="AV91" s="29">
        <f t="shared" si="67"/>
        <v>2.9862362402203857E-2</v>
      </c>
      <c r="AW91" s="29">
        <f t="shared" si="68"/>
        <v>2.3209824284800007E-2</v>
      </c>
      <c r="AX91" s="29">
        <f t="shared" si="69"/>
        <v>6.9531965344378222E-3</v>
      </c>
      <c r="AY91" s="29">
        <f t="shared" si="70"/>
        <v>7.9730846725194482E-3</v>
      </c>
      <c r="AZ91" s="29">
        <f t="shared" si="71"/>
        <v>1.0350593045421519E-2</v>
      </c>
      <c r="BA91" s="29">
        <f t="shared" si="72"/>
        <v>7.3265637863837441E-3</v>
      </c>
      <c r="BB91" s="29">
        <f t="shared" si="73"/>
        <v>7.1696444390809688E-3</v>
      </c>
      <c r="BC91" s="29">
        <f t="shared" si="74"/>
        <v>9.777845061238466E-3</v>
      </c>
      <c r="BD91" s="29">
        <f t="shared" si="75"/>
        <v>1.4268488548971447E-2</v>
      </c>
      <c r="BE91" s="29">
        <f t="shared" si="76"/>
        <v>2.1502111287344583E-2</v>
      </c>
      <c r="BF91" s="29">
        <f t="shared" si="77"/>
        <v>8.4394673535737041E-3</v>
      </c>
      <c r="BG91" s="29">
        <f t="shared" si="78"/>
        <v>8.1792714861510518E-3</v>
      </c>
      <c r="BH91" s="29">
        <f t="shared" si="79"/>
        <v>8.8192741927475282E-3</v>
      </c>
      <c r="BI91" s="29">
        <f t="shared" si="80"/>
        <v>2.6471975573516104E-2</v>
      </c>
      <c r="BJ91" s="29">
        <f t="shared" si="81"/>
        <v>4.981498016006114E-3</v>
      </c>
      <c r="BK91" s="29">
        <f t="shared" si="82"/>
        <v>1.1474595205628546E-2</v>
      </c>
      <c r="BL91" s="29">
        <f t="shared" si="83"/>
        <v>5.8682895606327889E-3</v>
      </c>
      <c r="BM91" s="29">
        <f t="shared" si="84"/>
        <v>1.6716576979195708E-2</v>
      </c>
      <c r="BN91" s="29">
        <f t="shared" si="85"/>
        <v>1.3969137640041929E-2</v>
      </c>
      <c r="BO91" s="20"/>
      <c r="BP91" s="19"/>
      <c r="BR91" s="19"/>
      <c r="BS91" s="19"/>
      <c r="BT91" s="19"/>
      <c r="BU91" s="19"/>
      <c r="BW91" s="19"/>
      <c r="BX91" s="20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20"/>
      <c r="CO91" s="19"/>
      <c r="CP91" s="20"/>
      <c r="DG91" s="24"/>
      <c r="DO91" s="24"/>
      <c r="EE91" s="24"/>
      <c r="EF91" s="20"/>
      <c r="GH91" s="24"/>
      <c r="GI91" s="19"/>
      <c r="GJ91" s="22"/>
    </row>
    <row r="92" spans="1:192" x14ac:dyDescent="0.25">
      <c r="A92" s="18">
        <v>1960</v>
      </c>
      <c r="B92" s="19">
        <v>7047.4369999999999</v>
      </c>
      <c r="C92" s="19">
        <v>9118.7000000000007</v>
      </c>
      <c r="D92" s="19">
        <v>71694.81</v>
      </c>
      <c r="E92" s="19">
        <v>18266.764999999999</v>
      </c>
      <c r="F92" s="19">
        <v>4581</v>
      </c>
      <c r="G92" s="19">
        <v>4429.6000000000004</v>
      </c>
      <c r="H92" s="19">
        <v>46584</v>
      </c>
      <c r="I92" s="19">
        <v>72480.869000000006</v>
      </c>
      <c r="J92" s="19">
        <v>50197.599999999999</v>
      </c>
      <c r="K92" s="21">
        <v>94091.638000000006</v>
      </c>
      <c r="L92" s="19">
        <v>11486</v>
      </c>
      <c r="M92" s="19">
        <v>2371.7460000000001</v>
      </c>
      <c r="N92" s="19">
        <v>3581.239</v>
      </c>
      <c r="O92" s="19">
        <v>9036.7000000000007</v>
      </c>
      <c r="P92" s="19">
        <v>30641.187000000002</v>
      </c>
      <c r="Q92" s="21">
        <v>9913.4889999999996</v>
      </c>
      <c r="R92" s="19">
        <v>7480</v>
      </c>
      <c r="S92" s="19">
        <v>5362</v>
      </c>
      <c r="T92" s="19">
        <v>52372</v>
      </c>
      <c r="U92" s="19">
        <v>180671</v>
      </c>
      <c r="V92" s="19">
        <v>2530.9690000000001</v>
      </c>
      <c r="W92" s="20"/>
      <c r="X92" s="27">
        <f t="shared" si="44"/>
        <v>8.8604192836081204</v>
      </c>
      <c r="Y92" s="27">
        <f t="shared" si="45"/>
        <v>9.1180825290483867</v>
      </c>
      <c r="Z92" s="27">
        <f t="shared" si="46"/>
        <v>11.180173639030556</v>
      </c>
      <c r="AA92" s="27">
        <f t="shared" si="47"/>
        <v>9.812838567465187</v>
      </c>
      <c r="AB92" s="27">
        <f t="shared" si="48"/>
        <v>8.4296725938867425</v>
      </c>
      <c r="AC92" s="27">
        <f t="shared" si="49"/>
        <v>8.3960645655087571</v>
      </c>
      <c r="AD92" s="27">
        <f t="shared" si="50"/>
        <v>10.749012413516956</v>
      </c>
      <c r="AE92" s="27">
        <f t="shared" si="51"/>
        <v>11.191077930159336</v>
      </c>
      <c r="AF92" s="27">
        <f t="shared" si="52"/>
        <v>10.823722495772005</v>
      </c>
      <c r="AG92" s="27">
        <f t="shared" si="53"/>
        <v>11.452024458713133</v>
      </c>
      <c r="AH92" s="27">
        <f t="shared" si="54"/>
        <v>9.3488841814242427</v>
      </c>
      <c r="AI92" s="27">
        <f t="shared" si="55"/>
        <v>7.7713816717531703</v>
      </c>
      <c r="AJ92" s="27">
        <f t="shared" si="56"/>
        <v>8.1834641089051043</v>
      </c>
      <c r="AK92" s="27">
        <f t="shared" si="57"/>
        <v>9.109049342493563</v>
      </c>
      <c r="AL92" s="27">
        <f t="shared" si="58"/>
        <v>10.330100363313022</v>
      </c>
      <c r="AM92" s="27">
        <f t="shared" si="59"/>
        <v>9.2016516339799779</v>
      </c>
      <c r="AN92" s="27">
        <f t="shared" si="60"/>
        <v>8.9199880709685235</v>
      </c>
      <c r="AO92" s="27">
        <f t="shared" si="61"/>
        <v>8.5870923187959054</v>
      </c>
      <c r="AP92" s="27">
        <f t="shared" si="62"/>
        <v>10.866127376347643</v>
      </c>
      <c r="AQ92" s="27">
        <f t="shared" si="63"/>
        <v>12.104432976705885</v>
      </c>
      <c r="AR92" s="27">
        <f t="shared" si="64"/>
        <v>7.8363575123468436</v>
      </c>
      <c r="AS92" s="19"/>
      <c r="AT92" s="29">
        <f t="shared" si="65"/>
        <v>4.7086626898504846E-3</v>
      </c>
      <c r="AU92" s="29">
        <f t="shared" si="66"/>
        <v>1.6431402606489343E-3</v>
      </c>
      <c r="AV92" s="29">
        <f t="shared" si="67"/>
        <v>2.9936476337459439E-2</v>
      </c>
      <c r="AW92" s="29">
        <f t="shared" si="68"/>
        <v>2.1846143740825497E-2</v>
      </c>
      <c r="AX92" s="29">
        <f t="shared" si="69"/>
        <v>7.5296960481807673E-3</v>
      </c>
      <c r="AY92" s="29">
        <f t="shared" si="70"/>
        <v>7.9100171049226731E-3</v>
      </c>
      <c r="AZ92" s="29">
        <f t="shared" si="71"/>
        <v>9.8153150669570977E-3</v>
      </c>
      <c r="BA92" s="29">
        <f t="shared" si="72"/>
        <v>6.464147890406835E-3</v>
      </c>
      <c r="BB92" s="29">
        <f t="shared" si="73"/>
        <v>7.3098688380230925E-3</v>
      </c>
      <c r="BC92" s="29">
        <f t="shared" si="74"/>
        <v>8.4858785571988449E-3</v>
      </c>
      <c r="BD92" s="29">
        <f t="shared" si="75"/>
        <v>1.2119197774506318E-2</v>
      </c>
      <c r="BE92" s="29">
        <f t="shared" si="76"/>
        <v>1.727669603466353E-2</v>
      </c>
      <c r="BF92" s="29">
        <f t="shared" si="77"/>
        <v>7.9584501552130149E-3</v>
      </c>
      <c r="BG92" s="29">
        <f t="shared" si="78"/>
        <v>8.3508604143887055E-3</v>
      </c>
      <c r="BH92" s="29">
        <f t="shared" si="79"/>
        <v>8.7950781169183756E-3</v>
      </c>
      <c r="BI92" s="29">
        <f t="shared" si="80"/>
        <v>2.801798587791815E-2</v>
      </c>
      <c r="BJ92" s="29">
        <f t="shared" si="81"/>
        <v>4.5558165358610125E-3</v>
      </c>
      <c r="BK92" s="29">
        <f t="shared" si="82"/>
        <v>1.9396145206561854E-2</v>
      </c>
      <c r="BL92" s="29">
        <f t="shared" si="83"/>
        <v>7.9748908204688718E-3</v>
      </c>
      <c r="BM92" s="29">
        <f t="shared" si="84"/>
        <v>1.5849659968178997E-2</v>
      </c>
      <c r="BN92" s="29">
        <f t="shared" si="85"/>
        <v>1.4304686564829083E-2</v>
      </c>
      <c r="BO92" s="20"/>
      <c r="BP92" s="19"/>
      <c r="BR92" s="19"/>
      <c r="BS92" s="19"/>
      <c r="BT92" s="19"/>
      <c r="BU92" s="19"/>
      <c r="BW92" s="19"/>
      <c r="BX92" s="20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20"/>
      <c r="CO92" s="19"/>
      <c r="CP92" s="20"/>
      <c r="DG92" s="24"/>
      <c r="DO92" s="24"/>
      <c r="EE92" s="24"/>
      <c r="EF92" s="20"/>
      <c r="GH92" s="24"/>
      <c r="GI92" s="19"/>
      <c r="GJ92" s="22"/>
    </row>
    <row r="93" spans="1:192" x14ac:dyDescent="0.25">
      <c r="A93" s="18">
        <v>1961</v>
      </c>
      <c r="B93" s="19">
        <v>7086.299</v>
      </c>
      <c r="C93" s="19">
        <v>9165.7999999999993</v>
      </c>
      <c r="D93" s="19">
        <v>73832.902000000002</v>
      </c>
      <c r="E93" s="19">
        <v>18634.976999999999</v>
      </c>
      <c r="F93" s="19">
        <v>4609.817</v>
      </c>
      <c r="G93" s="19">
        <v>4461.0039999999999</v>
      </c>
      <c r="H93" s="19">
        <v>47128</v>
      </c>
      <c r="I93" s="19">
        <v>73123.148000000001</v>
      </c>
      <c r="J93" s="19">
        <v>50523.199999999997</v>
      </c>
      <c r="K93" s="21">
        <v>94943.293000000005</v>
      </c>
      <c r="L93" s="19">
        <v>11638.713</v>
      </c>
      <c r="M93" s="19">
        <v>2432.4499999999998</v>
      </c>
      <c r="N93" s="19">
        <v>3609.8</v>
      </c>
      <c r="O93" s="19">
        <v>9031.2000000000007</v>
      </c>
      <c r="P93" s="19">
        <v>30903.894</v>
      </c>
      <c r="Q93" s="21">
        <v>10190.59</v>
      </c>
      <c r="R93" s="19">
        <v>7520</v>
      </c>
      <c r="S93" s="19">
        <v>5512</v>
      </c>
      <c r="T93" s="19">
        <v>52807</v>
      </c>
      <c r="U93" s="19">
        <v>183691</v>
      </c>
      <c r="V93" s="19">
        <v>2563.7939999999999</v>
      </c>
      <c r="W93" s="20"/>
      <c r="X93" s="27">
        <f t="shared" si="44"/>
        <v>8.8659184804143951</v>
      </c>
      <c r="Y93" s="27">
        <f t="shared" si="45"/>
        <v>9.1232344450623035</v>
      </c>
      <c r="Z93" s="27">
        <f t="shared" si="46"/>
        <v>11.209559737795697</v>
      </c>
      <c r="AA93" s="27">
        <f t="shared" si="47"/>
        <v>9.8327955776759453</v>
      </c>
      <c r="AB93" s="27">
        <f t="shared" si="48"/>
        <v>8.4359434388904102</v>
      </c>
      <c r="AC93" s="27">
        <f t="shared" si="49"/>
        <v>8.4031291317878036</v>
      </c>
      <c r="AD93" s="27">
        <f t="shared" si="50"/>
        <v>10.760622583201524</v>
      </c>
      <c r="AE93" s="27">
        <f t="shared" si="51"/>
        <v>11.19990025771771</v>
      </c>
      <c r="AF93" s="27">
        <f t="shared" si="52"/>
        <v>10.830187915709445</v>
      </c>
      <c r="AG93" s="27">
        <f t="shared" si="53"/>
        <v>11.461035076568047</v>
      </c>
      <c r="AH93" s="27">
        <f t="shared" si="54"/>
        <v>9.3620921481621373</v>
      </c>
      <c r="AI93" s="27">
        <f t="shared" si="55"/>
        <v>7.7966542588643195</v>
      </c>
      <c r="AJ93" s="27">
        <f t="shared" si="56"/>
        <v>8.1914076481301485</v>
      </c>
      <c r="AK93" s="27">
        <f t="shared" si="57"/>
        <v>9.1084405279473373</v>
      </c>
      <c r="AL93" s="27">
        <f t="shared" si="58"/>
        <v>10.338637474363534</v>
      </c>
      <c r="AM93" s="27">
        <f t="shared" si="59"/>
        <v>9.2292200244425011</v>
      </c>
      <c r="AN93" s="27">
        <f t="shared" si="60"/>
        <v>8.9253214169438859</v>
      </c>
      <c r="AO93" s="27">
        <f t="shared" si="61"/>
        <v>8.6146828126934949</v>
      </c>
      <c r="AP93" s="27">
        <f t="shared" si="62"/>
        <v>10.87439903666454</v>
      </c>
      <c r="AQ93" s="27">
        <f t="shared" si="63"/>
        <v>12.12101027707978</v>
      </c>
      <c r="AR93" s="27">
        <f t="shared" si="64"/>
        <v>7.8492434715991433</v>
      </c>
      <c r="AS93" s="19"/>
      <c r="AT93" s="29">
        <f t="shared" si="65"/>
        <v>5.4991968062747532E-3</v>
      </c>
      <c r="AU93" s="29">
        <f t="shared" si="66"/>
        <v>5.1519160139168463E-3</v>
      </c>
      <c r="AV93" s="29">
        <f t="shared" si="67"/>
        <v>2.9386098765140645E-2</v>
      </c>
      <c r="AW93" s="29">
        <f t="shared" si="68"/>
        <v>1.9957010210758241E-2</v>
      </c>
      <c r="AX93" s="29">
        <f t="shared" si="69"/>
        <v>6.2708450036677021E-3</v>
      </c>
      <c r="AY93" s="29">
        <f t="shared" si="70"/>
        <v>7.0645662790465025E-3</v>
      </c>
      <c r="AZ93" s="29">
        <f t="shared" si="71"/>
        <v>1.161016968456785E-2</v>
      </c>
      <c r="BA93" s="29">
        <f t="shared" si="72"/>
        <v>8.8223275583736438E-3</v>
      </c>
      <c r="BB93" s="29">
        <f t="shared" si="73"/>
        <v>6.4654199374398758E-3</v>
      </c>
      <c r="BC93" s="29">
        <f t="shared" si="74"/>
        <v>9.0106178549138605E-3</v>
      </c>
      <c r="BD93" s="29">
        <f t="shared" si="75"/>
        <v>1.3207966737894594E-2</v>
      </c>
      <c r="BE93" s="29">
        <f t="shared" si="76"/>
        <v>2.5272587111149214E-2</v>
      </c>
      <c r="BF93" s="29">
        <f t="shared" si="77"/>
        <v>7.943539225044205E-3</v>
      </c>
      <c r="BG93" s="29">
        <f t="shared" si="78"/>
        <v>-6.0881454622574438E-4</v>
      </c>
      <c r="BH93" s="29">
        <f t="shared" si="79"/>
        <v>8.53711105051147E-3</v>
      </c>
      <c r="BI93" s="29">
        <f t="shared" si="80"/>
        <v>2.756839046252324E-2</v>
      </c>
      <c r="BJ93" s="29">
        <f t="shared" si="81"/>
        <v>5.3333459753623913E-3</v>
      </c>
      <c r="BK93" s="29">
        <f t="shared" si="82"/>
        <v>2.7590493897589496E-2</v>
      </c>
      <c r="BL93" s="29">
        <f t="shared" si="83"/>
        <v>8.2716603168968561E-3</v>
      </c>
      <c r="BM93" s="29">
        <f t="shared" si="84"/>
        <v>1.6577300373894488E-2</v>
      </c>
      <c r="BN93" s="29">
        <f t="shared" si="85"/>
        <v>1.2885959252299628E-2</v>
      </c>
      <c r="BO93" s="20"/>
      <c r="BP93" s="19"/>
      <c r="BR93" s="19"/>
      <c r="BS93" s="19"/>
      <c r="BT93" s="19"/>
      <c r="BU93" s="19"/>
      <c r="BW93" s="19"/>
      <c r="BX93" s="20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20"/>
      <c r="CO93" s="19"/>
      <c r="CP93" s="20"/>
      <c r="DG93" s="24"/>
      <c r="DO93" s="24"/>
      <c r="EE93" s="24"/>
      <c r="EF93" s="20"/>
      <c r="GH93" s="24"/>
      <c r="GI93" s="19"/>
      <c r="GJ93" s="22"/>
    </row>
    <row r="94" spans="1:192" x14ac:dyDescent="0.25">
      <c r="A94" s="18">
        <v>1962</v>
      </c>
      <c r="B94" s="19">
        <v>7129.8639999999996</v>
      </c>
      <c r="C94" s="19">
        <v>9218.4</v>
      </c>
      <c r="D94" s="19">
        <v>76039.39</v>
      </c>
      <c r="E94" s="19">
        <v>18985.848999999998</v>
      </c>
      <c r="F94" s="19">
        <v>4646.8990000000003</v>
      </c>
      <c r="G94" s="19">
        <v>4491.4430000000002</v>
      </c>
      <c r="H94" s="19">
        <v>48089</v>
      </c>
      <c r="I94" s="19">
        <v>73739.116999999998</v>
      </c>
      <c r="J94" s="19">
        <v>50843.199999999997</v>
      </c>
      <c r="K94" s="21">
        <v>95831.756999999998</v>
      </c>
      <c r="L94" s="19">
        <v>11805.689</v>
      </c>
      <c r="M94" s="19">
        <v>2488.5500000000002</v>
      </c>
      <c r="N94" s="19">
        <v>3638.9189999999999</v>
      </c>
      <c r="O94" s="19">
        <v>9019.7999999999993</v>
      </c>
      <c r="P94" s="19">
        <v>31158.061000000002</v>
      </c>
      <c r="Q94" s="21">
        <v>10465.387000000001</v>
      </c>
      <c r="R94" s="19">
        <v>7562</v>
      </c>
      <c r="S94" s="19">
        <v>5666</v>
      </c>
      <c r="T94" s="19">
        <v>53292</v>
      </c>
      <c r="U94" s="19">
        <v>186538</v>
      </c>
      <c r="V94" s="19">
        <v>2598.4659999999999</v>
      </c>
      <c r="W94" s="20"/>
      <c r="X94" s="27">
        <f t="shared" si="44"/>
        <v>8.8720474388926238</v>
      </c>
      <c r="Y94" s="27">
        <f t="shared" si="45"/>
        <v>9.1289567656998045</v>
      </c>
      <c r="Z94" s="27">
        <f t="shared" si="46"/>
        <v>11.239006774476554</v>
      </c>
      <c r="AA94" s="27">
        <f t="shared" si="47"/>
        <v>9.8514491911814215</v>
      </c>
      <c r="AB94" s="27">
        <f t="shared" si="48"/>
        <v>8.4439553943964469</v>
      </c>
      <c r="AC94" s="27">
        <f t="shared" si="49"/>
        <v>8.4099293099508632</v>
      </c>
      <c r="AD94" s="27">
        <f t="shared" si="50"/>
        <v>10.780808739711565</v>
      </c>
      <c r="AE94" s="27">
        <f t="shared" si="51"/>
        <v>11.208288697211422</v>
      </c>
      <c r="AF94" s="27">
        <f t="shared" si="52"/>
        <v>10.8365016658875</v>
      </c>
      <c r="AG94" s="27">
        <f t="shared" si="53"/>
        <v>11.470349401720499</v>
      </c>
      <c r="AH94" s="27">
        <f t="shared" si="54"/>
        <v>9.3763368129159712</v>
      </c>
      <c r="AI94" s="27">
        <f t="shared" si="55"/>
        <v>7.8194554905219142</v>
      </c>
      <c r="AJ94" s="27">
        <f t="shared" si="56"/>
        <v>8.1994419385021029</v>
      </c>
      <c r="AK94" s="27">
        <f t="shared" si="57"/>
        <v>9.107177439861843</v>
      </c>
      <c r="AL94" s="27">
        <f t="shared" si="58"/>
        <v>10.346828270834115</v>
      </c>
      <c r="AM94" s="27">
        <f t="shared" si="59"/>
        <v>9.2558286146072355</v>
      </c>
      <c r="AN94" s="27">
        <f t="shared" si="60"/>
        <v>8.9308909844508779</v>
      </c>
      <c r="AO94" s="27">
        <f t="shared" si="61"/>
        <v>8.6422386803904612</v>
      </c>
      <c r="AP94" s="27">
        <f t="shared" si="62"/>
        <v>10.883541505080103</v>
      </c>
      <c r="AQ94" s="27">
        <f t="shared" si="63"/>
        <v>12.136390250662318</v>
      </c>
      <c r="AR94" s="27">
        <f t="shared" si="64"/>
        <v>7.8626765498910833</v>
      </c>
      <c r="AS94" s="19"/>
      <c r="AT94" s="29">
        <f t="shared" si="65"/>
        <v>6.1289584782286965E-3</v>
      </c>
      <c r="AU94" s="29">
        <f t="shared" si="66"/>
        <v>5.7223206375009994E-3</v>
      </c>
      <c r="AV94" s="29">
        <f t="shared" si="67"/>
        <v>2.9447036680856797E-2</v>
      </c>
      <c r="AW94" s="29">
        <f t="shared" si="68"/>
        <v>1.865361350547623E-2</v>
      </c>
      <c r="AX94" s="29">
        <f t="shared" si="69"/>
        <v>8.0119555060367276E-3</v>
      </c>
      <c r="AY94" s="29">
        <f t="shared" si="70"/>
        <v>6.8001781630595559E-3</v>
      </c>
      <c r="AZ94" s="29">
        <f t="shared" si="71"/>
        <v>2.0186156510041187E-2</v>
      </c>
      <c r="BA94" s="29">
        <f t="shared" si="72"/>
        <v>8.3884394937125961E-3</v>
      </c>
      <c r="BB94" s="29">
        <f t="shared" si="73"/>
        <v>6.3137501780552441E-3</v>
      </c>
      <c r="BC94" s="29">
        <f t="shared" si="74"/>
        <v>9.3143251524523407E-3</v>
      </c>
      <c r="BD94" s="29">
        <f t="shared" si="75"/>
        <v>1.4244664753833902E-2</v>
      </c>
      <c r="BE94" s="29">
        <f t="shared" si="76"/>
        <v>2.2801231657594734E-2</v>
      </c>
      <c r="BF94" s="29">
        <f t="shared" si="77"/>
        <v>8.0342903719543557E-3</v>
      </c>
      <c r="BG94" s="29">
        <f t="shared" si="78"/>
        <v>-1.2630880854942461E-3</v>
      </c>
      <c r="BH94" s="29">
        <f t="shared" si="79"/>
        <v>8.1907964705809633E-3</v>
      </c>
      <c r="BI94" s="29">
        <f t="shared" si="80"/>
        <v>2.660859016473438E-2</v>
      </c>
      <c r="BJ94" s="29">
        <f t="shared" si="81"/>
        <v>5.5695675069920014E-3</v>
      </c>
      <c r="BK94" s="29">
        <f t="shared" si="82"/>
        <v>2.7555867696966274E-2</v>
      </c>
      <c r="BL94" s="29">
        <f t="shared" si="83"/>
        <v>9.1424684155629876E-3</v>
      </c>
      <c r="BM94" s="29">
        <f t="shared" si="84"/>
        <v>1.5379973582538398E-2</v>
      </c>
      <c r="BN94" s="29">
        <f t="shared" si="85"/>
        <v>1.343307829194007E-2</v>
      </c>
      <c r="BO94" s="20"/>
      <c r="BP94" s="19"/>
      <c r="BR94" s="19"/>
      <c r="BS94" s="19"/>
      <c r="BT94" s="19"/>
      <c r="BU94" s="19"/>
      <c r="BW94" s="19"/>
      <c r="BX94" s="20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20"/>
      <c r="CO94" s="19"/>
      <c r="CP94" s="20"/>
      <c r="DG94" s="24"/>
      <c r="DO94" s="24"/>
      <c r="EE94" s="24"/>
      <c r="EF94" s="20"/>
      <c r="GH94" s="24"/>
      <c r="GI94" s="19"/>
      <c r="GJ94" s="22"/>
    </row>
    <row r="95" spans="1:192" x14ac:dyDescent="0.25">
      <c r="A95" s="18">
        <v>1963</v>
      </c>
      <c r="B95" s="19">
        <v>7175.8109999999997</v>
      </c>
      <c r="C95" s="19">
        <v>9283.1</v>
      </c>
      <c r="D95" s="19">
        <v>78316.597999999998</v>
      </c>
      <c r="E95" s="19">
        <v>19342.841</v>
      </c>
      <c r="F95" s="19">
        <v>4683.5789999999997</v>
      </c>
      <c r="G95" s="19">
        <v>4523.3090000000002</v>
      </c>
      <c r="H95" s="19">
        <v>48799</v>
      </c>
      <c r="I95" s="19">
        <v>74340.259999999995</v>
      </c>
      <c r="J95" s="19">
        <v>51198.3</v>
      </c>
      <c r="K95" s="21">
        <v>96811.94</v>
      </c>
      <c r="L95" s="19">
        <v>11965.966</v>
      </c>
      <c r="M95" s="19">
        <v>2541.35</v>
      </c>
      <c r="N95" s="19">
        <v>3666.54</v>
      </c>
      <c r="O95" s="19">
        <v>9081.6</v>
      </c>
      <c r="P95" s="19">
        <v>31429.833999999999</v>
      </c>
      <c r="Q95" s="21">
        <v>10735.234</v>
      </c>
      <c r="R95" s="19">
        <v>7604</v>
      </c>
      <c r="S95" s="19">
        <v>5789</v>
      </c>
      <c r="T95" s="19">
        <v>53625</v>
      </c>
      <c r="U95" s="19">
        <v>189242</v>
      </c>
      <c r="V95" s="19">
        <v>2632.1109999999999</v>
      </c>
      <c r="W95" s="20"/>
      <c r="X95" s="27">
        <f t="shared" si="44"/>
        <v>8.8784710655991432</v>
      </c>
      <c r="Y95" s="27">
        <f t="shared" si="45"/>
        <v>9.1359508217215293</v>
      </c>
      <c r="Z95" s="27">
        <f t="shared" si="46"/>
        <v>11.268514839080174</v>
      </c>
      <c r="AA95" s="27">
        <f t="shared" si="47"/>
        <v>9.8700776558403955</v>
      </c>
      <c r="AB95" s="27">
        <f t="shared" si="48"/>
        <v>8.4518178402340531</v>
      </c>
      <c r="AC95" s="27">
        <f t="shared" si="49"/>
        <v>8.4169990846327032</v>
      </c>
      <c r="AD95" s="27">
        <f t="shared" si="50"/>
        <v>10.795465099828</v>
      </c>
      <c r="AE95" s="27">
        <f t="shared" si="51"/>
        <v>11.216407941289303</v>
      </c>
      <c r="AF95" s="27">
        <f t="shared" si="52"/>
        <v>10.843461607351363</v>
      </c>
      <c r="AG95" s="27">
        <f t="shared" si="53"/>
        <v>11.480525612765478</v>
      </c>
      <c r="AH95" s="27">
        <f t="shared" si="54"/>
        <v>9.3898217325620195</v>
      </c>
      <c r="AI95" s="27">
        <f t="shared" si="55"/>
        <v>7.8404507148815688</v>
      </c>
      <c r="AJ95" s="27">
        <f t="shared" si="56"/>
        <v>8.207003717061145</v>
      </c>
      <c r="AK95" s="27">
        <f t="shared" si="57"/>
        <v>9.1140056675256691</v>
      </c>
      <c r="AL95" s="27">
        <f t="shared" si="58"/>
        <v>10.355512848199556</v>
      </c>
      <c r="AM95" s="27">
        <f t="shared" si="59"/>
        <v>9.2812865079327871</v>
      </c>
      <c r="AN95" s="27">
        <f t="shared" si="60"/>
        <v>8.9364297036083205</v>
      </c>
      <c r="AO95" s="27">
        <f t="shared" si="61"/>
        <v>8.6637148440790046</v>
      </c>
      <c r="AP95" s="27">
        <f t="shared" si="62"/>
        <v>10.889770656230318</v>
      </c>
      <c r="AQ95" s="27">
        <f t="shared" si="63"/>
        <v>12.150781898279387</v>
      </c>
      <c r="AR95" s="27">
        <f t="shared" si="64"/>
        <v>7.8755414648082205</v>
      </c>
      <c r="AS95" s="19"/>
      <c r="AT95" s="29">
        <f t="shared" si="65"/>
        <v>6.4236267065194141E-3</v>
      </c>
      <c r="AU95" s="29">
        <f t="shared" si="66"/>
        <v>6.9940560217247594E-3</v>
      </c>
      <c r="AV95" s="29">
        <f t="shared" si="67"/>
        <v>2.9508064603620099E-2</v>
      </c>
      <c r="AW95" s="29">
        <f t="shared" si="68"/>
        <v>1.8628464658974053E-2</v>
      </c>
      <c r="AX95" s="29">
        <f t="shared" si="69"/>
        <v>7.8624458376062023E-3</v>
      </c>
      <c r="AY95" s="29">
        <f t="shared" si="70"/>
        <v>7.069774681840002E-3</v>
      </c>
      <c r="AZ95" s="29">
        <f t="shared" si="71"/>
        <v>1.4656360116434897E-2</v>
      </c>
      <c r="BA95" s="29">
        <f t="shared" si="72"/>
        <v>8.1192440778803388E-3</v>
      </c>
      <c r="BB95" s="29">
        <f t="shared" si="73"/>
        <v>6.9599414638634727E-3</v>
      </c>
      <c r="BC95" s="29">
        <f t="shared" si="74"/>
        <v>1.0176211044978345E-2</v>
      </c>
      <c r="BD95" s="29">
        <f t="shared" si="75"/>
        <v>1.3484919646048255E-2</v>
      </c>
      <c r="BE95" s="29">
        <f t="shared" si="76"/>
        <v>2.0995224359654507E-2</v>
      </c>
      <c r="BF95" s="29">
        <f t="shared" si="77"/>
        <v>7.5617785590420539E-3</v>
      </c>
      <c r="BG95" s="29">
        <f t="shared" si="78"/>
        <v>6.8282276638260697E-3</v>
      </c>
      <c r="BH95" s="29">
        <f t="shared" si="79"/>
        <v>8.6845773654413705E-3</v>
      </c>
      <c r="BI95" s="29">
        <f t="shared" si="80"/>
        <v>2.5457893325551595E-2</v>
      </c>
      <c r="BJ95" s="29">
        <f t="shared" si="81"/>
        <v>5.5387191574425287E-3</v>
      </c>
      <c r="BK95" s="29">
        <f t="shared" si="82"/>
        <v>2.1476163688543437E-2</v>
      </c>
      <c r="BL95" s="29">
        <f t="shared" si="83"/>
        <v>6.229151150215273E-3</v>
      </c>
      <c r="BM95" s="29">
        <f t="shared" si="84"/>
        <v>1.4391647617069125E-2</v>
      </c>
      <c r="BN95" s="29">
        <f t="shared" si="85"/>
        <v>1.2864914917137149E-2</v>
      </c>
      <c r="BO95" s="20"/>
      <c r="BP95" s="19"/>
      <c r="BR95" s="19"/>
      <c r="BS95" s="19"/>
      <c r="BT95" s="19"/>
      <c r="BU95" s="19"/>
      <c r="BW95" s="19"/>
      <c r="BX95" s="20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20"/>
      <c r="CO95" s="19"/>
      <c r="CP95" s="20"/>
      <c r="DG95" s="24"/>
      <c r="DO95" s="24"/>
      <c r="EE95" s="24"/>
      <c r="EF95" s="20"/>
      <c r="GH95" s="24"/>
      <c r="GI95" s="19"/>
      <c r="GJ95" s="22"/>
    </row>
    <row r="96" spans="1:192" x14ac:dyDescent="0.25">
      <c r="A96" s="18">
        <v>1964</v>
      </c>
      <c r="B96" s="19">
        <v>7223.8010000000004</v>
      </c>
      <c r="C96" s="19">
        <v>9367</v>
      </c>
      <c r="D96" s="19">
        <v>80666.938999999998</v>
      </c>
      <c r="E96" s="19">
        <v>19711.053</v>
      </c>
      <c r="F96" s="19">
        <v>4720.1710000000003</v>
      </c>
      <c r="G96" s="19">
        <v>4548.5439999999999</v>
      </c>
      <c r="H96" s="19">
        <v>49357</v>
      </c>
      <c r="I96" s="19">
        <v>74954.262000000002</v>
      </c>
      <c r="J96" s="19">
        <v>51600.2</v>
      </c>
      <c r="K96" s="21">
        <v>97826.267000000007</v>
      </c>
      <c r="L96" s="19">
        <v>12127.12</v>
      </c>
      <c r="M96" s="19">
        <v>2591.9499999999998</v>
      </c>
      <c r="N96" s="19">
        <v>3694.3389999999999</v>
      </c>
      <c r="O96" s="19">
        <v>9122.5</v>
      </c>
      <c r="P96" s="19">
        <v>31740.862000000001</v>
      </c>
      <c r="Q96" s="21">
        <v>10995.616</v>
      </c>
      <c r="R96" s="19">
        <v>7661</v>
      </c>
      <c r="S96" s="19">
        <v>5887</v>
      </c>
      <c r="T96" s="19">
        <v>53991</v>
      </c>
      <c r="U96" s="19">
        <v>191889</v>
      </c>
      <c r="V96" s="19">
        <v>2663.61</v>
      </c>
      <c r="W96" s="20"/>
      <c r="X96" s="27">
        <f t="shared" si="44"/>
        <v>8.8851365476520563</v>
      </c>
      <c r="Y96" s="27">
        <f t="shared" si="45"/>
        <v>9.1449481532091301</v>
      </c>
      <c r="Z96" s="27">
        <f t="shared" si="46"/>
        <v>11.298084092498073</v>
      </c>
      <c r="AA96" s="27">
        <f t="shared" si="47"/>
        <v>9.8889348233772534</v>
      </c>
      <c r="AB96" s="27">
        <f t="shared" si="48"/>
        <v>8.4596003067369132</v>
      </c>
      <c r="AC96" s="27">
        <f t="shared" si="49"/>
        <v>8.4225624607340706</v>
      </c>
      <c r="AD96" s="27">
        <f t="shared" si="50"/>
        <v>10.806834878774353</v>
      </c>
      <c r="AE96" s="27">
        <f t="shared" si="51"/>
        <v>11.2246333664904</v>
      </c>
      <c r="AF96" s="27">
        <f t="shared" si="52"/>
        <v>10.851280827431134</v>
      </c>
      <c r="AG96" s="27">
        <f t="shared" si="53"/>
        <v>11.490948398694204</v>
      </c>
      <c r="AH96" s="27">
        <f t="shared" si="54"/>
        <v>9.4031995458828401</v>
      </c>
      <c r="AI96" s="27">
        <f t="shared" si="55"/>
        <v>7.8601657671626519</v>
      </c>
      <c r="AJ96" s="27">
        <f t="shared" si="56"/>
        <v>8.2145569269870844</v>
      </c>
      <c r="AK96" s="27">
        <f t="shared" si="57"/>
        <v>9.1184991683106027</v>
      </c>
      <c r="AL96" s="27">
        <f t="shared" si="58"/>
        <v>10.365360151871675</v>
      </c>
      <c r="AM96" s="27">
        <f t="shared" si="59"/>
        <v>9.3052519268856155</v>
      </c>
      <c r="AN96" s="27">
        <f t="shared" si="60"/>
        <v>8.9438978025168208</v>
      </c>
      <c r="AO96" s="27">
        <f t="shared" si="61"/>
        <v>8.6805018090282609</v>
      </c>
      <c r="AP96" s="27">
        <f t="shared" si="62"/>
        <v>10.896572644989313</v>
      </c>
      <c r="AQ96" s="27">
        <f t="shared" si="63"/>
        <v>12.164672358831224</v>
      </c>
      <c r="AR96" s="27">
        <f t="shared" si="64"/>
        <v>7.8874376245468847</v>
      </c>
      <c r="AS96" s="19"/>
      <c r="AT96" s="29">
        <f t="shared" si="65"/>
        <v>6.6654820529130632E-3</v>
      </c>
      <c r="AU96" s="29">
        <f t="shared" si="66"/>
        <v>8.9973314876008459E-3</v>
      </c>
      <c r="AV96" s="29">
        <f t="shared" si="67"/>
        <v>2.9569253417898622E-2</v>
      </c>
      <c r="AW96" s="29">
        <f t="shared" si="68"/>
        <v>1.8857167536857844E-2</v>
      </c>
      <c r="AX96" s="29">
        <f t="shared" si="69"/>
        <v>7.7824665028600748E-3</v>
      </c>
      <c r="AY96" s="29">
        <f t="shared" si="70"/>
        <v>5.5633761013673677E-3</v>
      </c>
      <c r="AZ96" s="29">
        <f t="shared" si="71"/>
        <v>1.1369778946352938E-2</v>
      </c>
      <c r="BA96" s="29">
        <f t="shared" si="72"/>
        <v>8.2254252010969253E-3</v>
      </c>
      <c r="BB96" s="29">
        <f t="shared" si="73"/>
        <v>7.8192200797708722E-3</v>
      </c>
      <c r="BC96" s="29">
        <f t="shared" si="74"/>
        <v>1.0422785928726697E-2</v>
      </c>
      <c r="BD96" s="29">
        <f t="shared" si="75"/>
        <v>1.3377813320820664E-2</v>
      </c>
      <c r="BE96" s="29">
        <f t="shared" si="76"/>
        <v>1.9715052281083167E-2</v>
      </c>
      <c r="BF96" s="29">
        <f t="shared" si="77"/>
        <v>7.5532099259394414E-3</v>
      </c>
      <c r="BG96" s="29">
        <f t="shared" si="78"/>
        <v>4.4935007849336017E-3</v>
      </c>
      <c r="BH96" s="29">
        <f t="shared" si="79"/>
        <v>9.8473036721191676E-3</v>
      </c>
      <c r="BI96" s="29">
        <f t="shared" si="80"/>
        <v>2.3965418952828443E-2</v>
      </c>
      <c r="BJ96" s="29">
        <f t="shared" si="81"/>
        <v>7.4680989085003091E-3</v>
      </c>
      <c r="BK96" s="29">
        <f t="shared" si="82"/>
        <v>1.6786964949256244E-2</v>
      </c>
      <c r="BL96" s="29">
        <f t="shared" si="83"/>
        <v>6.8019887589940708E-3</v>
      </c>
      <c r="BM96" s="29">
        <f t="shared" si="84"/>
        <v>1.3890460551836625E-2</v>
      </c>
      <c r="BN96" s="29">
        <f t="shared" si="85"/>
        <v>1.1896159738664203E-2</v>
      </c>
      <c r="BO96" s="20"/>
      <c r="BP96" s="19"/>
      <c r="BR96" s="19"/>
      <c r="BS96" s="19"/>
      <c r="BT96" s="19"/>
      <c r="BU96" s="19"/>
      <c r="BW96" s="19"/>
      <c r="BX96" s="20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20"/>
      <c r="CO96" s="19"/>
      <c r="CP96" s="20"/>
      <c r="DG96" s="24"/>
      <c r="DO96" s="24"/>
      <c r="EE96" s="24"/>
      <c r="EF96" s="20"/>
      <c r="GH96" s="24"/>
      <c r="GI96" s="19"/>
      <c r="GJ96" s="22"/>
    </row>
    <row r="97" spans="1:192" x14ac:dyDescent="0.25">
      <c r="A97" s="18">
        <v>1965</v>
      </c>
      <c r="B97" s="19">
        <v>7270.8890000000001</v>
      </c>
      <c r="C97" s="19">
        <v>9448.1</v>
      </c>
      <c r="D97" s="19">
        <v>83092.907999999996</v>
      </c>
      <c r="E97" s="19">
        <v>20071.103999999999</v>
      </c>
      <c r="F97" s="19">
        <v>4758.1000000000004</v>
      </c>
      <c r="G97" s="19">
        <v>4563.732</v>
      </c>
      <c r="H97" s="19">
        <v>49802</v>
      </c>
      <c r="I97" s="19">
        <v>75638.850999999995</v>
      </c>
      <c r="J97" s="19">
        <v>51987.1</v>
      </c>
      <c r="K97" s="21">
        <v>98882.534</v>
      </c>
      <c r="L97" s="19">
        <v>12292</v>
      </c>
      <c r="M97" s="19">
        <v>2640.4</v>
      </c>
      <c r="N97" s="19">
        <v>3723.1529999999998</v>
      </c>
      <c r="O97" s="19">
        <v>9128.85</v>
      </c>
      <c r="P97" s="19">
        <v>32084.510999999999</v>
      </c>
      <c r="Q97" s="21">
        <v>11260.674999999999</v>
      </c>
      <c r="R97" s="19">
        <v>7734</v>
      </c>
      <c r="S97" s="19">
        <v>5943</v>
      </c>
      <c r="T97" s="19">
        <v>54350</v>
      </c>
      <c r="U97" s="19">
        <v>194303</v>
      </c>
      <c r="V97" s="19">
        <v>2693.1329999999998</v>
      </c>
      <c r="W97" s="20"/>
      <c r="X97" s="27">
        <f t="shared" si="44"/>
        <v>8.8916338464078244</v>
      </c>
      <c r="Y97" s="27">
        <f t="shared" si="45"/>
        <v>9.1535689420718214</v>
      </c>
      <c r="Z97" s="27">
        <f t="shared" si="46"/>
        <v>11.327714634241334</v>
      </c>
      <c r="AA97" s="27">
        <f t="shared" si="47"/>
        <v>9.9070364477513699</v>
      </c>
      <c r="AB97" s="27">
        <f t="shared" si="48"/>
        <v>8.4676037078761759</v>
      </c>
      <c r="AC97" s="27">
        <f t="shared" si="49"/>
        <v>8.4258959888371709</v>
      </c>
      <c r="AD97" s="27">
        <f t="shared" si="50"/>
        <v>10.815810422848898</v>
      </c>
      <c r="AE97" s="27">
        <f t="shared" si="51"/>
        <v>11.233725332281557</v>
      </c>
      <c r="AF97" s="27">
        <f t="shared" si="52"/>
        <v>10.858750889864318</v>
      </c>
      <c r="AG97" s="27">
        <f t="shared" si="53"/>
        <v>11.501687899385805</v>
      </c>
      <c r="AH97" s="27">
        <f t="shared" si="54"/>
        <v>9.4167039232503758</v>
      </c>
      <c r="AI97" s="27">
        <f t="shared" si="55"/>
        <v>7.878685699814616</v>
      </c>
      <c r="AJ97" s="27">
        <f t="shared" si="56"/>
        <v>8.2223261689187144</v>
      </c>
      <c r="AK97" s="27">
        <f t="shared" si="57"/>
        <v>9.1191950072766215</v>
      </c>
      <c r="AL97" s="27">
        <f t="shared" si="58"/>
        <v>10.37612866930176</v>
      </c>
      <c r="AM97" s="27">
        <f t="shared" si="59"/>
        <v>9.3290718466109812</v>
      </c>
      <c r="AN97" s="27">
        <f t="shared" si="60"/>
        <v>8.9533814721672424</v>
      </c>
      <c r="AO97" s="27">
        <f t="shared" si="61"/>
        <v>8.6899693353666603</v>
      </c>
      <c r="AP97" s="27">
        <f t="shared" si="62"/>
        <v>10.903199892549356</v>
      </c>
      <c r="AQ97" s="27">
        <f t="shared" si="63"/>
        <v>12.177174075287509</v>
      </c>
      <c r="AR97" s="27">
        <f t="shared" si="64"/>
        <v>7.8984604788924946</v>
      </c>
      <c r="AS97" s="19"/>
      <c r="AT97" s="29">
        <f t="shared" si="65"/>
        <v>6.4972987557680995E-3</v>
      </c>
      <c r="AU97" s="29">
        <f t="shared" si="66"/>
        <v>8.6207888626912421E-3</v>
      </c>
      <c r="AV97" s="29">
        <f t="shared" si="67"/>
        <v>2.9630541743260963E-2</v>
      </c>
      <c r="AW97" s="29">
        <f t="shared" si="68"/>
        <v>1.8101624374116554E-2</v>
      </c>
      <c r="AX97" s="29">
        <f t="shared" si="69"/>
        <v>8.003401139262678E-3</v>
      </c>
      <c r="AY97" s="29">
        <f t="shared" si="70"/>
        <v>3.3335281031003916E-3</v>
      </c>
      <c r="AZ97" s="29">
        <f t="shared" si="71"/>
        <v>8.9755440745449278E-3</v>
      </c>
      <c r="BA97" s="29">
        <f t="shared" si="72"/>
        <v>9.0919657911570084E-3</v>
      </c>
      <c r="BB97" s="29">
        <f t="shared" si="73"/>
        <v>7.4700624331835996E-3</v>
      </c>
      <c r="BC97" s="29">
        <f t="shared" si="74"/>
        <v>1.0739500691601123E-2</v>
      </c>
      <c r="BD97" s="29">
        <f t="shared" si="75"/>
        <v>1.3504377367535625E-2</v>
      </c>
      <c r="BE97" s="29">
        <f t="shared" si="76"/>
        <v>1.8519932651964055E-2</v>
      </c>
      <c r="BF97" s="29">
        <f t="shared" si="77"/>
        <v>7.7692419316299777E-3</v>
      </c>
      <c r="BG97" s="29">
        <f t="shared" si="78"/>
        <v>6.9583896601876916E-4</v>
      </c>
      <c r="BH97" s="29">
        <f t="shared" si="79"/>
        <v>1.0768517430085112E-2</v>
      </c>
      <c r="BI97" s="29">
        <f t="shared" si="80"/>
        <v>2.3819919725365679E-2</v>
      </c>
      <c r="BJ97" s="29">
        <f t="shared" si="81"/>
        <v>9.4836696504216889E-3</v>
      </c>
      <c r="BK97" s="29">
        <f t="shared" si="82"/>
        <v>9.4675263383994235E-3</v>
      </c>
      <c r="BL97" s="29">
        <f t="shared" si="83"/>
        <v>6.6272475600435143E-3</v>
      </c>
      <c r="BM97" s="29">
        <f t="shared" si="84"/>
        <v>1.2501716456284839E-2</v>
      </c>
      <c r="BN97" s="29">
        <f t="shared" si="85"/>
        <v>1.10228543456099E-2</v>
      </c>
      <c r="BO97" s="20"/>
      <c r="BP97" s="19"/>
      <c r="BR97" s="19"/>
      <c r="BS97" s="19"/>
      <c r="BT97" s="19"/>
      <c r="BU97" s="19"/>
      <c r="BW97" s="19"/>
      <c r="BX97" s="20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20"/>
      <c r="CO97" s="19"/>
      <c r="CP97" s="20"/>
      <c r="DG97" s="24"/>
      <c r="DO97" s="24"/>
      <c r="EE97" s="24"/>
      <c r="EF97" s="20"/>
      <c r="GH97" s="24"/>
      <c r="GI97" s="19"/>
      <c r="GJ97" s="22"/>
    </row>
    <row r="98" spans="1:192" x14ac:dyDescent="0.25">
      <c r="A98" s="18">
        <v>1966</v>
      </c>
      <c r="B98" s="19">
        <v>7322.0659999999998</v>
      </c>
      <c r="C98" s="19">
        <v>9507.7999999999993</v>
      </c>
      <c r="D98" s="19">
        <v>85557.441000000006</v>
      </c>
      <c r="E98" s="19">
        <v>20448.495999999999</v>
      </c>
      <c r="F98" s="19">
        <v>4797.5</v>
      </c>
      <c r="G98" s="19">
        <v>4580.8689999999997</v>
      </c>
      <c r="H98" s="19">
        <v>50254</v>
      </c>
      <c r="I98" s="19">
        <v>76206.172999999995</v>
      </c>
      <c r="J98" s="19">
        <v>52331.6</v>
      </c>
      <c r="K98" s="21">
        <v>99790.308000000005</v>
      </c>
      <c r="L98" s="19">
        <v>12454.8</v>
      </c>
      <c r="M98" s="19">
        <v>2687.55</v>
      </c>
      <c r="N98" s="19">
        <v>3753.6280000000002</v>
      </c>
      <c r="O98" s="19">
        <v>9108.7999999999993</v>
      </c>
      <c r="P98" s="19">
        <v>32451.974999999999</v>
      </c>
      <c r="Q98" s="21">
        <v>11533.482</v>
      </c>
      <c r="R98" s="19">
        <v>7808</v>
      </c>
      <c r="S98" s="19">
        <v>5996</v>
      </c>
      <c r="T98" s="19">
        <v>54643</v>
      </c>
      <c r="U98" s="19">
        <v>196560</v>
      </c>
      <c r="V98" s="19">
        <v>2721.2069999999999</v>
      </c>
      <c r="W98" s="20"/>
      <c r="X98" s="27">
        <f t="shared" si="44"/>
        <v>8.8986478075701765</v>
      </c>
      <c r="Y98" s="27">
        <f t="shared" si="45"/>
        <v>9.159867793340883</v>
      </c>
      <c r="Z98" s="27">
        <f t="shared" si="46"/>
        <v>11.35694325391316</v>
      </c>
      <c r="AA98" s="27">
        <f t="shared" si="47"/>
        <v>9.9256646135340905</v>
      </c>
      <c r="AB98" s="27">
        <f t="shared" si="48"/>
        <v>8.475850227881855</v>
      </c>
      <c r="AC98" s="27">
        <f t="shared" si="49"/>
        <v>8.42964399710152</v>
      </c>
      <c r="AD98" s="27">
        <f t="shared" si="50"/>
        <v>10.824845424743302</v>
      </c>
      <c r="AE98" s="27">
        <f t="shared" si="51"/>
        <v>11.241197748892253</v>
      </c>
      <c r="AF98" s="27">
        <f t="shared" si="52"/>
        <v>10.865355674094713</v>
      </c>
      <c r="AG98" s="27">
        <f t="shared" si="53"/>
        <v>11.510826343355207</v>
      </c>
      <c r="AH98" s="27">
        <f t="shared" si="54"/>
        <v>9.4298613697592444</v>
      </c>
      <c r="AI98" s="27">
        <f t="shared" si="55"/>
        <v>7.8963852769140166</v>
      </c>
      <c r="AJ98" s="27">
        <f t="shared" si="56"/>
        <v>8.230478117936876</v>
      </c>
      <c r="AK98" s="27">
        <f t="shared" si="57"/>
        <v>9.1169962581968171</v>
      </c>
      <c r="AL98" s="27">
        <f t="shared" si="58"/>
        <v>10.387516583146114</v>
      </c>
      <c r="AM98" s="27">
        <f t="shared" si="59"/>
        <v>9.3530095624680385</v>
      </c>
      <c r="AN98" s="27">
        <f t="shared" si="60"/>
        <v>8.9629041280929282</v>
      </c>
      <c r="AO98" s="27">
        <f t="shared" si="61"/>
        <v>8.6988478592224876</v>
      </c>
      <c r="AP98" s="27">
        <f t="shared" si="62"/>
        <v>10.908576397569082</v>
      </c>
      <c r="AQ98" s="27">
        <f t="shared" si="63"/>
        <v>12.18872300719506</v>
      </c>
      <c r="AR98" s="27">
        <f t="shared" si="64"/>
        <v>7.9088308108621286</v>
      </c>
      <c r="AS98" s="19"/>
      <c r="AT98" s="29">
        <f t="shared" si="65"/>
        <v>7.0139611623520892E-3</v>
      </c>
      <c r="AU98" s="29">
        <f t="shared" si="66"/>
        <v>6.2988512690616005E-3</v>
      </c>
      <c r="AV98" s="29">
        <f t="shared" si="67"/>
        <v>2.922861967182655E-2</v>
      </c>
      <c r="AW98" s="29">
        <f t="shared" si="68"/>
        <v>1.8628165782720529E-2</v>
      </c>
      <c r="AX98" s="29">
        <f t="shared" si="69"/>
        <v>8.2465200056791588E-3</v>
      </c>
      <c r="AY98" s="29">
        <f t="shared" si="70"/>
        <v>3.7480082643490675E-3</v>
      </c>
      <c r="AZ98" s="29">
        <f t="shared" si="71"/>
        <v>9.0350018944036492E-3</v>
      </c>
      <c r="BA98" s="29">
        <f t="shared" si="72"/>
        <v>7.4724166106960865E-3</v>
      </c>
      <c r="BB98" s="29">
        <f t="shared" si="73"/>
        <v>6.6047842303955662E-3</v>
      </c>
      <c r="BC98" s="29">
        <f t="shared" si="74"/>
        <v>9.1384439694017772E-3</v>
      </c>
      <c r="BD98" s="29">
        <f t="shared" si="75"/>
        <v>1.3157446508868631E-2</v>
      </c>
      <c r="BE98" s="29">
        <f t="shared" si="76"/>
        <v>1.7699577099400621E-2</v>
      </c>
      <c r="BF98" s="29">
        <f t="shared" si="77"/>
        <v>8.1519490181616305E-3</v>
      </c>
      <c r="BG98" s="29">
        <f t="shared" si="78"/>
        <v>-2.1987490798043297E-3</v>
      </c>
      <c r="BH98" s="29">
        <f t="shared" si="79"/>
        <v>1.1387913844354003E-2</v>
      </c>
      <c r="BI98" s="29">
        <f t="shared" si="80"/>
        <v>2.3937715857057285E-2</v>
      </c>
      <c r="BJ98" s="29">
        <f t="shared" si="81"/>
        <v>9.5226559256857968E-3</v>
      </c>
      <c r="BK98" s="29">
        <f t="shared" si="82"/>
        <v>8.878523855827325E-3</v>
      </c>
      <c r="BL98" s="29">
        <f t="shared" si="83"/>
        <v>5.3765050197256414E-3</v>
      </c>
      <c r="BM98" s="29">
        <f t="shared" si="84"/>
        <v>1.1548931907551463E-2</v>
      </c>
      <c r="BN98" s="29">
        <f t="shared" si="85"/>
        <v>1.0370331969633995E-2</v>
      </c>
      <c r="BO98" s="20"/>
      <c r="BP98" s="19"/>
      <c r="BR98" s="19"/>
      <c r="BS98" s="19"/>
      <c r="BT98" s="19"/>
      <c r="BU98" s="19"/>
      <c r="BW98" s="19"/>
      <c r="BX98" s="20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20"/>
      <c r="CO98" s="19"/>
      <c r="CP98" s="20"/>
      <c r="DG98" s="24"/>
      <c r="DO98" s="24"/>
      <c r="EE98" s="24"/>
      <c r="EF98" s="20"/>
      <c r="GH98" s="24"/>
      <c r="GI98" s="19"/>
      <c r="GJ98" s="22"/>
    </row>
    <row r="99" spans="1:192" x14ac:dyDescent="0.25">
      <c r="A99" s="18">
        <v>1967</v>
      </c>
      <c r="B99" s="19">
        <v>7376.9979999999996</v>
      </c>
      <c r="C99" s="19">
        <v>9556.5</v>
      </c>
      <c r="D99" s="19">
        <v>88049.823000000004</v>
      </c>
      <c r="E99" s="19">
        <v>20819.767</v>
      </c>
      <c r="F99" s="19">
        <v>4838.8</v>
      </c>
      <c r="G99" s="19">
        <v>4605.7439999999997</v>
      </c>
      <c r="H99" s="19">
        <v>50650</v>
      </c>
      <c r="I99" s="19">
        <v>76368.452999999994</v>
      </c>
      <c r="J99" s="19">
        <v>52667.1</v>
      </c>
      <c r="K99" s="21">
        <v>100825.27899999999</v>
      </c>
      <c r="L99" s="19">
        <v>12596.822</v>
      </c>
      <c r="M99" s="19">
        <v>2728.15</v>
      </c>
      <c r="N99" s="19">
        <v>3786.0189999999998</v>
      </c>
      <c r="O99" s="19">
        <v>9103</v>
      </c>
      <c r="P99" s="19">
        <v>32850.275000000001</v>
      </c>
      <c r="Q99" s="21">
        <v>11806.781000000001</v>
      </c>
      <c r="R99" s="19">
        <v>7868</v>
      </c>
      <c r="S99" s="19">
        <v>6063</v>
      </c>
      <c r="T99" s="19">
        <v>54959</v>
      </c>
      <c r="U99" s="19">
        <v>198712</v>
      </c>
      <c r="V99" s="19">
        <v>2748.5790000000002</v>
      </c>
      <c r="W99" s="20"/>
      <c r="X99" s="27">
        <f t="shared" si="44"/>
        <v>8.9061220597713469</v>
      </c>
      <c r="Y99" s="27">
        <f t="shared" si="45"/>
        <v>9.1649768302246528</v>
      </c>
      <c r="Z99" s="27">
        <f t="shared" si="46"/>
        <v>11.385658103700866</v>
      </c>
      <c r="AA99" s="27">
        <f t="shared" si="47"/>
        <v>9.9436581509439943</v>
      </c>
      <c r="AB99" s="27">
        <f t="shared" si="48"/>
        <v>8.4844220350856929</v>
      </c>
      <c r="AC99" s="27">
        <f t="shared" si="49"/>
        <v>8.4350594991573438</v>
      </c>
      <c r="AD99" s="27">
        <f t="shared" si="50"/>
        <v>10.832694509676829</v>
      </c>
      <c r="AE99" s="27">
        <f t="shared" si="51"/>
        <v>11.243324971031981</v>
      </c>
      <c r="AF99" s="27">
        <f t="shared" si="52"/>
        <v>10.871746251155248</v>
      </c>
      <c r="AG99" s="27">
        <f t="shared" si="53"/>
        <v>11.521144386908581</v>
      </c>
      <c r="AH99" s="27">
        <f t="shared" si="54"/>
        <v>9.4411998389039731</v>
      </c>
      <c r="AI99" s="27">
        <f t="shared" si="55"/>
        <v>7.9113790027889577</v>
      </c>
      <c r="AJ99" s="27">
        <f t="shared" si="56"/>
        <v>8.2390703502458464</v>
      </c>
      <c r="AK99" s="27">
        <f t="shared" si="57"/>
        <v>9.1163593085052881</v>
      </c>
      <c r="AL99" s="27">
        <f t="shared" si="58"/>
        <v>10.399715395262801</v>
      </c>
      <c r="AM99" s="27">
        <f t="shared" si="59"/>
        <v>9.3764293064162931</v>
      </c>
      <c r="AN99" s="27">
        <f t="shared" si="60"/>
        <v>8.9705591795089497</v>
      </c>
      <c r="AO99" s="27">
        <f t="shared" si="61"/>
        <v>8.7099600060717304</v>
      </c>
      <c r="AP99" s="27">
        <f t="shared" si="62"/>
        <v>10.914342731679753</v>
      </c>
      <c r="AQ99" s="27">
        <f t="shared" si="63"/>
        <v>12.199611819267936</v>
      </c>
      <c r="AR99" s="27">
        <f t="shared" si="64"/>
        <v>7.9188393298383444</v>
      </c>
      <c r="AS99" s="19"/>
      <c r="AT99" s="29">
        <f t="shared" si="65"/>
        <v>7.4742522011703727E-3</v>
      </c>
      <c r="AU99" s="29">
        <f t="shared" si="66"/>
        <v>5.1090368837698463E-3</v>
      </c>
      <c r="AV99" s="29">
        <f t="shared" si="67"/>
        <v>2.8714849787705887E-2</v>
      </c>
      <c r="AW99" s="29">
        <f t="shared" si="68"/>
        <v>1.7993537409903837E-2</v>
      </c>
      <c r="AX99" s="29">
        <f t="shared" si="69"/>
        <v>8.5718072038378779E-3</v>
      </c>
      <c r="AY99" s="29">
        <f t="shared" si="70"/>
        <v>5.415502055823751E-3</v>
      </c>
      <c r="AZ99" s="29">
        <f t="shared" si="71"/>
        <v>7.8490849335270951E-3</v>
      </c>
      <c r="BA99" s="29">
        <f t="shared" si="72"/>
        <v>2.1272221397286017E-3</v>
      </c>
      <c r="BB99" s="29">
        <f t="shared" si="73"/>
        <v>6.3905770605341417E-3</v>
      </c>
      <c r="BC99" s="29">
        <f t="shared" si="74"/>
        <v>1.0318043553374068E-2</v>
      </c>
      <c r="BD99" s="29">
        <f t="shared" si="75"/>
        <v>1.1338469144728691E-2</v>
      </c>
      <c r="BE99" s="29">
        <f t="shared" si="76"/>
        <v>1.4993725874941077E-2</v>
      </c>
      <c r="BF99" s="29">
        <f t="shared" si="77"/>
        <v>8.5922323089704378E-3</v>
      </c>
      <c r="BG99" s="29">
        <f t="shared" si="78"/>
        <v>-6.3694969152905401E-4</v>
      </c>
      <c r="BH99" s="29">
        <f t="shared" si="79"/>
        <v>1.2198812116686497E-2</v>
      </c>
      <c r="BI99" s="29">
        <f t="shared" si="80"/>
        <v>2.3419743948254634E-2</v>
      </c>
      <c r="BJ99" s="29">
        <f t="shared" si="81"/>
        <v>7.6550514160214078E-3</v>
      </c>
      <c r="BK99" s="29">
        <f t="shared" si="82"/>
        <v>1.1112146849242777E-2</v>
      </c>
      <c r="BL99" s="29">
        <f t="shared" si="83"/>
        <v>5.7663341106710675E-3</v>
      </c>
      <c r="BM99" s="29">
        <f t="shared" si="84"/>
        <v>1.0888812072876064E-2</v>
      </c>
      <c r="BN99" s="29">
        <f t="shared" si="85"/>
        <v>1.0008518976215797E-2</v>
      </c>
      <c r="BO99" s="20"/>
      <c r="BP99" s="19"/>
      <c r="BR99" s="19"/>
      <c r="BS99" s="19"/>
      <c r="BT99" s="19"/>
      <c r="BU99" s="19"/>
      <c r="BW99" s="19"/>
      <c r="BX99" s="20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20"/>
      <c r="CO99" s="19"/>
      <c r="CP99" s="20"/>
      <c r="DG99" s="24"/>
      <c r="DO99" s="24"/>
      <c r="EE99" s="24"/>
      <c r="EF99" s="20"/>
      <c r="GH99" s="24"/>
      <c r="GI99" s="19"/>
      <c r="GJ99" s="22"/>
    </row>
    <row r="100" spans="1:192" x14ac:dyDescent="0.25">
      <c r="A100" s="18">
        <v>1968</v>
      </c>
      <c r="B100" s="19">
        <v>7415.4030000000002</v>
      </c>
      <c r="C100" s="19">
        <v>9589.7999999999993</v>
      </c>
      <c r="D100" s="19">
        <v>90569.084000000003</v>
      </c>
      <c r="E100" s="19">
        <v>21143.1</v>
      </c>
      <c r="F100" s="19">
        <v>4867.3</v>
      </c>
      <c r="G100" s="19">
        <v>4626.4690000000001</v>
      </c>
      <c r="H100" s="19">
        <v>51034</v>
      </c>
      <c r="I100" s="19">
        <v>76584.400999999998</v>
      </c>
      <c r="J100" s="19">
        <v>52986.6</v>
      </c>
      <c r="K100" s="21">
        <v>101960.67200000001</v>
      </c>
      <c r="L100" s="19">
        <v>12724.68</v>
      </c>
      <c r="M100" s="19">
        <v>2759</v>
      </c>
      <c r="N100" s="19">
        <v>3818.9830000000002</v>
      </c>
      <c r="O100" s="19">
        <v>9115.0499999999993</v>
      </c>
      <c r="P100" s="19">
        <v>33239.300999999999</v>
      </c>
      <c r="Q100" s="21">
        <v>12085.281000000001</v>
      </c>
      <c r="R100" s="19">
        <v>7912</v>
      </c>
      <c r="S100" s="19">
        <v>6132</v>
      </c>
      <c r="T100" s="19">
        <v>55214</v>
      </c>
      <c r="U100" s="19">
        <v>200706</v>
      </c>
      <c r="V100" s="19">
        <v>2776.607</v>
      </c>
      <c r="W100" s="20"/>
      <c r="X100" s="27">
        <f t="shared" si="44"/>
        <v>8.9113146023871384</v>
      </c>
      <c r="Y100" s="27">
        <f t="shared" si="45"/>
        <v>9.1684553126026636</v>
      </c>
      <c r="Z100" s="27">
        <f t="shared" si="46"/>
        <v>11.41386819759366</v>
      </c>
      <c r="AA100" s="27">
        <f t="shared" si="47"/>
        <v>9.9590688901114568</v>
      </c>
      <c r="AB100" s="27">
        <f t="shared" si="48"/>
        <v>8.490294647547536</v>
      </c>
      <c r="AC100" s="27">
        <f t="shared" si="49"/>
        <v>8.439549221137078</v>
      </c>
      <c r="AD100" s="27">
        <f t="shared" si="50"/>
        <v>10.840247356249623</v>
      </c>
      <c r="AE100" s="27">
        <f t="shared" si="51"/>
        <v>11.246148692693124</v>
      </c>
      <c r="AF100" s="27">
        <f t="shared" si="52"/>
        <v>10.87779433037864</v>
      </c>
      <c r="AG100" s="27">
        <f t="shared" si="53"/>
        <v>11.532342449288262</v>
      </c>
      <c r="AH100" s="27">
        <f t="shared" si="54"/>
        <v>9.4512986937547829</v>
      </c>
      <c r="AI100" s="27">
        <f t="shared" si="55"/>
        <v>7.9226235742172859</v>
      </c>
      <c r="AJ100" s="27">
        <f t="shared" si="56"/>
        <v>8.2477394357885334</v>
      </c>
      <c r="AK100" s="27">
        <f t="shared" si="57"/>
        <v>9.1176821725612403</v>
      </c>
      <c r="AL100" s="27">
        <f t="shared" si="58"/>
        <v>10.411488219867408</v>
      </c>
      <c r="AM100" s="27">
        <f t="shared" si="59"/>
        <v>9.3997435448325071</v>
      </c>
      <c r="AN100" s="27">
        <f t="shared" si="60"/>
        <v>8.9761358733025478</v>
      </c>
      <c r="AO100" s="27">
        <f t="shared" si="61"/>
        <v>8.7212762399917043</v>
      </c>
      <c r="AP100" s="27">
        <f t="shared" si="62"/>
        <v>10.918971823296669</v>
      </c>
      <c r="AQ100" s="27">
        <f t="shared" si="63"/>
        <v>12.20959642970379</v>
      </c>
      <c r="AR100" s="27">
        <f t="shared" si="64"/>
        <v>7.9289849576664571</v>
      </c>
      <c r="AS100" s="19"/>
      <c r="AT100" s="29">
        <f t="shared" si="65"/>
        <v>5.1925426157914956E-3</v>
      </c>
      <c r="AU100" s="29">
        <f t="shared" si="66"/>
        <v>3.4784823780107388E-3</v>
      </c>
      <c r="AV100" s="29">
        <f t="shared" si="67"/>
        <v>2.8210093892793608E-2</v>
      </c>
      <c r="AW100" s="29">
        <f t="shared" si="68"/>
        <v>1.5410739167462495E-2</v>
      </c>
      <c r="AX100" s="29">
        <f t="shared" si="69"/>
        <v>5.8726124618431186E-3</v>
      </c>
      <c r="AY100" s="29">
        <f t="shared" si="70"/>
        <v>4.4897219797341847E-3</v>
      </c>
      <c r="AZ100" s="29">
        <f t="shared" si="71"/>
        <v>7.552846572794536E-3</v>
      </c>
      <c r="BA100" s="29">
        <f t="shared" si="72"/>
        <v>2.8237216611426419E-3</v>
      </c>
      <c r="BB100" s="29">
        <f t="shared" si="73"/>
        <v>6.0480792233921221E-3</v>
      </c>
      <c r="BC100" s="29">
        <f t="shared" si="74"/>
        <v>1.1198062379680351E-2</v>
      </c>
      <c r="BD100" s="29">
        <f t="shared" si="75"/>
        <v>1.0098854850809857E-2</v>
      </c>
      <c r="BE100" s="29">
        <f t="shared" si="76"/>
        <v>1.1244571428328243E-2</v>
      </c>
      <c r="BF100" s="29">
        <f t="shared" si="77"/>
        <v>8.6690855426869717E-3</v>
      </c>
      <c r="BG100" s="29">
        <f t="shared" si="78"/>
        <v>1.3228640559521665E-3</v>
      </c>
      <c r="BH100" s="29">
        <f t="shared" si="79"/>
        <v>1.1772824604607379E-2</v>
      </c>
      <c r="BI100" s="29">
        <f t="shared" si="80"/>
        <v>2.3314238416213939E-2</v>
      </c>
      <c r="BJ100" s="29">
        <f t="shared" si="81"/>
        <v>5.5766937935981531E-3</v>
      </c>
      <c r="BK100" s="29">
        <f t="shared" si="82"/>
        <v>1.1316233919973939E-2</v>
      </c>
      <c r="BL100" s="29">
        <f t="shared" si="83"/>
        <v>4.6290916169162699E-3</v>
      </c>
      <c r="BM100" s="29">
        <f t="shared" si="84"/>
        <v>9.9846104358540799E-3</v>
      </c>
      <c r="BN100" s="29">
        <f t="shared" si="85"/>
        <v>1.014562782811268E-2</v>
      </c>
      <c r="BO100" s="20"/>
      <c r="BP100" s="19"/>
      <c r="BR100" s="19"/>
      <c r="BS100" s="19"/>
      <c r="BT100" s="19"/>
      <c r="BU100" s="19"/>
      <c r="BW100" s="19"/>
      <c r="BX100" s="20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20"/>
      <c r="CO100" s="19"/>
      <c r="CP100" s="20"/>
      <c r="DG100" s="24"/>
      <c r="DO100" s="24"/>
      <c r="EE100" s="24"/>
      <c r="EF100" s="20"/>
      <c r="GH100" s="24"/>
      <c r="GI100" s="19"/>
      <c r="GJ100" s="22"/>
    </row>
    <row r="101" spans="1:192" x14ac:dyDescent="0.25">
      <c r="A101" s="18">
        <v>1969</v>
      </c>
      <c r="B101" s="19">
        <v>7441.0550000000003</v>
      </c>
      <c r="C101" s="19">
        <v>9612.7000000000007</v>
      </c>
      <c r="D101" s="19">
        <v>93114.240999999995</v>
      </c>
      <c r="E101" s="19">
        <v>21448.073</v>
      </c>
      <c r="F101" s="19">
        <v>4890.6869999999999</v>
      </c>
      <c r="G101" s="19">
        <v>4623.7849999999999</v>
      </c>
      <c r="H101" s="19">
        <v>51470</v>
      </c>
      <c r="I101" s="19">
        <v>77143.888000000006</v>
      </c>
      <c r="J101" s="19">
        <v>53317</v>
      </c>
      <c r="K101" s="21">
        <v>103171.83100000001</v>
      </c>
      <c r="L101" s="19">
        <v>12873</v>
      </c>
      <c r="M101" s="19">
        <v>2788.5</v>
      </c>
      <c r="N101" s="19">
        <v>3850.9769999999999</v>
      </c>
      <c r="O101" s="19">
        <v>9097.2000000000007</v>
      </c>
      <c r="P101" s="19">
        <v>33566.084000000003</v>
      </c>
      <c r="Q101" s="21">
        <v>12356.46</v>
      </c>
      <c r="R101" s="19">
        <v>7968</v>
      </c>
      <c r="S101" s="19">
        <v>6212</v>
      </c>
      <c r="T101" s="19">
        <v>55461</v>
      </c>
      <c r="U101" s="19">
        <v>202677</v>
      </c>
      <c r="V101" s="19">
        <v>2801.8589999999999</v>
      </c>
      <c r="W101" s="20"/>
      <c r="X101" s="27">
        <f t="shared" si="44"/>
        <v>8.9147679188495843</v>
      </c>
      <c r="Y101" s="27">
        <f t="shared" si="45"/>
        <v>9.1708404198393261</v>
      </c>
      <c r="Z101" s="27">
        <f t="shared" si="46"/>
        <v>11.441582416121516</v>
      </c>
      <c r="AA101" s="27">
        <f t="shared" si="47"/>
        <v>9.9733900834907558</v>
      </c>
      <c r="AB101" s="27">
        <f t="shared" si="48"/>
        <v>8.4950880633985566</v>
      </c>
      <c r="AC101" s="27">
        <f t="shared" si="49"/>
        <v>8.4389689127314238</v>
      </c>
      <c r="AD101" s="27">
        <f t="shared" si="50"/>
        <v>10.8487543926468</v>
      </c>
      <c r="AE101" s="27">
        <f t="shared" si="51"/>
        <v>11.253427632358823</v>
      </c>
      <c r="AF101" s="27">
        <f t="shared" si="52"/>
        <v>10.884010508643746</v>
      </c>
      <c r="AG101" s="27">
        <f t="shared" si="53"/>
        <v>11.54415113934413</v>
      </c>
      <c r="AH101" s="27">
        <f t="shared" si="54"/>
        <v>9.4628873736596351</v>
      </c>
      <c r="AI101" s="27">
        <f t="shared" si="55"/>
        <v>7.9332590958296088</v>
      </c>
      <c r="AJ101" s="27">
        <f t="shared" si="56"/>
        <v>8.2560821613223911</v>
      </c>
      <c r="AK101" s="27">
        <f t="shared" si="57"/>
        <v>9.115721952850258</v>
      </c>
      <c r="AL101" s="27">
        <f t="shared" si="58"/>
        <v>10.421271431397317</v>
      </c>
      <c r="AM101" s="27">
        <f t="shared" si="59"/>
        <v>9.4219342822221535</v>
      </c>
      <c r="AN101" s="27">
        <f t="shared" si="60"/>
        <v>8.9831887992644344</v>
      </c>
      <c r="AO101" s="27">
        <f t="shared" si="61"/>
        <v>8.7342381842685786</v>
      </c>
      <c r="AP101" s="27">
        <f t="shared" si="62"/>
        <v>10.923435350020556</v>
      </c>
      <c r="AQ101" s="27">
        <f t="shared" si="63"/>
        <v>12.219368857822515</v>
      </c>
      <c r="AR101" s="27">
        <f t="shared" si="64"/>
        <v>7.938038404431655</v>
      </c>
      <c r="AS101" s="19"/>
      <c r="AT101" s="29">
        <f t="shared" si="65"/>
        <v>3.4533164624459545E-3</v>
      </c>
      <c r="AU101" s="29">
        <f t="shared" si="66"/>
        <v>2.3851072366625203E-3</v>
      </c>
      <c r="AV101" s="29">
        <f t="shared" si="67"/>
        <v>2.7714218527856715E-2</v>
      </c>
      <c r="AW101" s="29">
        <f t="shared" si="68"/>
        <v>1.4321193379299046E-2</v>
      </c>
      <c r="AX101" s="29">
        <f t="shared" si="69"/>
        <v>4.7934158510205549E-3</v>
      </c>
      <c r="AY101" s="29">
        <f t="shared" si="70"/>
        <v>-5.8030840565415076E-4</v>
      </c>
      <c r="AZ101" s="29">
        <f t="shared" si="71"/>
        <v>8.5070363971766483E-3</v>
      </c>
      <c r="BA101" s="29">
        <f t="shared" si="72"/>
        <v>7.2789396656993688E-3</v>
      </c>
      <c r="BB101" s="29">
        <f t="shared" si="73"/>
        <v>6.2161782651060093E-3</v>
      </c>
      <c r="BC101" s="29">
        <f t="shared" si="74"/>
        <v>1.1808690055868709E-2</v>
      </c>
      <c r="BD101" s="29">
        <f t="shared" si="75"/>
        <v>1.1588679904852128E-2</v>
      </c>
      <c r="BE101" s="29">
        <f t="shared" si="76"/>
        <v>1.063552161232284E-2</v>
      </c>
      <c r="BF101" s="29">
        <f t="shared" si="77"/>
        <v>8.3427255338577311E-3</v>
      </c>
      <c r="BG101" s="29">
        <f t="shared" si="78"/>
        <v>-1.9602197109822583E-3</v>
      </c>
      <c r="BH101" s="29">
        <f t="shared" si="79"/>
        <v>9.7832115299087974E-3</v>
      </c>
      <c r="BI101" s="29">
        <f t="shared" si="80"/>
        <v>2.2190737389646387E-2</v>
      </c>
      <c r="BJ101" s="29">
        <f t="shared" si="81"/>
        <v>7.0529259618865581E-3</v>
      </c>
      <c r="BK101" s="29">
        <f t="shared" si="82"/>
        <v>1.2961944276874249E-2</v>
      </c>
      <c r="BL101" s="29">
        <f t="shared" si="83"/>
        <v>4.4635267238870568E-3</v>
      </c>
      <c r="BM101" s="29">
        <f t="shared" si="84"/>
        <v>9.7724281187243633E-3</v>
      </c>
      <c r="BN101" s="29">
        <f t="shared" si="85"/>
        <v>9.0534467651979256E-3</v>
      </c>
      <c r="BO101" s="20"/>
      <c r="BP101" s="19"/>
      <c r="BR101" s="19"/>
      <c r="BS101" s="19"/>
      <c r="BT101" s="19"/>
      <c r="BU101" s="19"/>
      <c r="BW101" s="19"/>
      <c r="BX101" s="20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20"/>
      <c r="CO101" s="19"/>
      <c r="CP101" s="20"/>
      <c r="DG101" s="24"/>
      <c r="DO101" s="24"/>
      <c r="EE101" s="24"/>
      <c r="EF101" s="20"/>
      <c r="GH101" s="24"/>
      <c r="GI101" s="19"/>
      <c r="GJ101" s="22"/>
    </row>
    <row r="102" spans="1:192" x14ac:dyDescent="0.25">
      <c r="A102" s="18">
        <v>1970</v>
      </c>
      <c r="B102" s="19">
        <v>7467.0860000000002</v>
      </c>
      <c r="C102" s="19">
        <v>9637.7999999999993</v>
      </c>
      <c r="D102" s="19">
        <v>95684.297000000006</v>
      </c>
      <c r="E102" s="19">
        <v>21749.986000000001</v>
      </c>
      <c r="F102" s="19">
        <v>4928.7569999999996</v>
      </c>
      <c r="G102" s="19">
        <v>4606.3069999999998</v>
      </c>
      <c r="H102" s="19">
        <v>51918</v>
      </c>
      <c r="I102" s="19">
        <v>77783.164000000004</v>
      </c>
      <c r="J102" s="19">
        <v>53661.1</v>
      </c>
      <c r="K102" s="21">
        <v>104344.973</v>
      </c>
      <c r="L102" s="19">
        <v>13032.334999999999</v>
      </c>
      <c r="M102" s="19">
        <v>2828.05</v>
      </c>
      <c r="N102" s="19">
        <v>3877.386</v>
      </c>
      <c r="O102" s="19">
        <v>9044.2000000000007</v>
      </c>
      <c r="P102" s="19">
        <v>33876.478999999999</v>
      </c>
      <c r="Q102" s="21">
        <v>12618.72</v>
      </c>
      <c r="R102" s="19">
        <v>8043</v>
      </c>
      <c r="S102" s="19">
        <v>6267</v>
      </c>
      <c r="T102" s="19">
        <v>55632</v>
      </c>
      <c r="U102" s="19">
        <v>205052</v>
      </c>
      <c r="V102" s="19">
        <v>2823.6590000000001</v>
      </c>
      <c r="W102" s="20"/>
      <c r="X102" s="27">
        <f t="shared" si="44"/>
        <v>8.9182601083123529</v>
      </c>
      <c r="Y102" s="27">
        <f t="shared" si="45"/>
        <v>9.1734481457917756</v>
      </c>
      <c r="Z102" s="27">
        <f t="shared" si="46"/>
        <v>11.468809478293087</v>
      </c>
      <c r="AA102" s="27">
        <f t="shared" si="47"/>
        <v>9.9873683928384622</v>
      </c>
      <c r="AB102" s="27">
        <f t="shared" si="48"/>
        <v>8.5028421054292256</v>
      </c>
      <c r="AC102" s="27">
        <f t="shared" si="49"/>
        <v>8.435181730352264</v>
      </c>
      <c r="AD102" s="27">
        <f t="shared" si="50"/>
        <v>10.857420829834794</v>
      </c>
      <c r="AE102" s="27">
        <f t="shared" si="51"/>
        <v>11.261680285720125</v>
      </c>
      <c r="AF102" s="27">
        <f t="shared" si="52"/>
        <v>10.890443623210428</v>
      </c>
      <c r="AG102" s="27">
        <f t="shared" si="53"/>
        <v>11.55545773693189</v>
      </c>
      <c r="AH102" s="27">
        <f t="shared" si="54"/>
        <v>9.4751888559060617</v>
      </c>
      <c r="AI102" s="27">
        <f t="shared" si="55"/>
        <v>7.9473427071996303</v>
      </c>
      <c r="AJ102" s="27">
        <f t="shared" si="56"/>
        <v>8.2629164942316464</v>
      </c>
      <c r="AK102" s="27">
        <f t="shared" si="57"/>
        <v>9.109878947262148</v>
      </c>
      <c r="AL102" s="27">
        <f t="shared" si="58"/>
        <v>10.430476217745515</v>
      </c>
      <c r="AM102" s="27">
        <f t="shared" si="59"/>
        <v>9.4429367046437598</v>
      </c>
      <c r="AN102" s="27">
        <f t="shared" si="60"/>
        <v>8.9925574269040691</v>
      </c>
      <c r="AO102" s="27">
        <f t="shared" si="61"/>
        <v>8.7430530502246757</v>
      </c>
      <c r="AP102" s="27">
        <f t="shared" si="62"/>
        <v>10.926513854247643</v>
      </c>
      <c r="AQ102" s="27">
        <f t="shared" si="63"/>
        <v>12.231018884491244</v>
      </c>
      <c r="AR102" s="27">
        <f t="shared" si="64"/>
        <v>7.9457888406139636</v>
      </c>
      <c r="AS102" s="19"/>
      <c r="AT102" s="29">
        <f t="shared" si="65"/>
        <v>3.4921894627686356E-3</v>
      </c>
      <c r="AU102" s="29">
        <f t="shared" si="66"/>
        <v>2.6077259524495133E-3</v>
      </c>
      <c r="AV102" s="29">
        <f t="shared" si="67"/>
        <v>2.7227062171570893E-2</v>
      </c>
      <c r="AW102" s="29">
        <f t="shared" si="68"/>
        <v>1.3978309347706386E-2</v>
      </c>
      <c r="AX102" s="29">
        <f t="shared" si="69"/>
        <v>7.7540420306689839E-3</v>
      </c>
      <c r="AY102" s="29">
        <f t="shared" si="70"/>
        <v>-3.7871823791597592E-3</v>
      </c>
      <c r="AZ102" s="29">
        <f t="shared" si="71"/>
        <v>8.6664371879940916E-3</v>
      </c>
      <c r="BA102" s="29">
        <f t="shared" si="72"/>
        <v>8.2526533613016539E-3</v>
      </c>
      <c r="BB102" s="29">
        <f t="shared" si="73"/>
        <v>6.4331145666827183E-3</v>
      </c>
      <c r="BC102" s="29">
        <f t="shared" si="74"/>
        <v>1.1306597587759981E-2</v>
      </c>
      <c r="BD102" s="29">
        <f t="shared" si="75"/>
        <v>1.2301482246426687E-2</v>
      </c>
      <c r="BE102" s="29">
        <f t="shared" si="76"/>
        <v>1.4083611370021565E-2</v>
      </c>
      <c r="BF102" s="29">
        <f t="shared" si="77"/>
        <v>6.8343329092552807E-3</v>
      </c>
      <c r="BG102" s="29">
        <f t="shared" si="78"/>
        <v>-5.8430055881100174E-3</v>
      </c>
      <c r="BH102" s="29">
        <f t="shared" si="79"/>
        <v>9.2047863481976577E-3</v>
      </c>
      <c r="BI102" s="29">
        <f t="shared" si="80"/>
        <v>2.1002422421606326E-2</v>
      </c>
      <c r="BJ102" s="29">
        <f t="shared" si="81"/>
        <v>9.3686276396347523E-3</v>
      </c>
      <c r="BK102" s="29">
        <f t="shared" si="82"/>
        <v>8.814865956097151E-3</v>
      </c>
      <c r="BL102" s="29">
        <f t="shared" si="83"/>
        <v>3.0785042270871088E-3</v>
      </c>
      <c r="BM102" s="29">
        <f t="shared" si="84"/>
        <v>1.1650026668728941E-2</v>
      </c>
      <c r="BN102" s="29">
        <f t="shared" si="85"/>
        <v>7.7504361823086398E-3</v>
      </c>
      <c r="BO102" s="20"/>
      <c r="BP102" s="19"/>
      <c r="BR102" s="19"/>
      <c r="BS102" s="19"/>
      <c r="BT102" s="19"/>
      <c r="BU102" s="19"/>
      <c r="BW102" s="19"/>
      <c r="BX102" s="20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20"/>
      <c r="CO102" s="19"/>
      <c r="CP102" s="20"/>
      <c r="DG102" s="24"/>
      <c r="DO102" s="24"/>
      <c r="EE102" s="24"/>
      <c r="EF102" s="20"/>
      <c r="GH102" s="24"/>
      <c r="GI102" s="19"/>
      <c r="GJ102" s="22"/>
    </row>
    <row r="103" spans="1:192" x14ac:dyDescent="0.25">
      <c r="A103" s="18">
        <v>1971</v>
      </c>
      <c r="B103" s="19">
        <v>7500.482</v>
      </c>
      <c r="C103" s="19">
        <v>9672.5</v>
      </c>
      <c r="D103" s="19">
        <v>98265</v>
      </c>
      <c r="E103" s="19">
        <v>22026.400000000001</v>
      </c>
      <c r="F103" s="19">
        <v>4963.1260000000002</v>
      </c>
      <c r="G103" s="19">
        <v>4612.1239999999998</v>
      </c>
      <c r="H103" s="19">
        <v>52432</v>
      </c>
      <c r="I103" s="19">
        <v>78354.709000000003</v>
      </c>
      <c r="J103" s="19">
        <v>54005.5</v>
      </c>
      <c r="K103" s="21">
        <v>105696.78599999999</v>
      </c>
      <c r="L103" s="19">
        <v>13193.776</v>
      </c>
      <c r="M103" s="19">
        <v>2875.3</v>
      </c>
      <c r="N103" s="19">
        <v>3903.0390000000002</v>
      </c>
      <c r="O103" s="19">
        <v>8990.4500000000007</v>
      </c>
      <c r="P103" s="19">
        <v>34195.055999999997</v>
      </c>
      <c r="Q103" s="21">
        <v>12869.416999999999</v>
      </c>
      <c r="R103" s="19">
        <v>8098</v>
      </c>
      <c r="S103" s="19">
        <v>6343.2929999999997</v>
      </c>
      <c r="T103" s="19">
        <v>55907</v>
      </c>
      <c r="U103" s="19">
        <v>207661</v>
      </c>
      <c r="V103" s="19">
        <v>2826.0419999999999</v>
      </c>
      <c r="W103" s="20"/>
      <c r="X103" s="27">
        <f t="shared" si="44"/>
        <v>8.9227225641260546</v>
      </c>
      <c r="Y103" s="27">
        <f t="shared" si="45"/>
        <v>9.1770420865746676</v>
      </c>
      <c r="Z103" s="27">
        <f t="shared" si="46"/>
        <v>11.495423189834087</v>
      </c>
      <c r="AA103" s="27">
        <f t="shared" si="47"/>
        <v>9.9999970129159355</v>
      </c>
      <c r="AB103" s="27">
        <f t="shared" si="48"/>
        <v>8.5097910631354132</v>
      </c>
      <c r="AC103" s="27">
        <f t="shared" si="49"/>
        <v>8.4364437674108643</v>
      </c>
      <c r="AD103" s="27">
        <f t="shared" si="50"/>
        <v>10.867272370938595</v>
      </c>
      <c r="AE103" s="27">
        <f t="shared" si="51"/>
        <v>11.269001348084043</v>
      </c>
      <c r="AF103" s="27">
        <f t="shared" si="52"/>
        <v>10.896841172211715</v>
      </c>
      <c r="AG103" s="27">
        <f t="shared" si="53"/>
        <v>11.568329764584302</v>
      </c>
      <c r="AH103" s="27">
        <f t="shared" si="54"/>
        <v>9.4875004822247231</v>
      </c>
      <c r="AI103" s="27">
        <f t="shared" si="55"/>
        <v>7.9639122956136825</v>
      </c>
      <c r="AJ103" s="27">
        <f t="shared" si="56"/>
        <v>8.2695107594442963</v>
      </c>
      <c r="AK103" s="27">
        <f t="shared" si="57"/>
        <v>9.1039181818302772</v>
      </c>
      <c r="AL103" s="27">
        <f t="shared" si="58"/>
        <v>10.439836351197181</v>
      </c>
      <c r="AM103" s="27">
        <f t="shared" si="59"/>
        <v>9.4626090004188352</v>
      </c>
      <c r="AN103" s="27">
        <f t="shared" si="60"/>
        <v>8.999372396592106</v>
      </c>
      <c r="AO103" s="27">
        <f t="shared" si="61"/>
        <v>8.7551533132203687</v>
      </c>
      <c r="AP103" s="27">
        <f t="shared" si="62"/>
        <v>10.931444874916965</v>
      </c>
      <c r="AQ103" s="27">
        <f t="shared" si="63"/>
        <v>12.243662221409753</v>
      </c>
      <c r="AR103" s="27">
        <f t="shared" si="64"/>
        <v>7.9466324251297884</v>
      </c>
      <c r="AS103" s="19"/>
      <c r="AT103" s="29">
        <f t="shared" si="65"/>
        <v>4.4624558137016379E-3</v>
      </c>
      <c r="AU103" s="29">
        <f t="shared" si="66"/>
        <v>3.5939407828919911E-3</v>
      </c>
      <c r="AV103" s="29">
        <f t="shared" si="67"/>
        <v>2.6613711540999674E-2</v>
      </c>
      <c r="AW103" s="29">
        <f t="shared" si="68"/>
        <v>1.2628620077473229E-2</v>
      </c>
      <c r="AX103" s="29">
        <f t="shared" si="69"/>
        <v>6.9489577061876417E-3</v>
      </c>
      <c r="AY103" s="29">
        <f t="shared" si="70"/>
        <v>1.2620370586002849E-3</v>
      </c>
      <c r="AZ103" s="29">
        <f t="shared" si="71"/>
        <v>9.8515411038011536E-3</v>
      </c>
      <c r="BA103" s="29">
        <f t="shared" si="72"/>
        <v>7.3210623639177186E-3</v>
      </c>
      <c r="BB103" s="29">
        <f t="shared" si="73"/>
        <v>6.3975490012868619E-3</v>
      </c>
      <c r="BC103" s="29">
        <f t="shared" si="74"/>
        <v>1.2872027652411688E-2</v>
      </c>
      <c r="BD103" s="29">
        <f t="shared" si="75"/>
        <v>1.2311626318661339E-2</v>
      </c>
      <c r="BE103" s="29">
        <f t="shared" si="76"/>
        <v>1.6569588414052205E-2</v>
      </c>
      <c r="BF103" s="29">
        <f t="shared" si="77"/>
        <v>6.5942652126498302E-3</v>
      </c>
      <c r="BG103" s="29">
        <f t="shared" si="78"/>
        <v>-5.9607654318707404E-3</v>
      </c>
      <c r="BH103" s="29">
        <f t="shared" si="79"/>
        <v>9.3601334516666412E-3</v>
      </c>
      <c r="BI103" s="29">
        <f t="shared" si="80"/>
        <v>1.9672295775075455E-2</v>
      </c>
      <c r="BJ103" s="29">
        <f t="shared" si="81"/>
        <v>6.8149696880368538E-3</v>
      </c>
      <c r="BK103" s="29">
        <f t="shared" si="82"/>
        <v>1.2100262995693001E-2</v>
      </c>
      <c r="BL103" s="29">
        <f t="shared" si="83"/>
        <v>4.9310206693213843E-3</v>
      </c>
      <c r="BM103" s="29">
        <f t="shared" si="84"/>
        <v>1.2643336918509718E-2</v>
      </c>
      <c r="BN103" s="29">
        <f t="shared" si="85"/>
        <v>8.4358451582478011E-4</v>
      </c>
      <c r="BO103" s="20"/>
      <c r="BP103" s="19"/>
      <c r="BR103" s="19"/>
      <c r="BS103" s="19"/>
      <c r="BT103" s="19"/>
      <c r="BU103" s="19"/>
      <c r="BW103" s="19"/>
      <c r="BX103" s="20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20"/>
      <c r="CO103" s="19"/>
      <c r="CP103" s="20"/>
      <c r="DG103" s="24"/>
      <c r="DO103" s="24"/>
      <c r="EE103" s="24"/>
      <c r="EF103" s="20"/>
      <c r="GH103" s="24"/>
      <c r="GI103" s="19"/>
      <c r="GJ103" s="22"/>
    </row>
    <row r="104" spans="1:192" x14ac:dyDescent="0.25">
      <c r="A104" s="18">
        <v>1972</v>
      </c>
      <c r="B104" s="19">
        <v>7544.201</v>
      </c>
      <c r="C104" s="19">
        <v>9709.1</v>
      </c>
      <c r="D104" s="19">
        <v>100874</v>
      </c>
      <c r="E104" s="19">
        <v>22284.5</v>
      </c>
      <c r="F104" s="19">
        <v>4991.5959999999995</v>
      </c>
      <c r="G104" s="19">
        <v>4639.6570000000002</v>
      </c>
      <c r="H104" s="19">
        <v>52894</v>
      </c>
      <c r="I104" s="19">
        <v>78717.088000000003</v>
      </c>
      <c r="J104" s="19">
        <v>54365.563999999998</v>
      </c>
      <c r="K104" s="21">
        <v>107188.273</v>
      </c>
      <c r="L104" s="19">
        <v>13329.874</v>
      </c>
      <c r="M104" s="19">
        <v>2929.1</v>
      </c>
      <c r="N104" s="19">
        <v>3933.0039999999999</v>
      </c>
      <c r="O104" s="19">
        <v>8970.4500000000007</v>
      </c>
      <c r="P104" s="19">
        <v>34513.161</v>
      </c>
      <c r="Q104" s="21">
        <v>13116.398999999999</v>
      </c>
      <c r="R104" s="19">
        <v>8122</v>
      </c>
      <c r="S104" s="19">
        <v>6401.4</v>
      </c>
      <c r="T104" s="19">
        <v>56079</v>
      </c>
      <c r="U104" s="19">
        <v>209896</v>
      </c>
      <c r="V104" s="19">
        <v>2829.5259999999998</v>
      </c>
      <c r="W104" s="20"/>
      <c r="X104" s="27">
        <f t="shared" si="44"/>
        <v>8.9285344676487064</v>
      </c>
      <c r="Y104" s="27">
        <f t="shared" si="45"/>
        <v>9.18081886903901</v>
      </c>
      <c r="Z104" s="27">
        <f t="shared" si="46"/>
        <v>11.521627492264129</v>
      </c>
      <c r="AA104" s="27">
        <f t="shared" si="47"/>
        <v>10.011646648512393</v>
      </c>
      <c r="AB104" s="27">
        <f t="shared" si="48"/>
        <v>8.515510977287116</v>
      </c>
      <c r="AC104" s="27">
        <f t="shared" si="49"/>
        <v>8.4423957200741118</v>
      </c>
      <c r="AD104" s="27">
        <f t="shared" si="50"/>
        <v>10.876045189863586</v>
      </c>
      <c r="AE104" s="27">
        <f t="shared" si="51"/>
        <v>11.273615539172001</v>
      </c>
      <c r="AF104" s="27">
        <f t="shared" si="52"/>
        <v>10.903486217699751</v>
      </c>
      <c r="AG104" s="27">
        <f t="shared" si="53"/>
        <v>11.582342127978199</v>
      </c>
      <c r="AH104" s="27">
        <f t="shared" si="54"/>
        <v>9.4977629607649892</v>
      </c>
      <c r="AI104" s="27">
        <f t="shared" si="55"/>
        <v>7.9824504875900999</v>
      </c>
      <c r="AJ104" s="27">
        <f t="shared" si="56"/>
        <v>8.2771587894666343</v>
      </c>
      <c r="AK104" s="27">
        <f t="shared" si="57"/>
        <v>9.1016911210185896</v>
      </c>
      <c r="AL104" s="27">
        <f t="shared" si="58"/>
        <v>10.449096008535989</v>
      </c>
      <c r="AM104" s="27">
        <f t="shared" si="59"/>
        <v>9.481618558361852</v>
      </c>
      <c r="AN104" s="27">
        <f t="shared" si="60"/>
        <v>9.0023317082462437</v>
      </c>
      <c r="AO104" s="27">
        <f t="shared" si="61"/>
        <v>8.7642719954254709</v>
      </c>
      <c r="AP104" s="27">
        <f t="shared" si="62"/>
        <v>10.934516689880441</v>
      </c>
      <c r="AQ104" s="27">
        <f t="shared" si="63"/>
        <v>12.254367448933479</v>
      </c>
      <c r="AR104" s="27">
        <f t="shared" si="64"/>
        <v>7.9478644854429934</v>
      </c>
      <c r="AS104" s="19"/>
      <c r="AT104" s="29">
        <f t="shared" si="65"/>
        <v>5.8119035226518179E-3</v>
      </c>
      <c r="AU104" s="29">
        <f t="shared" si="66"/>
        <v>3.7767824643424319E-3</v>
      </c>
      <c r="AV104" s="29">
        <f t="shared" si="67"/>
        <v>2.6204302430041793E-2</v>
      </c>
      <c r="AW104" s="29">
        <f t="shared" si="68"/>
        <v>1.1649635596457486E-2</v>
      </c>
      <c r="AX104" s="29">
        <f t="shared" si="69"/>
        <v>5.7199141517028096E-3</v>
      </c>
      <c r="AY104" s="29">
        <f t="shared" si="70"/>
        <v>5.9519526632474395E-3</v>
      </c>
      <c r="AZ104" s="29">
        <f t="shared" si="71"/>
        <v>8.7728189249904887E-3</v>
      </c>
      <c r="BA104" s="29">
        <f t="shared" si="72"/>
        <v>4.6141910879580195E-3</v>
      </c>
      <c r="BB104" s="29">
        <f t="shared" si="73"/>
        <v>6.6450454880353504E-3</v>
      </c>
      <c r="BC104" s="29">
        <f t="shared" si="74"/>
        <v>1.4012363393897331E-2</v>
      </c>
      <c r="BD104" s="29">
        <f t="shared" si="75"/>
        <v>1.0262478540266073E-2</v>
      </c>
      <c r="BE104" s="29">
        <f t="shared" si="76"/>
        <v>1.8538191976417373E-2</v>
      </c>
      <c r="BF104" s="29">
        <f t="shared" si="77"/>
        <v>7.6480300223380482E-3</v>
      </c>
      <c r="BG104" s="29">
        <f t="shared" si="78"/>
        <v>-2.2270608116876645E-3</v>
      </c>
      <c r="BH104" s="29">
        <f t="shared" si="79"/>
        <v>9.2596573388075143E-3</v>
      </c>
      <c r="BI104" s="29">
        <f t="shared" si="80"/>
        <v>1.9009557943016731E-2</v>
      </c>
      <c r="BJ104" s="29">
        <f t="shared" si="81"/>
        <v>2.959311654137764E-3</v>
      </c>
      <c r="BK104" s="29">
        <f t="shared" si="82"/>
        <v>9.1186822051021466E-3</v>
      </c>
      <c r="BL104" s="29">
        <f t="shared" si="83"/>
        <v>3.0718149634765268E-3</v>
      </c>
      <c r="BM104" s="29">
        <f t="shared" si="84"/>
        <v>1.0705227523725824E-2</v>
      </c>
      <c r="BN104" s="29">
        <f t="shared" si="85"/>
        <v>1.2320603132049968E-3</v>
      </c>
      <c r="BO104" s="20"/>
      <c r="BP104" s="19"/>
      <c r="BR104" s="19"/>
      <c r="BS104" s="19"/>
      <c r="BT104" s="19"/>
      <c r="BU104" s="19"/>
      <c r="BW104" s="19"/>
      <c r="BX104" s="20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20"/>
      <c r="CO104" s="19"/>
      <c r="CP104" s="20"/>
      <c r="DG104" s="24"/>
      <c r="DO104" s="24"/>
      <c r="EE104" s="24"/>
      <c r="EF104" s="20"/>
      <c r="GH104" s="24"/>
      <c r="GI104" s="19"/>
      <c r="GJ104" s="22"/>
    </row>
    <row r="105" spans="1:192" x14ac:dyDescent="0.25">
      <c r="A105" s="18">
        <v>1973</v>
      </c>
      <c r="B105" s="19">
        <v>7586.1149999999998</v>
      </c>
      <c r="C105" s="19">
        <v>9738.4</v>
      </c>
      <c r="D105" s="19">
        <v>103513</v>
      </c>
      <c r="E105" s="19">
        <v>22559.5</v>
      </c>
      <c r="F105" s="19">
        <v>5021.8609999999999</v>
      </c>
      <c r="G105" s="19">
        <v>4666.0810000000001</v>
      </c>
      <c r="H105" s="19">
        <v>53333</v>
      </c>
      <c r="I105" s="19">
        <v>78950.22</v>
      </c>
      <c r="J105" s="19">
        <v>54796.843000000001</v>
      </c>
      <c r="K105" s="21">
        <v>108706.79700000001</v>
      </c>
      <c r="L105" s="19">
        <v>13438.404</v>
      </c>
      <c r="M105" s="19">
        <v>2992.3</v>
      </c>
      <c r="N105" s="19">
        <v>3960.6129999999998</v>
      </c>
      <c r="O105" s="19">
        <v>8975.9500000000007</v>
      </c>
      <c r="P105" s="19">
        <v>34836.716</v>
      </c>
      <c r="Q105" s="21">
        <v>13351.662</v>
      </c>
      <c r="R105" s="19">
        <v>8137</v>
      </c>
      <c r="S105" s="19">
        <v>6441.1</v>
      </c>
      <c r="T105" s="19">
        <v>56210</v>
      </c>
      <c r="U105" s="19">
        <v>211909</v>
      </c>
      <c r="V105" s="19">
        <v>2834.1149999999998</v>
      </c>
      <c r="W105" s="20"/>
      <c r="X105" s="27">
        <f t="shared" si="44"/>
        <v>8.9340748816382902</v>
      </c>
      <c r="Y105" s="27">
        <f t="shared" si="45"/>
        <v>9.1838321120953861</v>
      </c>
      <c r="Z105" s="27">
        <f t="shared" si="46"/>
        <v>11.54745248766479</v>
      </c>
      <c r="AA105" s="27">
        <f t="shared" si="47"/>
        <v>10.023911542245822</v>
      </c>
      <c r="AB105" s="27">
        <f t="shared" si="48"/>
        <v>8.5215558611186317</v>
      </c>
      <c r="AC105" s="27">
        <f t="shared" si="49"/>
        <v>8.4480748120535019</v>
      </c>
      <c r="AD105" s="27">
        <f t="shared" si="50"/>
        <v>10.884310555528323</v>
      </c>
      <c r="AE105" s="27">
        <f t="shared" si="51"/>
        <v>11.276572806253686</v>
      </c>
      <c r="AF105" s="27">
        <f t="shared" si="52"/>
        <v>10.911387861787565</v>
      </c>
      <c r="AG105" s="27">
        <f t="shared" si="53"/>
        <v>11.596409601053193</v>
      </c>
      <c r="AH105" s="27">
        <f t="shared" si="54"/>
        <v>9.5058718570258005</v>
      </c>
      <c r="AI105" s="27">
        <f t="shared" si="55"/>
        <v>8.0037976014476087</v>
      </c>
      <c r="AJ105" s="27">
        <f t="shared" si="56"/>
        <v>8.2841540902483537</v>
      </c>
      <c r="AK105" s="27">
        <f t="shared" si="57"/>
        <v>9.1023040573369798</v>
      </c>
      <c r="AL105" s="27">
        <f t="shared" si="58"/>
        <v>10.458427167051864</v>
      </c>
      <c r="AM105" s="27">
        <f t="shared" si="59"/>
        <v>9.4993961504616351</v>
      </c>
      <c r="AN105" s="27">
        <f t="shared" si="60"/>
        <v>9.0041768406966565</v>
      </c>
      <c r="AO105" s="27">
        <f t="shared" si="61"/>
        <v>8.7704546119658833</v>
      </c>
      <c r="AP105" s="27">
        <f t="shared" si="62"/>
        <v>10.93684995599612</v>
      </c>
      <c r="AQ105" s="27">
        <f t="shared" si="63"/>
        <v>12.263912216219003</v>
      </c>
      <c r="AR105" s="27">
        <f t="shared" si="64"/>
        <v>7.9494849981147011</v>
      </c>
      <c r="AS105" s="19"/>
      <c r="AT105" s="29">
        <f t="shared" si="65"/>
        <v>5.5404139895838256E-3</v>
      </c>
      <c r="AU105" s="29">
        <f t="shared" si="66"/>
        <v>3.0132430563760693E-3</v>
      </c>
      <c r="AV105" s="29">
        <f t="shared" si="67"/>
        <v>2.5824995400661521E-2</v>
      </c>
      <c r="AW105" s="29">
        <f t="shared" si="68"/>
        <v>1.226489373342865E-2</v>
      </c>
      <c r="AX105" s="29">
        <f t="shared" si="69"/>
        <v>6.0448838315156905E-3</v>
      </c>
      <c r="AY105" s="29">
        <f t="shared" si="70"/>
        <v>5.679091979390094E-3</v>
      </c>
      <c r="AZ105" s="29">
        <f t="shared" si="71"/>
        <v>8.2653656647373452E-3</v>
      </c>
      <c r="BA105" s="29">
        <f t="shared" si="72"/>
        <v>2.9572670816850888E-3</v>
      </c>
      <c r="BB105" s="29">
        <f t="shared" si="73"/>
        <v>7.9016440878145744E-3</v>
      </c>
      <c r="BC105" s="29">
        <f t="shared" si="74"/>
        <v>1.4067473074993231E-2</v>
      </c>
      <c r="BD105" s="29">
        <f t="shared" si="75"/>
        <v>8.1088962608113491E-3</v>
      </c>
      <c r="BE105" s="29">
        <f t="shared" si="76"/>
        <v>2.1347113857508759E-2</v>
      </c>
      <c r="BF105" s="29">
        <f t="shared" si="77"/>
        <v>6.9953007817193935E-3</v>
      </c>
      <c r="BG105" s="29">
        <f t="shared" si="78"/>
        <v>6.1293631839021145E-4</v>
      </c>
      <c r="BH105" s="29">
        <f t="shared" si="79"/>
        <v>9.331158515875515E-3</v>
      </c>
      <c r="BI105" s="29">
        <f t="shared" si="80"/>
        <v>1.7777592099783135E-2</v>
      </c>
      <c r="BJ105" s="29">
        <f t="shared" si="81"/>
        <v>1.8451324504127342E-3</v>
      </c>
      <c r="BK105" s="29">
        <f t="shared" si="82"/>
        <v>6.1826165404124112E-3</v>
      </c>
      <c r="BL105" s="29">
        <f t="shared" si="83"/>
        <v>2.3332661156789669E-3</v>
      </c>
      <c r="BM105" s="29">
        <f t="shared" si="84"/>
        <v>9.5447672855240029E-3</v>
      </c>
      <c r="BN105" s="29">
        <f t="shared" si="85"/>
        <v>1.6205126717077079E-3</v>
      </c>
      <c r="BO105" s="20"/>
      <c r="BP105" s="19"/>
      <c r="BR105" s="19"/>
      <c r="BS105" s="19"/>
      <c r="BT105" s="19"/>
      <c r="BU105" s="19"/>
      <c r="BW105" s="19"/>
      <c r="BX105" s="20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20"/>
      <c r="CO105" s="19"/>
      <c r="CP105" s="20"/>
      <c r="DG105" s="24"/>
      <c r="DO105" s="24"/>
      <c r="EE105" s="24"/>
      <c r="EF105" s="20"/>
      <c r="GH105" s="24"/>
      <c r="GI105" s="19"/>
      <c r="GJ105" s="22"/>
    </row>
    <row r="106" spans="1:192" x14ac:dyDescent="0.25">
      <c r="A106" s="18">
        <v>1974</v>
      </c>
      <c r="B106" s="19">
        <v>7599.0379999999996</v>
      </c>
      <c r="C106" s="19">
        <v>9767.7999999999993</v>
      </c>
      <c r="D106" s="19">
        <v>106182</v>
      </c>
      <c r="E106" s="19">
        <v>22874.7</v>
      </c>
      <c r="F106" s="19">
        <v>5045.2969999999996</v>
      </c>
      <c r="G106" s="19">
        <v>4690.5739999999996</v>
      </c>
      <c r="H106" s="19">
        <v>53690</v>
      </c>
      <c r="I106" s="19">
        <v>78966.137000000002</v>
      </c>
      <c r="J106" s="19">
        <v>55226.258999999998</v>
      </c>
      <c r="K106" s="21">
        <v>110162.302</v>
      </c>
      <c r="L106" s="19">
        <v>13540.584000000001</v>
      </c>
      <c r="M106" s="19">
        <v>3058.4</v>
      </c>
      <c r="N106" s="19">
        <v>3985.2579999999998</v>
      </c>
      <c r="O106" s="19">
        <v>9098.2999999999993</v>
      </c>
      <c r="P106" s="19">
        <v>35184.286999999997</v>
      </c>
      <c r="Q106" s="21">
        <v>13562.004000000001</v>
      </c>
      <c r="R106" s="19">
        <v>8161</v>
      </c>
      <c r="S106" s="19">
        <v>6460</v>
      </c>
      <c r="T106" s="19">
        <v>56224</v>
      </c>
      <c r="U106" s="19">
        <v>213854</v>
      </c>
      <c r="V106" s="19">
        <v>2838.2130000000002</v>
      </c>
      <c r="W106" s="20"/>
      <c r="X106" s="27">
        <f t="shared" si="44"/>
        <v>8.9357769393152626</v>
      </c>
      <c r="Y106" s="27">
        <f t="shared" si="45"/>
        <v>9.1868465405604489</v>
      </c>
      <c r="Z106" s="27">
        <f t="shared" si="46"/>
        <v>11.572909881899239</v>
      </c>
      <c r="AA106" s="27">
        <f t="shared" si="47"/>
        <v>10.037786775303625</v>
      </c>
      <c r="AB106" s="27">
        <f t="shared" si="48"/>
        <v>8.5262118012234129</v>
      </c>
      <c r="AC106" s="27">
        <f t="shared" si="49"/>
        <v>8.4533102420112183</v>
      </c>
      <c r="AD106" s="27">
        <f t="shared" si="50"/>
        <v>10.890982043416615</v>
      </c>
      <c r="AE106" s="27">
        <f t="shared" si="51"/>
        <v>11.276774393984764</v>
      </c>
      <c r="AF106" s="27">
        <f t="shared" si="52"/>
        <v>10.91919382567445</v>
      </c>
      <c r="AG106" s="27">
        <f t="shared" si="53"/>
        <v>11.60971003006147</v>
      </c>
      <c r="AH106" s="27">
        <f t="shared" si="54"/>
        <v>9.5134466769984645</v>
      </c>
      <c r="AI106" s="27">
        <f t="shared" si="55"/>
        <v>8.0256471823822029</v>
      </c>
      <c r="AJ106" s="27">
        <f t="shared" si="56"/>
        <v>8.2903573319140378</v>
      </c>
      <c r="AK106" s="27">
        <f t="shared" si="57"/>
        <v>9.1158428618663709</v>
      </c>
      <c r="AL106" s="27">
        <f t="shared" si="58"/>
        <v>10.468354869878144</v>
      </c>
      <c r="AM106" s="27">
        <f t="shared" si="59"/>
        <v>9.5150273381854937</v>
      </c>
      <c r="AN106" s="27">
        <f t="shared" si="60"/>
        <v>9.0071219894692423</v>
      </c>
      <c r="AO106" s="27">
        <f t="shared" si="61"/>
        <v>8.7733845967766477</v>
      </c>
      <c r="AP106" s="27">
        <f t="shared" si="62"/>
        <v>10.937098990986824</v>
      </c>
      <c r="AQ106" s="27">
        <f t="shared" si="63"/>
        <v>12.27304881817968</v>
      </c>
      <c r="AR106" s="27">
        <f t="shared" si="64"/>
        <v>7.9509299077577857</v>
      </c>
      <c r="AS106" s="19"/>
      <c r="AT106" s="29">
        <f t="shared" si="65"/>
        <v>1.7020576769724016E-3</v>
      </c>
      <c r="AU106" s="29">
        <f t="shared" si="66"/>
        <v>3.014428465062835E-3</v>
      </c>
      <c r="AV106" s="29">
        <f t="shared" si="67"/>
        <v>2.5457394234448927E-2</v>
      </c>
      <c r="AW106" s="29">
        <f t="shared" si="68"/>
        <v>1.3875233057802916E-2</v>
      </c>
      <c r="AX106" s="29">
        <f t="shared" si="69"/>
        <v>4.6559401047812088E-3</v>
      </c>
      <c r="AY106" s="29">
        <f t="shared" si="70"/>
        <v>5.2354299577164198E-3</v>
      </c>
      <c r="AZ106" s="29">
        <f t="shared" si="71"/>
        <v>6.6714878882923045E-3</v>
      </c>
      <c r="BA106" s="29">
        <f t="shared" si="72"/>
        <v>2.0158773107858963E-4</v>
      </c>
      <c r="BB106" s="29">
        <f t="shared" si="73"/>
        <v>7.8059638868843706E-3</v>
      </c>
      <c r="BC106" s="29">
        <f t="shared" si="74"/>
        <v>1.3300429008276993E-2</v>
      </c>
      <c r="BD106" s="29">
        <f t="shared" si="75"/>
        <v>7.5748199726639598E-3</v>
      </c>
      <c r="BE106" s="29">
        <f t="shared" si="76"/>
        <v>2.1849580934594215E-2</v>
      </c>
      <c r="BF106" s="29">
        <f t="shared" si="77"/>
        <v>6.2032416656840894E-3</v>
      </c>
      <c r="BG106" s="29">
        <f t="shared" si="78"/>
        <v>1.3538804529391157E-2</v>
      </c>
      <c r="BH106" s="29">
        <f t="shared" si="79"/>
        <v>9.9277028262800826E-3</v>
      </c>
      <c r="BI106" s="29">
        <f t="shared" si="80"/>
        <v>1.5631187723858631E-2</v>
      </c>
      <c r="BJ106" s="29">
        <f t="shared" si="81"/>
        <v>2.9451487725857817E-3</v>
      </c>
      <c r="BK106" s="29">
        <f t="shared" si="82"/>
        <v>2.9299848107644522E-3</v>
      </c>
      <c r="BL106" s="29">
        <f t="shared" si="83"/>
        <v>2.4903499070383361E-4</v>
      </c>
      <c r="BM106" s="29">
        <f t="shared" si="84"/>
        <v>9.1366019606766713E-3</v>
      </c>
      <c r="BN106" s="29">
        <f t="shared" si="85"/>
        <v>1.4449096430846353E-3</v>
      </c>
      <c r="BO106" s="20"/>
      <c r="BP106" s="19"/>
      <c r="BR106" s="19"/>
      <c r="BS106" s="19"/>
      <c r="BT106" s="19"/>
      <c r="BU106" s="19"/>
      <c r="BW106" s="19"/>
      <c r="BX106" s="20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20"/>
      <c r="CO106" s="19"/>
      <c r="CP106" s="20"/>
      <c r="DG106" s="24"/>
      <c r="DO106" s="24"/>
      <c r="EE106" s="24"/>
      <c r="EF106" s="20"/>
      <c r="GH106" s="24"/>
      <c r="GI106" s="19"/>
      <c r="GJ106" s="22"/>
    </row>
    <row r="107" spans="1:192" x14ac:dyDescent="0.25">
      <c r="A107" s="18">
        <v>1975</v>
      </c>
      <c r="B107" s="19">
        <v>7578.9030000000002</v>
      </c>
      <c r="C107" s="19">
        <v>9794.7999999999993</v>
      </c>
      <c r="D107" s="19">
        <v>108879</v>
      </c>
      <c r="E107" s="19">
        <v>23209.200000000001</v>
      </c>
      <c r="F107" s="19">
        <v>5059.8609999999999</v>
      </c>
      <c r="G107" s="19">
        <v>4711.4390000000003</v>
      </c>
      <c r="H107" s="19">
        <v>53955</v>
      </c>
      <c r="I107" s="19">
        <v>78682.324999999997</v>
      </c>
      <c r="J107" s="19">
        <v>55571.894</v>
      </c>
      <c r="K107" s="21">
        <v>111573.11599999999</v>
      </c>
      <c r="L107" s="19">
        <v>13653.438</v>
      </c>
      <c r="M107" s="19">
        <v>3117.8</v>
      </c>
      <c r="N107" s="19">
        <v>4007.3130000000001</v>
      </c>
      <c r="O107" s="19">
        <v>9411.09</v>
      </c>
      <c r="P107" s="19">
        <v>35563.535000000003</v>
      </c>
      <c r="Q107" s="21">
        <v>13779.192999999999</v>
      </c>
      <c r="R107" s="19">
        <v>8193</v>
      </c>
      <c r="S107" s="19">
        <v>6403.5</v>
      </c>
      <c r="T107" s="19">
        <v>56215</v>
      </c>
      <c r="U107" s="19">
        <v>215973</v>
      </c>
      <c r="V107" s="19">
        <v>2844</v>
      </c>
      <c r="W107" s="20"/>
      <c r="X107" s="27">
        <f t="shared" si="44"/>
        <v>8.9331237452078955</v>
      </c>
      <c r="Y107" s="27">
        <f t="shared" si="45"/>
        <v>9.1896069115892711</v>
      </c>
      <c r="Z107" s="27">
        <f t="shared" si="46"/>
        <v>11.597992452859952</v>
      </c>
      <c r="AA107" s="27">
        <f t="shared" si="47"/>
        <v>10.052304030772685</v>
      </c>
      <c r="AB107" s="27">
        <f t="shared" si="48"/>
        <v>8.5290942915484624</v>
      </c>
      <c r="AC107" s="27">
        <f t="shared" si="49"/>
        <v>8.457748660518531</v>
      </c>
      <c r="AD107" s="27">
        <f t="shared" si="50"/>
        <v>10.895905644797834</v>
      </c>
      <c r="AE107" s="27">
        <f t="shared" si="51"/>
        <v>11.273173822142658</v>
      </c>
      <c r="AF107" s="27">
        <f t="shared" si="52"/>
        <v>10.925432848831534</v>
      </c>
      <c r="AG107" s="27">
        <f t="shared" si="53"/>
        <v>11.622435403851885</v>
      </c>
      <c r="AH107" s="27">
        <f t="shared" si="54"/>
        <v>9.5217466370315211</v>
      </c>
      <c r="AI107" s="27">
        <f t="shared" si="55"/>
        <v>8.0448829038785803</v>
      </c>
      <c r="AJ107" s="27">
        <f t="shared" si="56"/>
        <v>8.2958762208871821</v>
      </c>
      <c r="AK107" s="27">
        <f t="shared" si="57"/>
        <v>9.1496440600900755</v>
      </c>
      <c r="AL107" s="27">
        <f t="shared" si="58"/>
        <v>10.479076094135868</v>
      </c>
      <c r="AM107" s="27">
        <f t="shared" si="59"/>
        <v>9.5309149797177835</v>
      </c>
      <c r="AN107" s="27">
        <f t="shared" si="60"/>
        <v>9.0110354101418153</v>
      </c>
      <c r="AO107" s="27">
        <f t="shared" si="61"/>
        <v>8.764599994866126</v>
      </c>
      <c r="AP107" s="27">
        <f t="shared" si="62"/>
        <v>10.93693890418386</v>
      </c>
      <c r="AQ107" s="27">
        <f t="shared" si="63"/>
        <v>12.282908678853151</v>
      </c>
      <c r="AR107" s="27">
        <f t="shared" si="64"/>
        <v>7.9529667909231314</v>
      </c>
      <c r="AS107" s="19"/>
      <c r="AT107" s="29">
        <f t="shared" si="65"/>
        <v>-2.6531941073670851E-3</v>
      </c>
      <c r="AU107" s="29">
        <f t="shared" si="66"/>
        <v>2.7603710288222061E-3</v>
      </c>
      <c r="AV107" s="29">
        <f t="shared" si="67"/>
        <v>2.5082570960712758E-2</v>
      </c>
      <c r="AW107" s="29">
        <f t="shared" si="68"/>
        <v>1.4517255469060686E-2</v>
      </c>
      <c r="AX107" s="29">
        <f t="shared" si="69"/>
        <v>2.8824903250495026E-3</v>
      </c>
      <c r="AY107" s="29">
        <f t="shared" si="70"/>
        <v>4.4384185073127469E-3</v>
      </c>
      <c r="AZ107" s="29">
        <f t="shared" si="71"/>
        <v>4.9236013812183899E-3</v>
      </c>
      <c r="BA107" s="29">
        <f t="shared" si="72"/>
        <v>-3.6005718421066035E-3</v>
      </c>
      <c r="BB107" s="29">
        <f t="shared" si="73"/>
        <v>6.2390231570841337E-3</v>
      </c>
      <c r="BC107" s="29">
        <f t="shared" si="74"/>
        <v>1.2725373790415162E-2</v>
      </c>
      <c r="BD107" s="29">
        <f t="shared" si="75"/>
        <v>8.2999600330566636E-3</v>
      </c>
      <c r="BE107" s="29">
        <f t="shared" si="76"/>
        <v>1.9235721496377423E-2</v>
      </c>
      <c r="BF107" s="29">
        <f t="shared" si="77"/>
        <v>5.5188889731443425E-3</v>
      </c>
      <c r="BG107" s="29">
        <f t="shared" si="78"/>
        <v>3.3801198223704532E-2</v>
      </c>
      <c r="BH107" s="29">
        <f t="shared" si="79"/>
        <v>1.0721224257723705E-2</v>
      </c>
      <c r="BI107" s="29">
        <f t="shared" si="80"/>
        <v>1.588764153228972E-2</v>
      </c>
      <c r="BJ107" s="29">
        <f t="shared" si="81"/>
        <v>3.9134206725730536E-3</v>
      </c>
      <c r="BK107" s="29">
        <f t="shared" si="82"/>
        <v>-8.7846019105217721E-3</v>
      </c>
      <c r="BL107" s="29">
        <f t="shared" si="83"/>
        <v>-1.6008680296408784E-4</v>
      </c>
      <c r="BM107" s="29">
        <f t="shared" si="84"/>
        <v>9.8598606734707772E-3</v>
      </c>
      <c r="BN107" s="29">
        <f t="shared" si="85"/>
        <v>2.0368831653456709E-3</v>
      </c>
      <c r="BO107" s="20"/>
      <c r="BP107" s="19"/>
      <c r="BR107" s="19"/>
      <c r="BS107" s="19"/>
      <c r="BT107" s="19"/>
      <c r="BU107" s="19"/>
      <c r="BW107" s="19"/>
      <c r="BX107" s="20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20"/>
      <c r="CO107" s="19"/>
      <c r="CP107" s="20"/>
      <c r="DG107" s="24"/>
      <c r="DO107" s="24"/>
      <c r="EE107" s="24"/>
      <c r="EF107" s="20"/>
      <c r="GH107" s="24"/>
      <c r="GI107" s="19"/>
      <c r="GJ107" s="22"/>
    </row>
    <row r="108" spans="1:192" x14ac:dyDescent="0.25">
      <c r="A108" s="18">
        <v>1976</v>
      </c>
      <c r="B108" s="19">
        <v>7565.5249999999996</v>
      </c>
      <c r="C108" s="19">
        <v>9811</v>
      </c>
      <c r="D108" s="19">
        <v>111603</v>
      </c>
      <c r="E108" s="19">
        <v>23517.5</v>
      </c>
      <c r="F108" s="19">
        <v>5072.5959999999995</v>
      </c>
      <c r="G108" s="19">
        <v>4725.6639999999998</v>
      </c>
      <c r="H108" s="19">
        <v>54159</v>
      </c>
      <c r="I108" s="19">
        <v>78298.956999999995</v>
      </c>
      <c r="J108" s="19">
        <v>55838.536</v>
      </c>
      <c r="K108" s="21">
        <v>112774.841</v>
      </c>
      <c r="L108" s="19">
        <v>13769.913</v>
      </c>
      <c r="M108" s="19">
        <v>3153.55</v>
      </c>
      <c r="N108" s="19">
        <v>4026.152</v>
      </c>
      <c r="O108" s="19">
        <v>9621.9699999999993</v>
      </c>
      <c r="P108" s="19">
        <v>35996.78</v>
      </c>
      <c r="Q108" s="21">
        <v>14013.106</v>
      </c>
      <c r="R108" s="19">
        <v>8222</v>
      </c>
      <c r="S108" s="19">
        <v>6333.3130000000001</v>
      </c>
      <c r="T108" s="19">
        <v>56206</v>
      </c>
      <c r="U108" s="19">
        <v>218035</v>
      </c>
      <c r="V108" s="19">
        <v>2861</v>
      </c>
      <c r="W108" s="20"/>
      <c r="X108" s="27">
        <f t="shared" si="44"/>
        <v>8.9313570223604231</v>
      </c>
      <c r="Y108" s="27">
        <f t="shared" si="45"/>
        <v>9.1912594841633908</v>
      </c>
      <c r="Z108" s="27">
        <f t="shared" si="46"/>
        <v>11.622703210288471</v>
      </c>
      <c r="AA108" s="27">
        <f t="shared" si="47"/>
        <v>10.065500103846107</v>
      </c>
      <c r="AB108" s="27">
        <f t="shared" si="48"/>
        <v>8.5316079970999859</v>
      </c>
      <c r="AC108" s="27">
        <f t="shared" si="49"/>
        <v>8.4607633591550826</v>
      </c>
      <c r="AD108" s="27">
        <f t="shared" si="50"/>
        <v>10.899679443604768</v>
      </c>
      <c r="AE108" s="27">
        <f t="shared" si="51"/>
        <v>11.268289561328233</v>
      </c>
      <c r="AF108" s="27">
        <f t="shared" si="52"/>
        <v>10.930219519327519</v>
      </c>
      <c r="AG108" s="27">
        <f t="shared" si="53"/>
        <v>11.63314855238866</v>
      </c>
      <c r="AH108" s="27">
        <f t="shared" si="54"/>
        <v>9.5302412736199535</v>
      </c>
      <c r="AI108" s="27">
        <f t="shared" si="55"/>
        <v>8.0562840813767735</v>
      </c>
      <c r="AJ108" s="27">
        <f t="shared" si="56"/>
        <v>8.3005663600821809</v>
      </c>
      <c r="AK108" s="27">
        <f t="shared" si="57"/>
        <v>9.1718043043996218</v>
      </c>
      <c r="AL108" s="27">
        <f t="shared" si="58"/>
        <v>10.49118476899341</v>
      </c>
      <c r="AM108" s="27">
        <f t="shared" si="59"/>
        <v>9.547748313546089</v>
      </c>
      <c r="AN108" s="27">
        <f t="shared" si="60"/>
        <v>9.0145687674578241</v>
      </c>
      <c r="AO108" s="27">
        <f t="shared" si="61"/>
        <v>8.7535787589489988</v>
      </c>
      <c r="AP108" s="27">
        <f t="shared" si="62"/>
        <v>10.936778791749008</v>
      </c>
      <c r="AQ108" s="27">
        <f t="shared" si="63"/>
        <v>12.292410879343096</v>
      </c>
      <c r="AR108" s="27">
        <f t="shared" si="64"/>
        <v>7.95892649305011</v>
      </c>
      <c r="AS108" s="19"/>
      <c r="AT108" s="29">
        <f t="shared" si="65"/>
        <v>-1.7667228474724794E-3</v>
      </c>
      <c r="AU108" s="29">
        <f t="shared" si="66"/>
        <v>1.6525725741196595E-3</v>
      </c>
      <c r="AV108" s="29">
        <f t="shared" si="67"/>
        <v>2.4710757428518804E-2</v>
      </c>
      <c r="AW108" s="29">
        <f t="shared" si="68"/>
        <v>1.3196073073421744E-2</v>
      </c>
      <c r="AX108" s="29">
        <f t="shared" si="69"/>
        <v>2.5137055515234152E-3</v>
      </c>
      <c r="AY108" s="29">
        <f t="shared" si="70"/>
        <v>3.0146986365515716E-3</v>
      </c>
      <c r="AZ108" s="29">
        <f t="shared" si="71"/>
        <v>3.773798806934181E-3</v>
      </c>
      <c r="BA108" s="29">
        <f t="shared" si="72"/>
        <v>-4.8842608144248345E-3</v>
      </c>
      <c r="BB108" s="29">
        <f t="shared" si="73"/>
        <v>4.7866704959851347E-3</v>
      </c>
      <c r="BC108" s="29">
        <f t="shared" si="74"/>
        <v>1.0713148536774852E-2</v>
      </c>
      <c r="BD108" s="29">
        <f t="shared" si="75"/>
        <v>8.4946365884324138E-3</v>
      </c>
      <c r="BE108" s="29">
        <f t="shared" si="76"/>
        <v>1.1401177498193249E-2</v>
      </c>
      <c r="BF108" s="29">
        <f t="shared" si="77"/>
        <v>4.6901391949987215E-3</v>
      </c>
      <c r="BG108" s="29">
        <f t="shared" si="78"/>
        <v>2.2160244309546329E-2</v>
      </c>
      <c r="BH108" s="29">
        <f t="shared" si="79"/>
        <v>1.2108674857541857E-2</v>
      </c>
      <c r="BI108" s="29">
        <f t="shared" si="80"/>
        <v>1.6833333828305541E-2</v>
      </c>
      <c r="BJ108" s="29">
        <f t="shared" si="81"/>
        <v>3.5333573160087894E-3</v>
      </c>
      <c r="BK108" s="29">
        <f t="shared" si="82"/>
        <v>-1.1021235917127115E-2</v>
      </c>
      <c r="BL108" s="29">
        <f t="shared" si="83"/>
        <v>-1.6011243485181126E-4</v>
      </c>
      <c r="BM108" s="29">
        <f t="shared" si="84"/>
        <v>9.5022004899458778E-3</v>
      </c>
      <c r="BN108" s="29">
        <f t="shared" si="85"/>
        <v>5.9597021269786055E-3</v>
      </c>
      <c r="BO108" s="20"/>
      <c r="BP108" s="19"/>
      <c r="BR108" s="19"/>
      <c r="BS108" s="19"/>
      <c r="BT108" s="19"/>
      <c r="BU108" s="19"/>
      <c r="BW108" s="19"/>
      <c r="BX108" s="20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20"/>
      <c r="CO108" s="19"/>
      <c r="CP108" s="20"/>
      <c r="DG108" s="24"/>
      <c r="DO108" s="24"/>
      <c r="EE108" s="24"/>
      <c r="EF108" s="20"/>
      <c r="GH108" s="24"/>
      <c r="GI108" s="19"/>
      <c r="GJ108" s="22"/>
    </row>
    <row r="109" spans="1:192" x14ac:dyDescent="0.25">
      <c r="A109" s="18">
        <v>1977</v>
      </c>
      <c r="B109" s="19">
        <v>7568.43</v>
      </c>
      <c r="C109" s="19">
        <v>9821.7999999999993</v>
      </c>
      <c r="D109" s="19">
        <v>114373</v>
      </c>
      <c r="E109" s="19">
        <v>23796.400000000001</v>
      </c>
      <c r="F109" s="19">
        <v>5088.4189999999999</v>
      </c>
      <c r="G109" s="19">
        <v>4738.902</v>
      </c>
      <c r="H109" s="19">
        <v>54378</v>
      </c>
      <c r="I109" s="19">
        <v>78160.773000000001</v>
      </c>
      <c r="J109" s="19">
        <v>56059.245000000003</v>
      </c>
      <c r="K109" s="21">
        <v>113872.473</v>
      </c>
      <c r="L109" s="19">
        <v>13852.989</v>
      </c>
      <c r="M109" s="19">
        <v>3164.9</v>
      </c>
      <c r="N109" s="19">
        <v>4043.2049999999999</v>
      </c>
      <c r="O109" s="19">
        <v>9662.6</v>
      </c>
      <c r="P109" s="19">
        <v>36439</v>
      </c>
      <c r="Q109" s="21">
        <v>14249.606</v>
      </c>
      <c r="R109" s="19">
        <v>8252</v>
      </c>
      <c r="S109" s="19">
        <v>6316.424</v>
      </c>
      <c r="T109" s="19">
        <v>56179</v>
      </c>
      <c r="U109" s="19">
        <v>220239</v>
      </c>
      <c r="V109" s="19">
        <v>2879</v>
      </c>
      <c r="W109" s="20"/>
      <c r="X109" s="27">
        <f t="shared" si="44"/>
        <v>8.9317409272994404</v>
      </c>
      <c r="Y109" s="27">
        <f t="shared" si="45"/>
        <v>9.1923596839402339</v>
      </c>
      <c r="Z109" s="27">
        <f t="shared" si="46"/>
        <v>11.647220316086138</v>
      </c>
      <c r="AA109" s="27">
        <f t="shared" si="47"/>
        <v>10.07728958771434</v>
      </c>
      <c r="AB109" s="27">
        <f t="shared" si="48"/>
        <v>8.5347224522582614</v>
      </c>
      <c r="AC109" s="27">
        <f t="shared" si="49"/>
        <v>8.463560742285523</v>
      </c>
      <c r="AD109" s="27">
        <f t="shared" si="50"/>
        <v>10.903714939282837</v>
      </c>
      <c r="AE109" s="27">
        <f t="shared" si="51"/>
        <v>11.266523176637053</v>
      </c>
      <c r="AF109" s="27">
        <f t="shared" si="52"/>
        <v>10.934164356914925</v>
      </c>
      <c r="AG109" s="27">
        <f t="shared" si="53"/>
        <v>11.642834443317133</v>
      </c>
      <c r="AH109" s="27">
        <f t="shared" si="54"/>
        <v>9.5362563006057339</v>
      </c>
      <c r="AI109" s="27">
        <f t="shared" si="55"/>
        <v>8.0598767385025063</v>
      </c>
      <c r="AJ109" s="27">
        <f t="shared" si="56"/>
        <v>8.304792973277408</v>
      </c>
      <c r="AK109" s="27">
        <f t="shared" si="57"/>
        <v>9.176018042130611</v>
      </c>
      <c r="AL109" s="27">
        <f t="shared" si="58"/>
        <v>10.503394908626325</v>
      </c>
      <c r="AM109" s="27">
        <f t="shared" si="59"/>
        <v>9.5644845361917454</v>
      </c>
      <c r="AN109" s="27">
        <f t="shared" si="60"/>
        <v>9.0182108741911424</v>
      </c>
      <c r="AO109" s="27">
        <f t="shared" si="61"/>
        <v>8.7509085042179713</v>
      </c>
      <c r="AP109" s="27">
        <f t="shared" si="62"/>
        <v>10.936298300571014</v>
      </c>
      <c r="AQ109" s="27">
        <f t="shared" si="63"/>
        <v>12.302468599304909</v>
      </c>
      <c r="AR109" s="27">
        <f t="shared" si="64"/>
        <v>7.9651982906121761</v>
      </c>
      <c r="AS109" s="19"/>
      <c r="AT109" s="29">
        <f t="shared" si="65"/>
        <v>3.8390493901729883E-4</v>
      </c>
      <c r="AU109" s="29">
        <f t="shared" si="66"/>
        <v>1.1001997768431693E-3</v>
      </c>
      <c r="AV109" s="29">
        <f t="shared" si="67"/>
        <v>2.4517105797666972E-2</v>
      </c>
      <c r="AW109" s="29">
        <f t="shared" si="68"/>
        <v>1.1789483868232864E-2</v>
      </c>
      <c r="AX109" s="29">
        <f t="shared" si="69"/>
        <v>3.1144551582755753E-3</v>
      </c>
      <c r="AY109" s="29">
        <f t="shared" si="70"/>
        <v>2.7973831304404229E-3</v>
      </c>
      <c r="AZ109" s="29">
        <f t="shared" si="71"/>
        <v>4.0354956780692675E-3</v>
      </c>
      <c r="BA109" s="29">
        <f t="shared" si="72"/>
        <v>-1.7663846911801784E-3</v>
      </c>
      <c r="BB109" s="29">
        <f t="shared" si="73"/>
        <v>3.9448375874062691E-3</v>
      </c>
      <c r="BC109" s="29">
        <f t="shared" si="74"/>
        <v>9.6858909284733841E-3</v>
      </c>
      <c r="BD109" s="29">
        <f t="shared" si="75"/>
        <v>6.0150269857803806E-3</v>
      </c>
      <c r="BE109" s="29">
        <f t="shared" si="76"/>
        <v>3.5926571257327566E-3</v>
      </c>
      <c r="BF109" s="29">
        <f t="shared" si="77"/>
        <v>4.2266131952271024E-3</v>
      </c>
      <c r="BG109" s="29">
        <f t="shared" si="78"/>
        <v>4.2137377309892088E-3</v>
      </c>
      <c r="BH109" s="29">
        <f t="shared" si="79"/>
        <v>1.2210139632914618E-2</v>
      </c>
      <c r="BI109" s="29">
        <f t="shared" si="80"/>
        <v>1.673622264565644E-2</v>
      </c>
      <c r="BJ109" s="29">
        <f t="shared" si="81"/>
        <v>3.6421067333183288E-3</v>
      </c>
      <c r="BK109" s="29">
        <f t="shared" si="82"/>
        <v>-2.6702547310275548E-3</v>
      </c>
      <c r="BL109" s="29">
        <f t="shared" si="83"/>
        <v>-4.804911779938692E-4</v>
      </c>
      <c r="BM109" s="29">
        <f t="shared" si="84"/>
        <v>1.0057719961812595E-2</v>
      </c>
      <c r="BN109" s="29">
        <f t="shared" si="85"/>
        <v>6.2717975620660837E-3</v>
      </c>
      <c r="BO109" s="20"/>
      <c r="BP109" s="19"/>
      <c r="BR109" s="19"/>
      <c r="BS109" s="19"/>
      <c r="BT109" s="19"/>
      <c r="BU109" s="19"/>
      <c r="BW109" s="19"/>
      <c r="BX109" s="20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20"/>
      <c r="CO109" s="19"/>
      <c r="CP109" s="20"/>
      <c r="DG109" s="24"/>
      <c r="DO109" s="24"/>
      <c r="EE109" s="24"/>
      <c r="EF109" s="20"/>
      <c r="GH109" s="24"/>
      <c r="GI109" s="19"/>
      <c r="GJ109" s="22"/>
    </row>
    <row r="110" spans="1:192" x14ac:dyDescent="0.25">
      <c r="A110" s="18">
        <v>1978</v>
      </c>
      <c r="B110" s="19">
        <v>7562.3050000000003</v>
      </c>
      <c r="C110" s="19">
        <v>9829.7000000000007</v>
      </c>
      <c r="D110" s="19">
        <v>117207</v>
      </c>
      <c r="E110" s="19">
        <v>24036.3</v>
      </c>
      <c r="F110" s="19">
        <v>5104.2470000000003</v>
      </c>
      <c r="G110" s="19">
        <v>4752.5280000000002</v>
      </c>
      <c r="H110" s="19">
        <v>54602</v>
      </c>
      <c r="I110" s="19">
        <v>78066.073999999993</v>
      </c>
      <c r="J110" s="19">
        <v>56240.142999999996</v>
      </c>
      <c r="K110" s="21">
        <v>114912.91099999999</v>
      </c>
      <c r="L110" s="19">
        <v>13936.754000000001</v>
      </c>
      <c r="M110" s="19">
        <v>3165.8</v>
      </c>
      <c r="N110" s="19">
        <v>4058.6709999999998</v>
      </c>
      <c r="O110" s="19">
        <v>9698.7800000000007</v>
      </c>
      <c r="P110" s="19">
        <v>36861.034</v>
      </c>
      <c r="Q110" s="21">
        <v>14511.088</v>
      </c>
      <c r="R110" s="19">
        <v>8276</v>
      </c>
      <c r="S110" s="19">
        <v>6332.5680000000002</v>
      </c>
      <c r="T110" s="19">
        <v>56167</v>
      </c>
      <c r="U110" s="19">
        <v>222585</v>
      </c>
      <c r="V110" s="19">
        <v>2897</v>
      </c>
      <c r="W110" s="20"/>
      <c r="X110" s="27">
        <f t="shared" si="44"/>
        <v>8.9309313168826883</v>
      </c>
      <c r="Y110" s="27">
        <f t="shared" si="45"/>
        <v>9.1931636938555652</v>
      </c>
      <c r="Z110" s="27">
        <f t="shared" si="46"/>
        <v>11.671696881303923</v>
      </c>
      <c r="AA110" s="27">
        <f t="shared" si="47"/>
        <v>10.087320466654011</v>
      </c>
      <c r="AB110" s="27">
        <f t="shared" si="48"/>
        <v>8.537828217270631</v>
      </c>
      <c r="AC110" s="27">
        <f t="shared" si="49"/>
        <v>8.4664319659812097</v>
      </c>
      <c r="AD110" s="27">
        <f t="shared" si="50"/>
        <v>10.907825791098762</v>
      </c>
      <c r="AE110" s="27">
        <f t="shared" si="51"/>
        <v>11.265310849646948</v>
      </c>
      <c r="AF110" s="27">
        <f t="shared" si="52"/>
        <v>10.937386069155567</v>
      </c>
      <c r="AG110" s="27">
        <f t="shared" si="53"/>
        <v>11.65192982480001</v>
      </c>
      <c r="AH110" s="27">
        <f t="shared" si="54"/>
        <v>9.5422848021063018</v>
      </c>
      <c r="AI110" s="27">
        <f t="shared" si="55"/>
        <v>8.0601610672516379</v>
      </c>
      <c r="AJ110" s="27">
        <f t="shared" si="56"/>
        <v>8.308610859106901</v>
      </c>
      <c r="AK110" s="27">
        <f t="shared" si="57"/>
        <v>9.179755383385487</v>
      </c>
      <c r="AL110" s="27">
        <f t="shared" si="58"/>
        <v>10.514910282919347</v>
      </c>
      <c r="AM110" s="27">
        <f t="shared" si="59"/>
        <v>9.5826683258376697</v>
      </c>
      <c r="AN110" s="27">
        <f t="shared" si="60"/>
        <v>9.0211150388654335</v>
      </c>
      <c r="AO110" s="27">
        <f t="shared" si="61"/>
        <v>8.7534611200732098</v>
      </c>
      <c r="AP110" s="27">
        <f t="shared" si="62"/>
        <v>10.936084674806935</v>
      </c>
      <c r="AQ110" s="27">
        <f t="shared" si="63"/>
        <v>12.313064330108336</v>
      </c>
      <c r="AR110" s="27">
        <f t="shared" si="64"/>
        <v>7.9714309977693505</v>
      </c>
      <c r="AS110" s="19"/>
      <c r="AT110" s="29">
        <f t="shared" si="65"/>
        <v>-8.0961041675209344E-4</v>
      </c>
      <c r="AU110" s="29">
        <f t="shared" si="66"/>
        <v>8.0400991533124966E-4</v>
      </c>
      <c r="AV110" s="29">
        <f t="shared" si="67"/>
        <v>2.4476565217785407E-2</v>
      </c>
      <c r="AW110" s="29">
        <f t="shared" si="68"/>
        <v>1.0030878939671695E-2</v>
      </c>
      <c r="AX110" s="29">
        <f t="shared" si="69"/>
        <v>3.1057650123695879E-3</v>
      </c>
      <c r="AY110" s="29">
        <f t="shared" si="70"/>
        <v>2.8712236956867088E-3</v>
      </c>
      <c r="AZ110" s="29">
        <f t="shared" si="71"/>
        <v>4.1108518159251872E-3</v>
      </c>
      <c r="BA110" s="29">
        <f t="shared" si="72"/>
        <v>-1.2123269901049838E-3</v>
      </c>
      <c r="BB110" s="29">
        <f t="shared" si="73"/>
        <v>3.2217122406414944E-3</v>
      </c>
      <c r="BC110" s="29">
        <f t="shared" si="74"/>
        <v>9.0953814828775847E-3</v>
      </c>
      <c r="BD110" s="29">
        <f t="shared" si="75"/>
        <v>6.0285015005678844E-3</v>
      </c>
      <c r="BE110" s="29">
        <f t="shared" si="76"/>
        <v>2.8432874913164596E-4</v>
      </c>
      <c r="BF110" s="29">
        <f t="shared" si="77"/>
        <v>3.8178858294930507E-3</v>
      </c>
      <c r="BG110" s="29">
        <f t="shared" si="78"/>
        <v>3.7373412548760143E-3</v>
      </c>
      <c r="BH110" s="29">
        <f t="shared" si="79"/>
        <v>1.1515374293022518E-2</v>
      </c>
      <c r="BI110" s="29">
        <f t="shared" si="80"/>
        <v>1.8183789645924264E-2</v>
      </c>
      <c r="BJ110" s="29">
        <f t="shared" si="81"/>
        <v>2.9041646742911098E-3</v>
      </c>
      <c r="BK110" s="29">
        <f t="shared" si="82"/>
        <v>2.5526158552384715E-3</v>
      </c>
      <c r="BL110" s="29">
        <f t="shared" si="83"/>
        <v>-2.1362576407923939E-4</v>
      </c>
      <c r="BM110" s="29">
        <f t="shared" si="84"/>
        <v>1.0595730803427017E-2</v>
      </c>
      <c r="BN110" s="29">
        <f t="shared" si="85"/>
        <v>6.2327071571743886E-3</v>
      </c>
      <c r="BO110" s="20"/>
      <c r="BP110" s="19"/>
      <c r="BR110" s="19"/>
      <c r="BS110" s="19"/>
      <c r="BT110" s="19"/>
      <c r="BU110" s="19"/>
      <c r="BW110" s="19"/>
      <c r="BX110" s="20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20"/>
      <c r="CO110" s="19"/>
      <c r="CP110" s="20"/>
      <c r="DG110" s="24"/>
      <c r="DO110" s="24"/>
      <c r="EE110" s="24"/>
      <c r="EF110" s="20"/>
      <c r="GH110" s="24"/>
      <c r="GI110" s="19"/>
      <c r="GJ110" s="22"/>
    </row>
    <row r="111" spans="1:192" x14ac:dyDescent="0.25">
      <c r="A111" s="18">
        <v>1979</v>
      </c>
      <c r="B111" s="19">
        <v>7549.4250000000002</v>
      </c>
      <c r="C111" s="19">
        <v>9837.2000000000007</v>
      </c>
      <c r="D111" s="19">
        <v>120101</v>
      </c>
      <c r="E111" s="19">
        <v>24276.9</v>
      </c>
      <c r="F111" s="19">
        <v>5116.8</v>
      </c>
      <c r="G111" s="19">
        <v>4764.6899999999996</v>
      </c>
      <c r="H111" s="19">
        <v>54836</v>
      </c>
      <c r="I111" s="19">
        <v>78081.292000000001</v>
      </c>
      <c r="J111" s="19">
        <v>56367.71</v>
      </c>
      <c r="K111" s="21">
        <v>115890.431</v>
      </c>
      <c r="L111" s="19">
        <v>14030.002</v>
      </c>
      <c r="M111" s="19">
        <v>3164.55</v>
      </c>
      <c r="N111" s="19">
        <v>4072.5169999999998</v>
      </c>
      <c r="O111" s="19">
        <v>9724.56</v>
      </c>
      <c r="P111" s="19">
        <v>37200.014000000003</v>
      </c>
      <c r="Q111" s="21">
        <v>14796.646000000001</v>
      </c>
      <c r="R111" s="19">
        <v>8294</v>
      </c>
      <c r="S111" s="19">
        <v>6350.84</v>
      </c>
      <c r="T111" s="19">
        <v>56228</v>
      </c>
      <c r="U111" s="19">
        <v>225055</v>
      </c>
      <c r="V111" s="19">
        <v>2914</v>
      </c>
      <c r="W111" s="20"/>
      <c r="X111" s="27">
        <f t="shared" si="44"/>
        <v>8.9292266804024329</v>
      </c>
      <c r="Y111" s="27">
        <f t="shared" si="45"/>
        <v>9.1939263967079281</v>
      </c>
      <c r="Z111" s="27">
        <f t="shared" si="46"/>
        <v>11.696088334428081</v>
      </c>
      <c r="AA111" s="27">
        <f t="shared" si="47"/>
        <v>10.097280559921526</v>
      </c>
      <c r="AB111" s="27">
        <f t="shared" si="48"/>
        <v>8.5402845226396344</v>
      </c>
      <c r="AC111" s="27">
        <f t="shared" si="49"/>
        <v>8.4689877562594713</v>
      </c>
      <c r="AD111" s="27">
        <f t="shared" si="50"/>
        <v>10.912102191555791</v>
      </c>
      <c r="AE111" s="27">
        <f t="shared" si="51"/>
        <v>11.265505768081219</v>
      </c>
      <c r="AF111" s="27">
        <f t="shared" si="52"/>
        <v>10.939651755804798</v>
      </c>
      <c r="AG111" s="27">
        <f t="shared" si="53"/>
        <v>11.660400463365441</v>
      </c>
      <c r="AH111" s="27">
        <f t="shared" si="54"/>
        <v>9.5489533156481716</v>
      </c>
      <c r="AI111" s="27">
        <f t="shared" si="55"/>
        <v>8.059766144374942</v>
      </c>
      <c r="AJ111" s="27">
        <f t="shared" si="56"/>
        <v>8.3120165148075742</v>
      </c>
      <c r="AK111" s="27">
        <f t="shared" si="57"/>
        <v>9.1824099232471585</v>
      </c>
      <c r="AL111" s="27">
        <f t="shared" si="58"/>
        <v>10.524064416605253</v>
      </c>
      <c r="AM111" s="27">
        <f t="shared" si="59"/>
        <v>9.6021558124480251</v>
      </c>
      <c r="AN111" s="27">
        <f t="shared" si="60"/>
        <v>9.0232876408063269</v>
      </c>
      <c r="AO111" s="27">
        <f t="shared" si="61"/>
        <v>8.7563423666026186</v>
      </c>
      <c r="AP111" s="27">
        <f t="shared" si="62"/>
        <v>10.937170132451657</v>
      </c>
      <c r="AQ111" s="27">
        <f t="shared" si="63"/>
        <v>12.324100095759325</v>
      </c>
      <c r="AR111" s="27">
        <f t="shared" si="64"/>
        <v>7.9772819867551501</v>
      </c>
      <c r="AS111" s="19"/>
      <c r="AT111" s="29">
        <f t="shared" si="65"/>
        <v>-1.7046364802553171E-3</v>
      </c>
      <c r="AU111" s="29">
        <f t="shared" si="66"/>
        <v>7.6270285236290647E-4</v>
      </c>
      <c r="AV111" s="29">
        <f t="shared" si="67"/>
        <v>2.4391453124158247E-2</v>
      </c>
      <c r="AW111" s="29">
        <f t="shared" si="68"/>
        <v>9.9600932675141252E-3</v>
      </c>
      <c r="AX111" s="29">
        <f t="shared" si="69"/>
        <v>2.4563053690034309E-3</v>
      </c>
      <c r="AY111" s="29">
        <f t="shared" si="70"/>
        <v>2.5557902782615827E-3</v>
      </c>
      <c r="AZ111" s="29">
        <f t="shared" si="71"/>
        <v>4.2764004570283731E-3</v>
      </c>
      <c r="BA111" s="29">
        <f t="shared" si="72"/>
        <v>1.9491843427132949E-4</v>
      </c>
      <c r="BB111" s="29">
        <f t="shared" si="73"/>
        <v>2.2656866492312133E-3</v>
      </c>
      <c r="BC111" s="29">
        <f t="shared" si="74"/>
        <v>8.4706385654307326E-3</v>
      </c>
      <c r="BD111" s="29">
        <f t="shared" si="75"/>
        <v>6.6685135418698138E-3</v>
      </c>
      <c r="BE111" s="29">
        <f t="shared" si="76"/>
        <v>-3.9492287669595783E-4</v>
      </c>
      <c r="BF111" s="29">
        <f t="shared" si="77"/>
        <v>3.4056557006731936E-3</v>
      </c>
      <c r="BG111" s="29">
        <f t="shared" si="78"/>
        <v>2.6545398616715232E-3</v>
      </c>
      <c r="BH111" s="29">
        <f t="shared" si="79"/>
        <v>9.1541336859055633E-3</v>
      </c>
      <c r="BI111" s="29">
        <f t="shared" si="80"/>
        <v>1.9487486610355376E-2</v>
      </c>
      <c r="BJ111" s="29">
        <f t="shared" si="81"/>
        <v>2.172601940893415E-3</v>
      </c>
      <c r="BK111" s="29">
        <f t="shared" si="82"/>
        <v>2.8812465294087986E-3</v>
      </c>
      <c r="BL111" s="29">
        <f t="shared" si="83"/>
        <v>1.0854576447218989E-3</v>
      </c>
      <c r="BM111" s="29">
        <f t="shared" si="84"/>
        <v>1.1035765650989404E-2</v>
      </c>
      <c r="BN111" s="29">
        <f t="shared" si="85"/>
        <v>5.85098898579961E-3</v>
      </c>
      <c r="BO111" s="20"/>
      <c r="BP111" s="19"/>
      <c r="BR111" s="19"/>
      <c r="BS111" s="19"/>
      <c r="BT111" s="19"/>
      <c r="BU111" s="19"/>
      <c r="BW111" s="19"/>
      <c r="BX111" s="20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20"/>
      <c r="CO111" s="19"/>
      <c r="CP111" s="20"/>
      <c r="DG111" s="24"/>
      <c r="DO111" s="24"/>
      <c r="EE111" s="24"/>
      <c r="EF111" s="20"/>
      <c r="GH111" s="24"/>
      <c r="GI111" s="19"/>
      <c r="GJ111" s="22"/>
    </row>
    <row r="112" spans="1:192" x14ac:dyDescent="0.25">
      <c r="A112" s="18">
        <v>1980</v>
      </c>
      <c r="B112" s="19">
        <v>7549.433</v>
      </c>
      <c r="C112" s="19">
        <v>9846.7999999999993</v>
      </c>
      <c r="D112" s="19">
        <v>123020</v>
      </c>
      <c r="E112" s="19">
        <v>24593.3</v>
      </c>
      <c r="F112" s="19">
        <v>5123.027</v>
      </c>
      <c r="G112" s="19">
        <v>4779.5349999999999</v>
      </c>
      <c r="H112" s="19">
        <v>55110</v>
      </c>
      <c r="I112" s="19">
        <v>78297.903999999995</v>
      </c>
      <c r="J112" s="19">
        <v>56451.247000000003</v>
      </c>
      <c r="K112" s="21">
        <v>116807.30899999999</v>
      </c>
      <c r="L112" s="19">
        <v>14143.901</v>
      </c>
      <c r="M112" s="19">
        <v>3170.15</v>
      </c>
      <c r="N112" s="19">
        <v>4085.62</v>
      </c>
      <c r="O112" s="19">
        <v>9777.7999999999993</v>
      </c>
      <c r="P112" s="19">
        <v>37488.36</v>
      </c>
      <c r="Q112" s="21">
        <v>15055.97</v>
      </c>
      <c r="R112" s="19">
        <v>8310</v>
      </c>
      <c r="S112" s="19">
        <v>6385.2290000000003</v>
      </c>
      <c r="T112" s="19">
        <v>56314</v>
      </c>
      <c r="U112" s="19">
        <v>227726.46299999999</v>
      </c>
      <c r="V112" s="19">
        <v>2930</v>
      </c>
      <c r="W112" s="20"/>
      <c r="X112" s="27">
        <f t="shared" si="44"/>
        <v>8.929227740085226</v>
      </c>
      <c r="Y112" s="27">
        <f t="shared" si="45"/>
        <v>9.1949018082869909</v>
      </c>
      <c r="Z112" s="27">
        <f t="shared" si="46"/>
        <v>11.720102222762359</v>
      </c>
      <c r="AA112" s="27">
        <f t="shared" si="47"/>
        <v>10.110229327100777</v>
      </c>
      <c r="AB112" s="27">
        <f t="shared" si="48"/>
        <v>8.5415007542747183</v>
      </c>
      <c r="AC112" s="27">
        <f t="shared" si="49"/>
        <v>8.4720985404187346</v>
      </c>
      <c r="AD112" s="27">
        <f t="shared" si="50"/>
        <v>10.917086466877281</v>
      </c>
      <c r="AE112" s="27">
        <f t="shared" si="51"/>
        <v>11.2682761127828</v>
      </c>
      <c r="AF112" s="27">
        <f t="shared" si="52"/>
        <v>10.941132659679258</v>
      </c>
      <c r="AG112" s="27">
        <f t="shared" si="53"/>
        <v>11.668280924473196</v>
      </c>
      <c r="AH112" s="27">
        <f t="shared" si="54"/>
        <v>9.5570387854185395</v>
      </c>
      <c r="AI112" s="27">
        <f t="shared" si="55"/>
        <v>8.0615341843638237</v>
      </c>
      <c r="AJ112" s="27">
        <f t="shared" si="56"/>
        <v>8.3152287705632766</v>
      </c>
      <c r="AK112" s="27">
        <f t="shared" si="57"/>
        <v>9.1878697888488148</v>
      </c>
      <c r="AL112" s="27">
        <f t="shared" si="58"/>
        <v>10.531785763774451</v>
      </c>
      <c r="AM112" s="27">
        <f t="shared" si="59"/>
        <v>9.6195298692620703</v>
      </c>
      <c r="AN112" s="27">
        <f t="shared" si="60"/>
        <v>9.0252148878494936</v>
      </c>
      <c r="AO112" s="27">
        <f t="shared" si="61"/>
        <v>8.7617426331328137</v>
      </c>
      <c r="AP112" s="27">
        <f t="shared" si="62"/>
        <v>10.938698451065855</v>
      </c>
      <c r="AQ112" s="27">
        <f t="shared" si="63"/>
        <v>12.335900464007787</v>
      </c>
      <c r="AR112" s="27">
        <f t="shared" si="64"/>
        <v>7.9827577020111127</v>
      </c>
      <c r="AS112" s="19"/>
      <c r="AT112" s="29">
        <f t="shared" si="65"/>
        <v>1.0596827930697827E-6</v>
      </c>
      <c r="AU112" s="29">
        <f t="shared" si="66"/>
        <v>9.7541157906277931E-4</v>
      </c>
      <c r="AV112" s="29">
        <f t="shared" si="67"/>
        <v>2.4013888334277311E-2</v>
      </c>
      <c r="AW112" s="29">
        <f t="shared" si="68"/>
        <v>1.2948767179251419E-2</v>
      </c>
      <c r="AX112" s="29">
        <f t="shared" si="69"/>
        <v>1.2162316350838864E-3</v>
      </c>
      <c r="AY112" s="29">
        <f t="shared" si="70"/>
        <v>3.1107841592632468E-3</v>
      </c>
      <c r="AZ112" s="29">
        <f t="shared" si="71"/>
        <v>4.9842753214903723E-3</v>
      </c>
      <c r="BA112" s="29">
        <f t="shared" si="72"/>
        <v>2.7703447015809957E-3</v>
      </c>
      <c r="BB112" s="29">
        <f t="shared" si="73"/>
        <v>1.4809038744605374E-3</v>
      </c>
      <c r="BC112" s="29">
        <f t="shared" si="74"/>
        <v>7.8804611077547548E-3</v>
      </c>
      <c r="BD112" s="29">
        <f t="shared" si="75"/>
        <v>8.0854697703678369E-3</v>
      </c>
      <c r="BE112" s="29">
        <f t="shared" si="76"/>
        <v>1.7680399888817533E-3</v>
      </c>
      <c r="BF112" s="29">
        <f t="shared" si="77"/>
        <v>3.2122557557023868E-3</v>
      </c>
      <c r="BG112" s="29">
        <f t="shared" si="78"/>
        <v>5.459865601656233E-3</v>
      </c>
      <c r="BH112" s="29">
        <f t="shared" si="79"/>
        <v>7.7213471691983671E-3</v>
      </c>
      <c r="BI112" s="29">
        <f t="shared" si="80"/>
        <v>1.7374056814045247E-2</v>
      </c>
      <c r="BJ112" s="29">
        <f t="shared" si="81"/>
        <v>1.9272470431666022E-3</v>
      </c>
      <c r="BK112" s="29">
        <f t="shared" si="82"/>
        <v>5.4002665301950969E-3</v>
      </c>
      <c r="BL112" s="29">
        <f t="shared" si="83"/>
        <v>1.5283186141985539E-3</v>
      </c>
      <c r="BM112" s="29">
        <f t="shared" si="84"/>
        <v>1.1800368248461979E-2</v>
      </c>
      <c r="BN112" s="29">
        <f t="shared" si="85"/>
        <v>5.4757152559625766E-3</v>
      </c>
      <c r="BO112" s="20"/>
      <c r="BP112" s="19"/>
      <c r="BR112" s="19"/>
      <c r="BS112" s="19"/>
      <c r="BT112" s="19"/>
      <c r="BU112" s="19"/>
      <c r="BW112" s="19"/>
      <c r="BX112" s="20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20"/>
      <c r="CO112" s="19"/>
      <c r="CP112" s="20"/>
      <c r="DG112" s="24"/>
      <c r="DO112" s="24"/>
      <c r="EE112" s="24"/>
      <c r="EF112" s="20"/>
      <c r="GH112" s="24"/>
      <c r="GI112" s="19"/>
      <c r="GJ112" s="22"/>
    </row>
    <row r="113" spans="1:192" x14ac:dyDescent="0.25">
      <c r="A113" s="18">
        <v>1981</v>
      </c>
      <c r="B113" s="19">
        <v>7564.6289999999999</v>
      </c>
      <c r="C113" s="19">
        <v>9852.4</v>
      </c>
      <c r="D113" s="19">
        <v>125992</v>
      </c>
      <c r="E113" s="19">
        <v>24900</v>
      </c>
      <c r="F113" s="19">
        <v>5121.5720000000001</v>
      </c>
      <c r="G113" s="19">
        <v>4799.9639999999999</v>
      </c>
      <c r="H113" s="19">
        <v>55399</v>
      </c>
      <c r="I113" s="19">
        <v>78401.83</v>
      </c>
      <c r="J113" s="19">
        <v>56502.489000000001</v>
      </c>
      <c r="K113" s="21">
        <v>117648.092</v>
      </c>
      <c r="L113" s="19">
        <v>14246.049000000001</v>
      </c>
      <c r="M113" s="19">
        <v>3185.45</v>
      </c>
      <c r="N113" s="19">
        <v>4099.7020000000002</v>
      </c>
      <c r="O113" s="19">
        <v>9850.0789999999997</v>
      </c>
      <c r="P113" s="19">
        <v>37750.800000000003</v>
      </c>
      <c r="Q113" s="21">
        <v>15315.491</v>
      </c>
      <c r="R113" s="19">
        <v>8320</v>
      </c>
      <c r="S113" s="19">
        <v>6425.45</v>
      </c>
      <c r="T113" s="19">
        <v>56382.597000000002</v>
      </c>
      <c r="U113" s="19">
        <v>229966.23699999999</v>
      </c>
      <c r="V113" s="19">
        <v>2848</v>
      </c>
      <c r="W113" s="20"/>
      <c r="X113" s="27">
        <f t="shared" si="44"/>
        <v>8.9312385833807486</v>
      </c>
      <c r="Y113" s="27">
        <f t="shared" si="45"/>
        <v>9.1954703593094536</v>
      </c>
      <c r="Z113" s="27">
        <f t="shared" si="46"/>
        <v>11.743973691854416</v>
      </c>
      <c r="AA113" s="27">
        <f t="shared" si="47"/>
        <v>10.122623082452799</v>
      </c>
      <c r="AB113" s="27">
        <f t="shared" si="48"/>
        <v>8.5412167021591046</v>
      </c>
      <c r="AC113" s="27">
        <f t="shared" si="49"/>
        <v>8.4763636968678568</v>
      </c>
      <c r="AD113" s="27">
        <f t="shared" si="50"/>
        <v>10.922316822030947</v>
      </c>
      <c r="AE113" s="27">
        <f t="shared" si="51"/>
        <v>11.269602547902817</v>
      </c>
      <c r="AF113" s="27">
        <f t="shared" si="52"/>
        <v>10.942039969261568</v>
      </c>
      <c r="AG113" s="27">
        <f t="shared" si="53"/>
        <v>11.675453176429443</v>
      </c>
      <c r="AH113" s="27">
        <f t="shared" si="54"/>
        <v>9.5642348840943665</v>
      </c>
      <c r="AI113" s="27">
        <f t="shared" si="55"/>
        <v>8.0663488453102996</v>
      </c>
      <c r="AJ113" s="27">
        <f t="shared" si="56"/>
        <v>8.3186695671240383</v>
      </c>
      <c r="AK113" s="27">
        <f t="shared" si="57"/>
        <v>9.1952347544385411</v>
      </c>
      <c r="AL113" s="27">
        <f t="shared" si="58"/>
        <v>10.538761946505602</v>
      </c>
      <c r="AM113" s="27">
        <f t="shared" si="59"/>
        <v>9.6366200788247873</v>
      </c>
      <c r="AN113" s="27">
        <f t="shared" si="60"/>
        <v>9.0264175338152537</v>
      </c>
      <c r="AO113" s="27">
        <f t="shared" si="61"/>
        <v>8.7680219462213156</v>
      </c>
      <c r="AP113" s="27">
        <f t="shared" si="62"/>
        <v>10.93991582604075</v>
      </c>
      <c r="AQ113" s="27">
        <f t="shared" si="63"/>
        <v>12.345687781477622</v>
      </c>
      <c r="AR113" s="27">
        <f t="shared" si="64"/>
        <v>7.9543722725318666</v>
      </c>
      <c r="AS113" s="19"/>
      <c r="AT113" s="29">
        <f t="shared" si="65"/>
        <v>2.0108432955225908E-3</v>
      </c>
      <c r="AU113" s="29">
        <f t="shared" si="66"/>
        <v>5.6855102246267109E-4</v>
      </c>
      <c r="AV113" s="29">
        <f t="shared" si="67"/>
        <v>2.3871469092057396E-2</v>
      </c>
      <c r="AW113" s="29">
        <f t="shared" si="68"/>
        <v>1.239375535202214E-2</v>
      </c>
      <c r="AX113" s="29">
        <f t="shared" si="69"/>
        <v>-2.8405211561377541E-4</v>
      </c>
      <c r="AY113" s="29">
        <f t="shared" si="70"/>
        <v>4.2651564491222871E-3</v>
      </c>
      <c r="AZ113" s="29">
        <f t="shared" si="71"/>
        <v>5.2303551536656556E-3</v>
      </c>
      <c r="BA113" s="29">
        <f t="shared" si="72"/>
        <v>1.3264351200170665E-3</v>
      </c>
      <c r="BB113" s="29">
        <f t="shared" si="73"/>
        <v>9.0730958230977876E-4</v>
      </c>
      <c r="BC113" s="29">
        <f t="shared" si="74"/>
        <v>7.1722519562467113E-3</v>
      </c>
      <c r="BD113" s="29">
        <f t="shared" si="75"/>
        <v>7.1960986758270451E-3</v>
      </c>
      <c r="BE113" s="29">
        <f t="shared" si="76"/>
        <v>4.8146609464758683E-3</v>
      </c>
      <c r="BF113" s="29">
        <f t="shared" si="77"/>
        <v>3.4407965607616831E-3</v>
      </c>
      <c r="BG113" s="29">
        <f t="shared" si="78"/>
        <v>7.3649655897263244E-3</v>
      </c>
      <c r="BH113" s="29">
        <f t="shared" si="79"/>
        <v>6.9761827311509705E-3</v>
      </c>
      <c r="BI113" s="29">
        <f t="shared" si="80"/>
        <v>1.7090209562717007E-2</v>
      </c>
      <c r="BJ113" s="29">
        <f t="shared" si="81"/>
        <v>1.2026459657601407E-3</v>
      </c>
      <c r="BK113" s="29">
        <f t="shared" si="82"/>
        <v>6.2793130885019366E-3</v>
      </c>
      <c r="BL113" s="29">
        <f t="shared" si="83"/>
        <v>1.2173749748942697E-3</v>
      </c>
      <c r="BM113" s="29">
        <f t="shared" si="84"/>
        <v>9.7873174698346332E-3</v>
      </c>
      <c r="BN113" s="29">
        <f t="shared" si="85"/>
        <v>-2.8385429479246049E-2</v>
      </c>
      <c r="BO113" s="20"/>
      <c r="BP113" s="19"/>
      <c r="BR113" s="19"/>
      <c r="BS113" s="19"/>
      <c r="BT113" s="19"/>
      <c r="BU113" s="19"/>
      <c r="BW113" s="19"/>
      <c r="BX113" s="20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20"/>
      <c r="CO113" s="19"/>
      <c r="CP113" s="20"/>
      <c r="DG113" s="24"/>
      <c r="DO113" s="24"/>
      <c r="EE113" s="24"/>
      <c r="EF113" s="20"/>
      <c r="GH113" s="24"/>
      <c r="GI113" s="19"/>
      <c r="GJ113" s="22"/>
    </row>
    <row r="114" spans="1:192" x14ac:dyDescent="0.25">
      <c r="A114" s="18">
        <v>1982</v>
      </c>
      <c r="B114" s="19">
        <v>7574.6130000000003</v>
      </c>
      <c r="C114" s="19">
        <v>9856.3029999999999</v>
      </c>
      <c r="D114" s="19">
        <v>129028</v>
      </c>
      <c r="E114" s="19">
        <v>25201.9</v>
      </c>
      <c r="F114" s="19">
        <v>5117.8100000000004</v>
      </c>
      <c r="G114" s="19">
        <v>4826.933</v>
      </c>
      <c r="H114" s="19">
        <v>55697</v>
      </c>
      <c r="I114" s="19">
        <v>78335.266000000003</v>
      </c>
      <c r="J114" s="19">
        <v>56535.635999999999</v>
      </c>
      <c r="K114" s="21">
        <v>118454.974</v>
      </c>
      <c r="L114" s="19">
        <v>14310.401</v>
      </c>
      <c r="M114" s="19">
        <v>3217</v>
      </c>
      <c r="N114" s="19">
        <v>4114.7870000000003</v>
      </c>
      <c r="O114" s="19">
        <v>9859.65</v>
      </c>
      <c r="P114" s="19">
        <v>37983.31</v>
      </c>
      <c r="Q114" s="21">
        <v>15575.466</v>
      </c>
      <c r="R114" s="19">
        <v>8325</v>
      </c>
      <c r="S114" s="19">
        <v>6468.1260000000002</v>
      </c>
      <c r="T114" s="19">
        <v>56339.703999999998</v>
      </c>
      <c r="U114" s="19">
        <v>232187.83499999999</v>
      </c>
      <c r="V114" s="19">
        <v>2968</v>
      </c>
      <c r="W114" s="20"/>
      <c r="X114" s="27">
        <f t="shared" si="44"/>
        <v>8.9325575399635664</v>
      </c>
      <c r="Y114" s="27">
        <f t="shared" si="45"/>
        <v>9.1958664279955595</v>
      </c>
      <c r="Z114" s="27">
        <f t="shared" si="46"/>
        <v>11.767784714054507</v>
      </c>
      <c r="AA114" s="27">
        <f t="shared" si="47"/>
        <v>10.134674667482713</v>
      </c>
      <c r="AB114" s="27">
        <f t="shared" si="48"/>
        <v>8.5404818921541121</v>
      </c>
      <c r="AC114" s="27">
        <f t="shared" si="49"/>
        <v>8.4819665553072721</v>
      </c>
      <c r="AD114" s="27">
        <f t="shared" si="50"/>
        <v>10.927681564500782</v>
      </c>
      <c r="AE114" s="27">
        <f t="shared" si="51"/>
        <v>11.268753176494254</v>
      </c>
      <c r="AF114" s="27">
        <f t="shared" si="52"/>
        <v>10.942626443974415</v>
      </c>
      <c r="AG114" s="27">
        <f t="shared" si="53"/>
        <v>11.682288201107133</v>
      </c>
      <c r="AH114" s="27">
        <f t="shared" si="54"/>
        <v>9.5687418945198619</v>
      </c>
      <c r="AI114" s="27">
        <f t="shared" si="55"/>
        <v>8.0762045272390264</v>
      </c>
      <c r="AJ114" s="27">
        <f t="shared" si="56"/>
        <v>8.3223423499245772</v>
      </c>
      <c r="AK114" s="27">
        <f t="shared" si="57"/>
        <v>9.1962059500092455</v>
      </c>
      <c r="AL114" s="27">
        <f t="shared" si="58"/>
        <v>10.544902131701013</v>
      </c>
      <c r="AM114" s="27">
        <f t="shared" si="59"/>
        <v>9.6534522629512463</v>
      </c>
      <c r="AN114" s="27">
        <f t="shared" si="60"/>
        <v>9.0270183148486449</v>
      </c>
      <c r="AO114" s="27">
        <f t="shared" si="61"/>
        <v>8.7746417010267344</v>
      </c>
      <c r="AP114" s="27">
        <f t="shared" si="62"/>
        <v>10.939154787600446</v>
      </c>
      <c r="AQ114" s="27">
        <f t="shared" si="63"/>
        <v>12.355301956692637</v>
      </c>
      <c r="AR114" s="27">
        <f t="shared" si="64"/>
        <v>7.9956436042872712</v>
      </c>
      <c r="AS114" s="19"/>
      <c r="AT114" s="29">
        <f t="shared" si="65"/>
        <v>1.3189565828177763E-3</v>
      </c>
      <c r="AU114" s="29">
        <f t="shared" si="66"/>
        <v>3.9606868610597701E-4</v>
      </c>
      <c r="AV114" s="29">
        <f t="shared" si="67"/>
        <v>2.3811022200090903E-2</v>
      </c>
      <c r="AW114" s="29">
        <f t="shared" si="68"/>
        <v>1.205158502991388E-2</v>
      </c>
      <c r="AX114" s="29">
        <f t="shared" si="69"/>
        <v>-7.3481000499242555E-4</v>
      </c>
      <c r="AY114" s="29">
        <f t="shared" si="70"/>
        <v>5.6028584394152148E-3</v>
      </c>
      <c r="AZ114" s="29">
        <f t="shared" si="71"/>
        <v>5.3647424698350932E-3</v>
      </c>
      <c r="BA114" s="29">
        <f t="shared" si="72"/>
        <v>-8.4937140856311544E-4</v>
      </c>
      <c r="BB114" s="29">
        <f t="shared" si="73"/>
        <v>5.8647471284700714E-4</v>
      </c>
      <c r="BC114" s="29">
        <f t="shared" si="74"/>
        <v>6.835024677689816E-3</v>
      </c>
      <c r="BD114" s="29">
        <f t="shared" si="75"/>
        <v>4.5070104254953947E-3</v>
      </c>
      <c r="BE114" s="29">
        <f t="shared" si="76"/>
        <v>9.8556819287267672E-3</v>
      </c>
      <c r="BF114" s="29">
        <f t="shared" si="77"/>
        <v>3.672782800538954E-3</v>
      </c>
      <c r="BG114" s="29">
        <f t="shared" si="78"/>
        <v>9.7119557070435292E-4</v>
      </c>
      <c r="BH114" s="29">
        <f t="shared" si="79"/>
        <v>6.140185195411263E-3</v>
      </c>
      <c r="BI114" s="29">
        <f t="shared" si="80"/>
        <v>1.6832184126458927E-2</v>
      </c>
      <c r="BJ114" s="29">
        <f t="shared" si="81"/>
        <v>6.007810333912289E-4</v>
      </c>
      <c r="BK114" s="29">
        <f t="shared" si="82"/>
        <v>6.6197548054187649E-3</v>
      </c>
      <c r="BL114" s="29">
        <f t="shared" si="83"/>
        <v>-7.6103844030406265E-4</v>
      </c>
      <c r="BM114" s="29">
        <f t="shared" si="84"/>
        <v>9.6141752150149529E-3</v>
      </c>
      <c r="BN114" s="29">
        <f t="shared" si="85"/>
        <v>4.1271331755404539E-2</v>
      </c>
      <c r="BO114" s="20"/>
      <c r="BP114" s="19"/>
      <c r="BR114" s="19"/>
      <c r="BS114" s="19"/>
      <c r="BT114" s="19"/>
      <c r="BU114" s="19"/>
      <c r="BW114" s="19"/>
      <c r="BX114" s="20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20"/>
      <c r="CO114" s="19"/>
      <c r="CP114" s="20"/>
      <c r="DG114" s="24"/>
      <c r="DO114" s="24"/>
      <c r="EE114" s="24"/>
      <c r="EF114" s="20"/>
      <c r="GH114" s="24"/>
      <c r="GI114" s="19"/>
      <c r="GJ114" s="22"/>
    </row>
    <row r="115" spans="1:192" x14ac:dyDescent="0.25">
      <c r="A115" s="18">
        <v>1983</v>
      </c>
      <c r="B115" s="19">
        <v>7552.8959999999997</v>
      </c>
      <c r="C115" s="19">
        <v>9855.52</v>
      </c>
      <c r="D115" s="19">
        <v>131960</v>
      </c>
      <c r="E115" s="19">
        <v>25456.3</v>
      </c>
      <c r="F115" s="19">
        <v>5114.2969999999996</v>
      </c>
      <c r="G115" s="19">
        <v>4855.7870000000003</v>
      </c>
      <c r="H115" s="19">
        <v>55929</v>
      </c>
      <c r="I115" s="19">
        <v>78121.654999999999</v>
      </c>
      <c r="J115" s="19">
        <v>56630.129000000001</v>
      </c>
      <c r="K115" s="21">
        <v>119269.94899999999</v>
      </c>
      <c r="L115" s="19">
        <v>14362.380999999999</v>
      </c>
      <c r="M115" s="19">
        <v>3258</v>
      </c>
      <c r="N115" s="19">
        <v>4128.4319999999998</v>
      </c>
      <c r="O115" s="19">
        <v>9872.2430000000004</v>
      </c>
      <c r="P115" s="19">
        <v>38184.165999999997</v>
      </c>
      <c r="Q115" s="21">
        <v>15784.464</v>
      </c>
      <c r="R115" s="19">
        <v>8329</v>
      </c>
      <c r="S115" s="19">
        <v>6501.0730000000003</v>
      </c>
      <c r="T115" s="19">
        <v>56382.623</v>
      </c>
      <c r="U115" s="19">
        <v>234307.20699999999</v>
      </c>
      <c r="V115" s="19">
        <v>2989</v>
      </c>
      <c r="W115" s="20"/>
      <c r="X115" s="27">
        <f t="shared" si="44"/>
        <v>8.9296863448554831</v>
      </c>
      <c r="Y115" s="27">
        <f t="shared" si="45"/>
        <v>9.1957869832886523</v>
      </c>
      <c r="Z115" s="27">
        <f t="shared" si="46"/>
        <v>11.790254125342518</v>
      </c>
      <c r="AA115" s="27">
        <f t="shared" si="47"/>
        <v>10.14471853554898</v>
      </c>
      <c r="AB115" s="27">
        <f t="shared" si="48"/>
        <v>8.5397952300349544</v>
      </c>
      <c r="AC115" s="27">
        <f t="shared" si="49"/>
        <v>8.4879264685153686</v>
      </c>
      <c r="AD115" s="27">
        <f t="shared" si="50"/>
        <v>10.931838308163572</v>
      </c>
      <c r="AE115" s="27">
        <f t="shared" si="51"/>
        <v>11.266022570122072</v>
      </c>
      <c r="AF115" s="27">
        <f t="shared" si="52"/>
        <v>10.944296437049809</v>
      </c>
      <c r="AG115" s="27">
        <f t="shared" si="53"/>
        <v>11.689144681971383</v>
      </c>
      <c r="AH115" s="27">
        <f t="shared" si="54"/>
        <v>9.5723676366570647</v>
      </c>
      <c r="AI115" s="27">
        <f t="shared" si="55"/>
        <v>8.0888687891619906</v>
      </c>
      <c r="AJ115" s="27">
        <f t="shared" si="56"/>
        <v>8.3256529528486389</v>
      </c>
      <c r="AK115" s="27">
        <f t="shared" si="57"/>
        <v>9.1974823609151564</v>
      </c>
      <c r="AL115" s="27">
        <f t="shared" si="58"/>
        <v>10.55017620604691</v>
      </c>
      <c r="AM115" s="27">
        <f t="shared" si="59"/>
        <v>9.6667814441279489</v>
      </c>
      <c r="AN115" s="27">
        <f t="shared" si="60"/>
        <v>9.0274986799353396</v>
      </c>
      <c r="AO115" s="27">
        <f t="shared" si="61"/>
        <v>8.7797225191831103</v>
      </c>
      <c r="AP115" s="27">
        <f t="shared" si="62"/>
        <v>10.939916287175841</v>
      </c>
      <c r="AQ115" s="27">
        <f t="shared" si="63"/>
        <v>12.364388383732591</v>
      </c>
      <c r="AR115" s="27">
        <f t="shared" si="64"/>
        <v>8.0026941622839374</v>
      </c>
      <c r="AS115" s="19"/>
      <c r="AT115" s="29">
        <f t="shared" si="65"/>
        <v>-2.8711951080833131E-3</v>
      </c>
      <c r="AU115" s="29">
        <f t="shared" si="66"/>
        <v>-7.9444706907239038E-5</v>
      </c>
      <c r="AV115" s="29">
        <f t="shared" si="67"/>
        <v>2.2469411288010832E-2</v>
      </c>
      <c r="AW115" s="29">
        <f t="shared" si="68"/>
        <v>1.0043868066267336E-2</v>
      </c>
      <c r="AX115" s="29">
        <f t="shared" si="69"/>
        <v>-6.8666211915768827E-4</v>
      </c>
      <c r="AY115" s="29">
        <f t="shared" si="70"/>
        <v>5.9599132080965234E-3</v>
      </c>
      <c r="AZ115" s="29">
        <f t="shared" si="71"/>
        <v>4.1567436627900634E-3</v>
      </c>
      <c r="BA115" s="29">
        <f t="shared" si="72"/>
        <v>-2.7306063721823648E-3</v>
      </c>
      <c r="BB115" s="29">
        <f t="shared" si="73"/>
        <v>1.6699930753940606E-3</v>
      </c>
      <c r="BC115" s="29">
        <f t="shared" si="74"/>
        <v>6.8564808642506136E-3</v>
      </c>
      <c r="BD115" s="29">
        <f t="shared" si="75"/>
        <v>3.625742137202792E-3</v>
      </c>
      <c r="BE115" s="29">
        <f t="shared" si="76"/>
        <v>1.2664261922964215E-2</v>
      </c>
      <c r="BF115" s="29">
        <f t="shared" si="77"/>
        <v>3.3106029240617119E-3</v>
      </c>
      <c r="BG115" s="29">
        <f t="shared" si="78"/>
        <v>1.2764109059109074E-3</v>
      </c>
      <c r="BH115" s="29">
        <f t="shared" si="79"/>
        <v>5.2740743458965511E-3</v>
      </c>
      <c r="BI115" s="29">
        <f t="shared" si="80"/>
        <v>1.3329181176702676E-2</v>
      </c>
      <c r="BJ115" s="29">
        <f t="shared" si="81"/>
        <v>4.8036508669468958E-4</v>
      </c>
      <c r="BK115" s="29">
        <f t="shared" si="82"/>
        <v>5.0808181563759547E-3</v>
      </c>
      <c r="BL115" s="29">
        <f t="shared" si="83"/>
        <v>7.6149957539506374E-4</v>
      </c>
      <c r="BM115" s="29">
        <f t="shared" si="84"/>
        <v>9.0864270399535485E-3</v>
      </c>
      <c r="BN115" s="29">
        <f t="shared" si="85"/>
        <v>7.0505579966662069E-3</v>
      </c>
      <c r="BO115" s="20"/>
      <c r="BP115" s="19"/>
      <c r="BR115" s="19"/>
      <c r="BS115" s="19"/>
      <c r="BT115" s="19"/>
      <c r="BU115" s="19"/>
      <c r="BW115" s="19"/>
      <c r="BX115" s="20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20"/>
      <c r="CO115" s="19"/>
      <c r="CP115" s="20"/>
      <c r="DG115" s="24"/>
      <c r="DO115" s="24"/>
      <c r="EE115" s="24"/>
      <c r="EF115" s="20"/>
      <c r="GH115" s="24"/>
      <c r="GI115" s="19"/>
      <c r="GJ115" s="22"/>
    </row>
    <row r="116" spans="1:192" x14ac:dyDescent="0.25">
      <c r="A116" s="18">
        <v>1984</v>
      </c>
      <c r="B116" s="19">
        <v>7554.1319999999996</v>
      </c>
      <c r="C116" s="19">
        <v>9855.2999999999993</v>
      </c>
      <c r="D116" s="19">
        <v>134699</v>
      </c>
      <c r="E116" s="19">
        <v>25701.8</v>
      </c>
      <c r="F116" s="19">
        <v>5111.6189999999997</v>
      </c>
      <c r="G116" s="19">
        <v>4881.7879999999996</v>
      </c>
      <c r="H116" s="19">
        <v>56246</v>
      </c>
      <c r="I116" s="19">
        <v>77855.422000000006</v>
      </c>
      <c r="J116" s="19">
        <v>56696.963000000003</v>
      </c>
      <c r="K116" s="21">
        <v>120034.697</v>
      </c>
      <c r="L116" s="19">
        <v>14420.022000000001</v>
      </c>
      <c r="M116" s="19">
        <v>3298</v>
      </c>
      <c r="N116" s="19">
        <v>4140.0950000000003</v>
      </c>
      <c r="O116" s="19">
        <v>9885.3870000000006</v>
      </c>
      <c r="P116" s="19">
        <v>38362.860999999997</v>
      </c>
      <c r="Q116" s="21">
        <v>15976.916999999999</v>
      </c>
      <c r="R116" s="19">
        <v>8337</v>
      </c>
      <c r="S116" s="19">
        <v>6529.6840000000002</v>
      </c>
      <c r="T116" s="19">
        <v>56462.228000000003</v>
      </c>
      <c r="U116" s="19">
        <v>236348.29199999999</v>
      </c>
      <c r="V116" s="19">
        <v>3008</v>
      </c>
      <c r="W116" s="20"/>
      <c r="X116" s="27">
        <f t="shared" si="44"/>
        <v>8.9298499773055919</v>
      </c>
      <c r="Y116" s="27">
        <f t="shared" si="45"/>
        <v>9.1957646605237944</v>
      </c>
      <c r="Z116" s="27">
        <f t="shared" si="46"/>
        <v>11.810797938465925</v>
      </c>
      <c r="AA116" s="27">
        <f t="shared" si="47"/>
        <v>10.154316307341206</v>
      </c>
      <c r="AB116" s="27">
        <f t="shared" si="48"/>
        <v>8.5392714627634021</v>
      </c>
      <c r="AC116" s="27">
        <f t="shared" si="49"/>
        <v>8.4932668251841292</v>
      </c>
      <c r="AD116" s="27">
        <f t="shared" si="50"/>
        <v>10.937490206427041</v>
      </c>
      <c r="AE116" s="27">
        <f t="shared" si="51"/>
        <v>11.262608821593505</v>
      </c>
      <c r="AF116" s="27">
        <f t="shared" si="52"/>
        <v>10.945475925671087</v>
      </c>
      <c r="AG116" s="27">
        <f t="shared" si="53"/>
        <v>11.695536121637454</v>
      </c>
      <c r="AH116" s="27">
        <f t="shared" si="54"/>
        <v>9.5763729364965844</v>
      </c>
      <c r="AI116" s="27">
        <f t="shared" si="55"/>
        <v>8.1010715031195435</v>
      </c>
      <c r="AJ116" s="27">
        <f t="shared" si="56"/>
        <v>8.3284740134159883</v>
      </c>
      <c r="AK116" s="27">
        <f t="shared" si="57"/>
        <v>9.1988128850659852</v>
      </c>
      <c r="AL116" s="27">
        <f t="shared" si="58"/>
        <v>10.554845109115062</v>
      </c>
      <c r="AM116" s="27">
        <f t="shared" si="59"/>
        <v>9.6789002720463113</v>
      </c>
      <c r="AN116" s="27">
        <f t="shared" si="60"/>
        <v>9.0284587184106133</v>
      </c>
      <c r="AO116" s="27">
        <f t="shared" si="61"/>
        <v>8.7841138290627914</v>
      </c>
      <c r="AP116" s="27">
        <f t="shared" si="62"/>
        <v>10.941327162594604</v>
      </c>
      <c r="AQ116" s="27">
        <f t="shared" si="63"/>
        <v>12.373061809624508</v>
      </c>
      <c r="AR116" s="27">
        <f t="shared" si="64"/>
        <v>8.0090306850697299</v>
      </c>
      <c r="AS116" s="19"/>
      <c r="AT116" s="29">
        <f t="shared" si="65"/>
        <v>1.6363245010886374E-4</v>
      </c>
      <c r="AU116" s="29">
        <f t="shared" si="66"/>
        <v>-2.2322764857918287E-5</v>
      </c>
      <c r="AV116" s="29">
        <f t="shared" si="67"/>
        <v>2.0543813123406807E-2</v>
      </c>
      <c r="AW116" s="29">
        <f t="shared" si="68"/>
        <v>9.5977717922259842E-3</v>
      </c>
      <c r="AX116" s="29">
        <f t="shared" si="69"/>
        <v>-5.2376727155234448E-4</v>
      </c>
      <c r="AY116" s="29">
        <f t="shared" si="70"/>
        <v>5.3403566687606485E-3</v>
      </c>
      <c r="AZ116" s="29">
        <f t="shared" si="71"/>
        <v>5.651898263469235E-3</v>
      </c>
      <c r="BA116" s="29">
        <f t="shared" si="72"/>
        <v>-3.4137485285672398E-3</v>
      </c>
      <c r="BB116" s="29">
        <f t="shared" si="73"/>
        <v>1.1794886212772582E-3</v>
      </c>
      <c r="BC116" s="29">
        <f t="shared" si="74"/>
        <v>6.3914396660713635E-3</v>
      </c>
      <c r="BD116" s="29">
        <f t="shared" si="75"/>
        <v>4.0052998395196937E-3</v>
      </c>
      <c r="BE116" s="29">
        <f t="shared" si="76"/>
        <v>1.2202713957552902E-2</v>
      </c>
      <c r="BF116" s="29">
        <f t="shared" si="77"/>
        <v>2.8210605673493205E-3</v>
      </c>
      <c r="BG116" s="29">
        <f t="shared" si="78"/>
        <v>1.3305241508287935E-3</v>
      </c>
      <c r="BH116" s="29">
        <f t="shared" si="79"/>
        <v>4.6689030681523747E-3</v>
      </c>
      <c r="BI116" s="29">
        <f t="shared" si="80"/>
        <v>1.2118827918362385E-2</v>
      </c>
      <c r="BJ116" s="29">
        <f t="shared" si="81"/>
        <v>9.6003847527370567E-4</v>
      </c>
      <c r="BK116" s="29">
        <f t="shared" si="82"/>
        <v>4.3913098796810601E-3</v>
      </c>
      <c r="BL116" s="29">
        <f t="shared" si="83"/>
        <v>1.4108754187631689E-3</v>
      </c>
      <c r="BM116" s="29">
        <f t="shared" si="84"/>
        <v>8.6734258919172191E-3</v>
      </c>
      <c r="BN116" s="29">
        <f t="shared" si="85"/>
        <v>6.3365227857925532E-3</v>
      </c>
      <c r="BO116" s="20"/>
      <c r="BP116" s="19"/>
      <c r="BR116" s="19"/>
      <c r="BS116" s="19"/>
      <c r="BT116" s="19"/>
      <c r="BU116" s="19"/>
      <c r="BW116" s="19"/>
      <c r="BX116" s="20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20"/>
      <c r="CO116" s="19"/>
      <c r="CP116" s="20"/>
      <c r="DG116" s="24"/>
      <c r="DO116" s="24"/>
      <c r="EE116" s="24"/>
      <c r="EF116" s="20"/>
      <c r="GH116" s="24"/>
      <c r="GI116" s="19"/>
      <c r="GJ116" s="22"/>
    </row>
    <row r="117" spans="1:192" x14ac:dyDescent="0.25">
      <c r="A117" s="18">
        <v>1985</v>
      </c>
      <c r="B117" s="19">
        <v>7559.7759999999998</v>
      </c>
      <c r="C117" s="19">
        <v>9858.2000000000007</v>
      </c>
      <c r="D117" s="19">
        <v>137382</v>
      </c>
      <c r="E117" s="19">
        <v>25941.599999999999</v>
      </c>
      <c r="F117" s="19">
        <v>5113.6909999999998</v>
      </c>
      <c r="G117" s="19">
        <v>4901.7830000000004</v>
      </c>
      <c r="H117" s="19">
        <v>56490</v>
      </c>
      <c r="I117" s="19">
        <v>77684.907000000007</v>
      </c>
      <c r="J117" s="19">
        <v>56731.214999999997</v>
      </c>
      <c r="K117" s="21">
        <v>120754.33500000001</v>
      </c>
      <c r="L117" s="19">
        <v>14491.38</v>
      </c>
      <c r="M117" s="19">
        <v>3324</v>
      </c>
      <c r="N117" s="19">
        <v>4152.4189999999999</v>
      </c>
      <c r="O117" s="19">
        <v>9897.1919999999991</v>
      </c>
      <c r="P117" s="19">
        <v>38534.853000000003</v>
      </c>
      <c r="Q117" s="21">
        <v>16188.11</v>
      </c>
      <c r="R117" s="19">
        <v>8350</v>
      </c>
      <c r="S117" s="19">
        <v>6563.77</v>
      </c>
      <c r="T117" s="19">
        <v>56620.24</v>
      </c>
      <c r="U117" s="19">
        <v>238466.283</v>
      </c>
      <c r="V117" s="19">
        <v>3012</v>
      </c>
      <c r="W117" s="20"/>
      <c r="X117" s="27">
        <f t="shared" si="44"/>
        <v>8.9305968391049824</v>
      </c>
      <c r="Y117" s="27">
        <f t="shared" si="45"/>
        <v>9.1960588751504133</v>
      </c>
      <c r="Z117" s="27">
        <f t="shared" si="46"/>
        <v>11.830520645821752</v>
      </c>
      <c r="AA117" s="27">
        <f t="shared" si="47"/>
        <v>10.163603136770103</v>
      </c>
      <c r="AB117" s="27">
        <f t="shared" si="48"/>
        <v>8.5396767316556623</v>
      </c>
      <c r="AC117" s="27">
        <f t="shared" si="49"/>
        <v>8.4973542954623582</v>
      </c>
      <c r="AD117" s="27">
        <f t="shared" si="50"/>
        <v>10.941818910319308</v>
      </c>
      <c r="AE117" s="27">
        <f t="shared" si="51"/>
        <v>11.260416270383079</v>
      </c>
      <c r="AF117" s="27">
        <f t="shared" si="52"/>
        <v>10.946079867330823</v>
      </c>
      <c r="AG117" s="27">
        <f t="shared" si="53"/>
        <v>11.701513471491525</v>
      </c>
      <c r="AH117" s="27">
        <f t="shared" si="54"/>
        <v>9.5813092688751063</v>
      </c>
      <c r="AI117" s="27">
        <f t="shared" si="55"/>
        <v>8.1089241559753393</v>
      </c>
      <c r="AJ117" s="27">
        <f t="shared" si="56"/>
        <v>8.3314463349757055</v>
      </c>
      <c r="AK117" s="27">
        <f t="shared" si="57"/>
        <v>9.2000063595266433</v>
      </c>
      <c r="AL117" s="27">
        <f t="shared" si="58"/>
        <v>10.559318383490922</v>
      </c>
      <c r="AM117" s="27">
        <f t="shared" si="59"/>
        <v>9.6920323011295757</v>
      </c>
      <c r="AN117" s="27">
        <f t="shared" si="60"/>
        <v>9.030016817844901</v>
      </c>
      <c r="AO117" s="27">
        <f t="shared" si="61"/>
        <v>8.7893204119860862</v>
      </c>
      <c r="AP117" s="27">
        <f t="shared" si="62"/>
        <v>10.944121797441788</v>
      </c>
      <c r="AQ117" s="27">
        <f t="shared" si="63"/>
        <v>12.381983208247519</v>
      </c>
      <c r="AR117" s="27">
        <f t="shared" si="64"/>
        <v>8.0103595889197834</v>
      </c>
      <c r="AS117" s="19"/>
      <c r="AT117" s="29">
        <f t="shared" si="65"/>
        <v>7.4686179939043029E-4</v>
      </c>
      <c r="AU117" s="29">
        <f t="shared" si="66"/>
        <v>2.9421462661893827E-4</v>
      </c>
      <c r="AV117" s="29">
        <f t="shared" si="67"/>
        <v>1.972270735582704E-2</v>
      </c>
      <c r="AW117" s="29">
        <f t="shared" si="68"/>
        <v>9.2868294288965814E-3</v>
      </c>
      <c r="AX117" s="29">
        <f t="shared" si="69"/>
        <v>4.0526889226022433E-4</v>
      </c>
      <c r="AY117" s="29">
        <f t="shared" si="70"/>
        <v>4.0874702782289773E-3</v>
      </c>
      <c r="AZ117" s="29">
        <f t="shared" si="71"/>
        <v>4.3287038922663612E-3</v>
      </c>
      <c r="BA117" s="29">
        <f t="shared" si="72"/>
        <v>-2.1925512104257194E-3</v>
      </c>
      <c r="BB117" s="29">
        <f t="shared" si="73"/>
        <v>6.0394165973676195E-4</v>
      </c>
      <c r="BC117" s="29">
        <f t="shared" si="74"/>
        <v>5.9773498540707237E-3</v>
      </c>
      <c r="BD117" s="29">
        <f t="shared" si="75"/>
        <v>4.9363323785218682E-3</v>
      </c>
      <c r="BE117" s="29">
        <f t="shared" si="76"/>
        <v>7.8526528557958386E-3</v>
      </c>
      <c r="BF117" s="29">
        <f t="shared" si="77"/>
        <v>2.9723215597172725E-3</v>
      </c>
      <c r="BG117" s="29">
        <f t="shared" si="78"/>
        <v>1.1934744606580949E-3</v>
      </c>
      <c r="BH117" s="29">
        <f t="shared" si="79"/>
        <v>4.4732743758597593E-3</v>
      </c>
      <c r="BI117" s="29">
        <f t="shared" si="80"/>
        <v>1.3132029083264385E-2</v>
      </c>
      <c r="BJ117" s="29">
        <f t="shared" si="81"/>
        <v>1.5580994342876409E-3</v>
      </c>
      <c r="BK117" s="29">
        <f t="shared" si="82"/>
        <v>5.2065829232947891E-3</v>
      </c>
      <c r="BL117" s="29">
        <f t="shared" si="83"/>
        <v>2.7946348471843407E-3</v>
      </c>
      <c r="BM117" s="29">
        <f t="shared" si="84"/>
        <v>8.921398623011001E-3</v>
      </c>
      <c r="BN117" s="29">
        <f t="shared" si="85"/>
        <v>1.3289038500534645E-3</v>
      </c>
      <c r="BO117" s="20"/>
      <c r="BP117" s="19"/>
      <c r="BR117" s="19"/>
      <c r="BS117" s="19"/>
      <c r="BT117" s="19"/>
      <c r="BU117" s="19"/>
      <c r="BW117" s="19"/>
      <c r="BX117" s="20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20"/>
      <c r="CO117" s="19"/>
      <c r="CP117" s="20"/>
      <c r="DG117" s="24"/>
      <c r="DO117" s="24"/>
      <c r="EE117" s="24"/>
      <c r="EF117" s="20"/>
      <c r="GH117" s="24"/>
      <c r="GI117" s="19"/>
      <c r="GJ117" s="22"/>
    </row>
    <row r="118" spans="1:192" x14ac:dyDescent="0.25">
      <c r="A118" s="18">
        <v>1986</v>
      </c>
      <c r="B118" s="19">
        <v>7568.2420000000002</v>
      </c>
      <c r="C118" s="19">
        <v>9861.7999999999993</v>
      </c>
      <c r="D118" s="19">
        <v>140196</v>
      </c>
      <c r="E118" s="19">
        <v>26203.8</v>
      </c>
      <c r="F118" s="19">
        <v>5120.5339999999997</v>
      </c>
      <c r="G118" s="19">
        <v>4917.3860000000004</v>
      </c>
      <c r="H118" s="19">
        <v>56725</v>
      </c>
      <c r="I118" s="19">
        <v>77713.485000000001</v>
      </c>
      <c r="J118" s="19">
        <v>56733.832999999999</v>
      </c>
      <c r="K118" s="21">
        <v>121491.913</v>
      </c>
      <c r="L118" s="19">
        <v>14571.875</v>
      </c>
      <c r="M118" s="19">
        <v>3341</v>
      </c>
      <c r="N118" s="19">
        <v>4166.5959999999995</v>
      </c>
      <c r="O118" s="19">
        <v>9907.4110000000001</v>
      </c>
      <c r="P118" s="19">
        <v>38707.555999999997</v>
      </c>
      <c r="Q118" s="21">
        <v>16423.789000000001</v>
      </c>
      <c r="R118" s="19">
        <v>8370</v>
      </c>
      <c r="S118" s="19">
        <v>6603.192</v>
      </c>
      <c r="T118" s="19">
        <v>56796.26</v>
      </c>
      <c r="U118" s="19">
        <v>240650.755</v>
      </c>
      <c r="V118" s="19">
        <v>3031</v>
      </c>
      <c r="W118" s="20"/>
      <c r="X118" s="27">
        <f t="shared" si="44"/>
        <v>8.9317160869646557</v>
      </c>
      <c r="Y118" s="27">
        <f t="shared" si="45"/>
        <v>9.1964239867163347</v>
      </c>
      <c r="Z118" s="27">
        <f t="shared" si="46"/>
        <v>11.850796722505148</v>
      </c>
      <c r="AA118" s="27">
        <f t="shared" si="47"/>
        <v>10.17365971740011</v>
      </c>
      <c r="AB118" s="27">
        <f t="shared" si="48"/>
        <v>8.5410140094700129</v>
      </c>
      <c r="AC118" s="27">
        <f t="shared" si="49"/>
        <v>8.5005323674830571</v>
      </c>
      <c r="AD118" s="27">
        <f t="shared" si="50"/>
        <v>10.945970309648043</v>
      </c>
      <c r="AE118" s="27">
        <f t="shared" si="51"/>
        <v>11.260784073420863</v>
      </c>
      <c r="AF118" s="27">
        <f t="shared" si="52"/>
        <v>10.946126013700063</v>
      </c>
      <c r="AG118" s="27">
        <f t="shared" si="53"/>
        <v>11.707602979876766</v>
      </c>
      <c r="AH118" s="27">
        <f t="shared" si="54"/>
        <v>9.5868485799966852</v>
      </c>
      <c r="AI118" s="27">
        <f t="shared" si="55"/>
        <v>8.1140254423567573</v>
      </c>
      <c r="AJ118" s="27">
        <f t="shared" si="56"/>
        <v>8.3348546744784606</v>
      </c>
      <c r="AK118" s="27">
        <f t="shared" si="57"/>
        <v>9.2010383419306265</v>
      </c>
      <c r="AL118" s="27">
        <f t="shared" si="58"/>
        <v>10.563790105437992</v>
      </c>
      <c r="AM118" s="27">
        <f t="shared" si="59"/>
        <v>9.7064861115631516</v>
      </c>
      <c r="AN118" s="27">
        <f t="shared" si="60"/>
        <v>9.0324091634835213</v>
      </c>
      <c r="AO118" s="27">
        <f t="shared" si="61"/>
        <v>8.7953084474637819</v>
      </c>
      <c r="AP118" s="27">
        <f t="shared" si="62"/>
        <v>10.947225757470939</v>
      </c>
      <c r="AQ118" s="27">
        <f t="shared" si="63"/>
        <v>12.391102012062715</v>
      </c>
      <c r="AR118" s="27">
        <f t="shared" si="64"/>
        <v>8.0166478770578031</v>
      </c>
      <c r="AS118" s="19"/>
      <c r="AT118" s="29">
        <f t="shared" si="65"/>
        <v>1.1192478596733224E-3</v>
      </c>
      <c r="AU118" s="29">
        <f t="shared" si="66"/>
        <v>3.6511156592133887E-4</v>
      </c>
      <c r="AV118" s="29">
        <f t="shared" si="67"/>
        <v>2.0276076683396482E-2</v>
      </c>
      <c r="AW118" s="29">
        <f t="shared" si="68"/>
        <v>1.0056580630006806E-2</v>
      </c>
      <c r="AX118" s="29">
        <f t="shared" si="69"/>
        <v>1.337277814350557E-3</v>
      </c>
      <c r="AY118" s="29">
        <f t="shared" si="70"/>
        <v>3.1780720206988633E-3</v>
      </c>
      <c r="AZ118" s="29">
        <f t="shared" si="71"/>
        <v>4.1513993287356499E-3</v>
      </c>
      <c r="BA118" s="29">
        <f t="shared" si="72"/>
        <v>3.6780303778449763E-4</v>
      </c>
      <c r="BB118" s="29">
        <f t="shared" si="73"/>
        <v>4.6146369239608021E-5</v>
      </c>
      <c r="BC118" s="29">
        <f t="shared" si="74"/>
        <v>6.089508385240805E-3</v>
      </c>
      <c r="BD118" s="29">
        <f t="shared" si="75"/>
        <v>5.5393111215789048E-3</v>
      </c>
      <c r="BE118" s="29">
        <f t="shared" si="76"/>
        <v>5.1012863814179354E-3</v>
      </c>
      <c r="BF118" s="29">
        <f t="shared" si="77"/>
        <v>3.4083395027550978E-3</v>
      </c>
      <c r="BG118" s="29">
        <f t="shared" si="78"/>
        <v>1.0319824039832781E-3</v>
      </c>
      <c r="BH118" s="29">
        <f t="shared" si="79"/>
        <v>4.4717219470697955E-3</v>
      </c>
      <c r="BI118" s="29">
        <f t="shared" si="80"/>
        <v>1.4453810433575853E-2</v>
      </c>
      <c r="BJ118" s="29">
        <f t="shared" si="81"/>
        <v>2.3923456386203412E-3</v>
      </c>
      <c r="BK118" s="29">
        <f t="shared" si="82"/>
        <v>5.9880354776957745E-3</v>
      </c>
      <c r="BL118" s="29">
        <f t="shared" si="83"/>
        <v>3.1039600291506986E-3</v>
      </c>
      <c r="BM118" s="29">
        <f t="shared" si="84"/>
        <v>9.1188038151965856E-3</v>
      </c>
      <c r="BN118" s="29">
        <f t="shared" si="85"/>
        <v>6.2882881380197375E-3</v>
      </c>
      <c r="BO118" s="20"/>
      <c r="BP118" s="19"/>
      <c r="BR118" s="19"/>
      <c r="BS118" s="19"/>
      <c r="BT118" s="19"/>
      <c r="BU118" s="19"/>
      <c r="BW118" s="19"/>
      <c r="BX118" s="20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20"/>
      <c r="CO118" s="19"/>
      <c r="CP118" s="20"/>
      <c r="DG118" s="24"/>
      <c r="DO118" s="24"/>
      <c r="EE118" s="24"/>
      <c r="EF118" s="20"/>
      <c r="GH118" s="24"/>
      <c r="GI118" s="19"/>
      <c r="GJ118" s="22"/>
    </row>
    <row r="119" spans="1:192" x14ac:dyDescent="0.25">
      <c r="A119" s="18">
        <v>1987</v>
      </c>
      <c r="B119" s="19">
        <v>7578.9030000000002</v>
      </c>
      <c r="C119" s="19">
        <v>9870.2000000000007</v>
      </c>
      <c r="D119" s="19">
        <v>143027</v>
      </c>
      <c r="E119" s="19">
        <v>26549.7</v>
      </c>
      <c r="F119" s="19">
        <v>5127.0240000000003</v>
      </c>
      <c r="G119" s="19">
        <v>4931.7290000000003</v>
      </c>
      <c r="H119" s="19">
        <v>56989</v>
      </c>
      <c r="I119" s="19">
        <v>77718.297999999995</v>
      </c>
      <c r="J119" s="19">
        <v>56729.703000000001</v>
      </c>
      <c r="K119" s="21">
        <v>122091.325</v>
      </c>
      <c r="L119" s="19">
        <v>14665.278</v>
      </c>
      <c r="M119" s="19">
        <v>3352</v>
      </c>
      <c r="N119" s="19">
        <v>4186.1469999999999</v>
      </c>
      <c r="O119" s="19">
        <v>9915.2890000000007</v>
      </c>
      <c r="P119" s="19">
        <v>38880.701999999997</v>
      </c>
      <c r="Q119" s="21">
        <v>16663.116000000002</v>
      </c>
      <c r="R119" s="19">
        <v>8398</v>
      </c>
      <c r="S119" s="19">
        <v>6649.942</v>
      </c>
      <c r="T119" s="19">
        <v>56981.62</v>
      </c>
      <c r="U119" s="19">
        <v>242803.533</v>
      </c>
      <c r="V119" s="19">
        <v>3049</v>
      </c>
      <c r="W119" s="20"/>
      <c r="X119" s="27">
        <f t="shared" si="44"/>
        <v>8.9331237452078955</v>
      </c>
      <c r="Y119" s="27">
        <f t="shared" si="45"/>
        <v>9.197275395646745</v>
      </c>
      <c r="Z119" s="27">
        <f t="shared" si="46"/>
        <v>11.870788702608266</v>
      </c>
      <c r="AA119" s="27">
        <f t="shared" si="47"/>
        <v>10.186773727171218</v>
      </c>
      <c r="AB119" s="27">
        <f t="shared" si="48"/>
        <v>8.5422806528728028</v>
      </c>
      <c r="AC119" s="27">
        <f t="shared" si="49"/>
        <v>8.5034449154915279</v>
      </c>
      <c r="AD119" s="27">
        <f t="shared" si="50"/>
        <v>10.950613545737037</v>
      </c>
      <c r="AE119" s="27">
        <f t="shared" si="51"/>
        <v>11.260846004126522</v>
      </c>
      <c r="AF119" s="27">
        <f t="shared" si="52"/>
        <v>10.946053214981683</v>
      </c>
      <c r="AG119" s="27">
        <f t="shared" si="53"/>
        <v>11.712524609253697</v>
      </c>
      <c r="AH119" s="27">
        <f t="shared" si="54"/>
        <v>9.5932379379314998</v>
      </c>
      <c r="AI119" s="27">
        <f t="shared" si="55"/>
        <v>8.1173124616019745</v>
      </c>
      <c r="AJ119" s="27">
        <f t="shared" si="56"/>
        <v>8.3395360194462125</v>
      </c>
      <c r="AK119" s="27">
        <f t="shared" si="57"/>
        <v>9.2018331882850344</v>
      </c>
      <c r="AL119" s="27">
        <f t="shared" si="58"/>
        <v>10.568253313966931</v>
      </c>
      <c r="AM119" s="27">
        <f t="shared" si="59"/>
        <v>9.720952933045929</v>
      </c>
      <c r="AN119" s="27">
        <f t="shared" si="60"/>
        <v>9.035748861244139</v>
      </c>
      <c r="AO119" s="27">
        <f t="shared" si="61"/>
        <v>8.8023634118073542</v>
      </c>
      <c r="AP119" s="27">
        <f t="shared" si="62"/>
        <v>10.950484038676176</v>
      </c>
      <c r="AQ119" s="27">
        <f t="shared" si="63"/>
        <v>12.400007889132455</v>
      </c>
      <c r="AR119" s="27">
        <f t="shared" si="64"/>
        <v>8.0225689469882546</v>
      </c>
      <c r="AS119" s="19"/>
      <c r="AT119" s="29">
        <f t="shared" si="65"/>
        <v>1.407658243239851E-3</v>
      </c>
      <c r="AU119" s="29">
        <f t="shared" si="66"/>
        <v>8.5140893041035781E-4</v>
      </c>
      <c r="AV119" s="29">
        <f t="shared" si="67"/>
        <v>1.9991980103117868E-2</v>
      </c>
      <c r="AW119" s="29">
        <f t="shared" si="68"/>
        <v>1.3114009771108215E-2</v>
      </c>
      <c r="AX119" s="29">
        <f t="shared" si="69"/>
        <v>1.2666434027899243E-3</v>
      </c>
      <c r="AY119" s="29">
        <f t="shared" si="70"/>
        <v>2.9125480084708499E-3</v>
      </c>
      <c r="AZ119" s="29">
        <f t="shared" si="71"/>
        <v>4.6432360889934188E-3</v>
      </c>
      <c r="BA119" s="29">
        <f t="shared" si="72"/>
        <v>6.1930705658852503E-5</v>
      </c>
      <c r="BB119" s="29">
        <f t="shared" si="73"/>
        <v>-7.2798718379729621E-5</v>
      </c>
      <c r="BC119" s="29">
        <f t="shared" si="74"/>
        <v>4.9216293769305253E-3</v>
      </c>
      <c r="BD119" s="29">
        <f t="shared" si="75"/>
        <v>6.3893579348146545E-3</v>
      </c>
      <c r="BE119" s="29">
        <f t="shared" si="76"/>
        <v>3.2870192452172375E-3</v>
      </c>
      <c r="BF119" s="29">
        <f t="shared" si="77"/>
        <v>4.6813449677518548E-3</v>
      </c>
      <c r="BG119" s="29">
        <f t="shared" si="78"/>
        <v>7.9484635440785212E-4</v>
      </c>
      <c r="BH119" s="29">
        <f t="shared" si="79"/>
        <v>4.4632085289393331E-3</v>
      </c>
      <c r="BI119" s="29">
        <f t="shared" si="80"/>
        <v>1.4466821482777448E-2</v>
      </c>
      <c r="BJ119" s="29">
        <f t="shared" si="81"/>
        <v>3.3396977606177103E-3</v>
      </c>
      <c r="BK119" s="29">
        <f t="shared" si="82"/>
        <v>7.0549643435722231E-3</v>
      </c>
      <c r="BL119" s="29">
        <f t="shared" si="83"/>
        <v>3.2582812052375232E-3</v>
      </c>
      <c r="BM119" s="29">
        <f t="shared" si="84"/>
        <v>8.905877069739887E-3</v>
      </c>
      <c r="BN119" s="29">
        <f t="shared" si="85"/>
        <v>5.9210699304514947E-3</v>
      </c>
      <c r="BO119" s="20"/>
      <c r="BP119" s="19"/>
      <c r="BR119" s="19"/>
      <c r="BS119" s="19"/>
      <c r="BT119" s="19"/>
      <c r="BU119" s="19"/>
      <c r="BW119" s="19"/>
      <c r="BX119" s="20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20"/>
      <c r="CO119" s="19"/>
      <c r="CP119" s="20"/>
      <c r="DG119" s="24"/>
      <c r="DO119" s="24"/>
      <c r="EE119" s="24"/>
      <c r="EF119" s="20"/>
      <c r="GH119" s="24"/>
      <c r="GI119" s="19"/>
      <c r="GJ119" s="22"/>
    </row>
    <row r="120" spans="1:192" x14ac:dyDescent="0.25">
      <c r="A120" s="18">
        <v>1988</v>
      </c>
      <c r="B120" s="19">
        <v>7599.7910000000002</v>
      </c>
      <c r="C120" s="19">
        <v>9884</v>
      </c>
      <c r="D120" s="19">
        <v>145873</v>
      </c>
      <c r="E120" s="19">
        <v>26894.799999999999</v>
      </c>
      <c r="F120" s="19">
        <v>5129.5159999999996</v>
      </c>
      <c r="G120" s="19">
        <v>4946.6329999999998</v>
      </c>
      <c r="H120" s="19">
        <v>57255</v>
      </c>
      <c r="I120" s="19">
        <v>78030.572</v>
      </c>
      <c r="J120" s="19">
        <v>56734.027000000002</v>
      </c>
      <c r="K120" s="21">
        <v>122613</v>
      </c>
      <c r="L120" s="19">
        <v>14761.339</v>
      </c>
      <c r="M120" s="19">
        <v>3361</v>
      </c>
      <c r="N120" s="19">
        <v>4208.7290000000003</v>
      </c>
      <c r="O120" s="19">
        <v>9920.6110000000008</v>
      </c>
      <c r="P120" s="19">
        <v>39053.881000000001</v>
      </c>
      <c r="Q120" s="21">
        <v>16903.079000000002</v>
      </c>
      <c r="R120" s="19">
        <v>8436</v>
      </c>
      <c r="S120" s="19">
        <v>6704.1120000000001</v>
      </c>
      <c r="T120" s="19">
        <v>57159.603000000003</v>
      </c>
      <c r="U120" s="19">
        <v>245021.41399999999</v>
      </c>
      <c r="V120" s="19">
        <v>3068</v>
      </c>
      <c r="W120" s="20"/>
      <c r="X120" s="27">
        <f t="shared" si="44"/>
        <v>8.9358760258962899</v>
      </c>
      <c r="Y120" s="27">
        <f t="shared" si="45"/>
        <v>9.1986725671085008</v>
      </c>
      <c r="Z120" s="27">
        <f t="shared" si="46"/>
        <v>11.890491659126402</v>
      </c>
      <c r="AA120" s="27">
        <f t="shared" si="47"/>
        <v>10.199688238353239</v>
      </c>
      <c r="AB120" s="27">
        <f t="shared" si="48"/>
        <v>8.5427665867353006</v>
      </c>
      <c r="AC120" s="27">
        <f t="shared" si="49"/>
        <v>8.5064624221001814</v>
      </c>
      <c r="AD120" s="27">
        <f t="shared" si="50"/>
        <v>10.95527025384744</v>
      </c>
      <c r="AE120" s="27">
        <f t="shared" si="51"/>
        <v>11.264855977597843</v>
      </c>
      <c r="AF120" s="27">
        <f t="shared" si="52"/>
        <v>10.946129433170563</v>
      </c>
      <c r="AG120" s="27">
        <f t="shared" si="53"/>
        <v>11.716788332751911</v>
      </c>
      <c r="AH120" s="27">
        <f t="shared" si="54"/>
        <v>9.5997668121970019</v>
      </c>
      <c r="AI120" s="27">
        <f t="shared" si="55"/>
        <v>8.1199938277251054</v>
      </c>
      <c r="AJ120" s="27">
        <f t="shared" si="56"/>
        <v>8.3449159808578468</v>
      </c>
      <c r="AK120" s="27">
        <f t="shared" si="57"/>
        <v>9.2023697911240987</v>
      </c>
      <c r="AL120" s="27">
        <f t="shared" si="58"/>
        <v>10.572697535732759</v>
      </c>
      <c r="AM120" s="27">
        <f t="shared" si="59"/>
        <v>9.7352510736658129</v>
      </c>
      <c r="AN120" s="27">
        <f t="shared" si="60"/>
        <v>9.0402635415986659</v>
      </c>
      <c r="AO120" s="27">
        <f t="shared" si="61"/>
        <v>8.8104763484662811</v>
      </c>
      <c r="AP120" s="27">
        <f t="shared" si="62"/>
        <v>10.953602686603309</v>
      </c>
      <c r="AQ120" s="27">
        <f t="shared" si="63"/>
        <v>12.409100889788983</v>
      </c>
      <c r="AR120" s="27">
        <f t="shared" si="64"/>
        <v>8.0287811624871477</v>
      </c>
      <c r="AS120" s="19"/>
      <c r="AT120" s="29">
        <f t="shared" si="65"/>
        <v>2.7522806883943929E-3</v>
      </c>
      <c r="AU120" s="29">
        <f t="shared" si="66"/>
        <v>1.3971714617557751E-3</v>
      </c>
      <c r="AV120" s="29">
        <f t="shared" si="67"/>
        <v>1.9702956518136361E-2</v>
      </c>
      <c r="AW120" s="29">
        <f t="shared" si="68"/>
        <v>1.2914511182021471E-2</v>
      </c>
      <c r="AX120" s="29">
        <f t="shared" si="69"/>
        <v>4.8593386249784487E-4</v>
      </c>
      <c r="AY120" s="29">
        <f t="shared" si="70"/>
        <v>3.0175066086535196E-3</v>
      </c>
      <c r="AZ120" s="29">
        <f t="shared" si="71"/>
        <v>4.6567081104029739E-3</v>
      </c>
      <c r="BA120" s="29">
        <f t="shared" si="72"/>
        <v>4.0099734713212598E-3</v>
      </c>
      <c r="BB120" s="29">
        <f t="shared" si="73"/>
        <v>7.621818888026155E-5</v>
      </c>
      <c r="BC120" s="29">
        <f t="shared" si="74"/>
        <v>4.2637234982141337E-3</v>
      </c>
      <c r="BD120" s="29">
        <f t="shared" si="75"/>
        <v>6.5288742655020826E-3</v>
      </c>
      <c r="BE120" s="29">
        <f t="shared" si="76"/>
        <v>2.6813661231308572E-3</v>
      </c>
      <c r="BF120" s="29">
        <f t="shared" si="77"/>
        <v>5.3799614116343264E-3</v>
      </c>
      <c r="BG120" s="29">
        <f t="shared" si="78"/>
        <v>5.3660283906431516E-4</v>
      </c>
      <c r="BH120" s="29">
        <f t="shared" si="79"/>
        <v>4.4442217658282601E-3</v>
      </c>
      <c r="BI120" s="29">
        <f t="shared" si="80"/>
        <v>1.4298140619883881E-2</v>
      </c>
      <c r="BJ120" s="29">
        <f t="shared" si="81"/>
        <v>4.5146803545268455E-3</v>
      </c>
      <c r="BK120" s="29">
        <f t="shared" si="82"/>
        <v>8.1129366589269836E-3</v>
      </c>
      <c r="BL120" s="29">
        <f t="shared" si="83"/>
        <v>3.1186479271330114E-3</v>
      </c>
      <c r="BM120" s="29">
        <f t="shared" si="84"/>
        <v>9.0930006565272947E-3</v>
      </c>
      <c r="BN120" s="29">
        <f t="shared" si="85"/>
        <v>6.2122154988930589E-3</v>
      </c>
      <c r="BO120" s="20"/>
      <c r="BP120" s="19"/>
      <c r="BR120" s="19"/>
      <c r="BS120" s="19"/>
      <c r="BT120" s="19"/>
      <c r="BU120" s="19"/>
      <c r="BW120" s="19"/>
      <c r="BX120" s="20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20"/>
      <c r="CO120" s="19"/>
      <c r="CP120" s="20"/>
      <c r="DG120" s="24"/>
      <c r="DO120" s="24"/>
      <c r="EE120" s="24"/>
      <c r="EF120" s="20"/>
      <c r="GH120" s="24"/>
      <c r="GI120" s="19"/>
      <c r="GJ120" s="22"/>
    </row>
    <row r="121" spans="1:192" x14ac:dyDescent="0.25">
      <c r="A121" s="18">
        <v>1989</v>
      </c>
      <c r="B121" s="19">
        <v>7627.8609999999999</v>
      </c>
      <c r="C121" s="19">
        <v>9937.6970000000001</v>
      </c>
      <c r="D121" s="19">
        <v>148659</v>
      </c>
      <c r="E121" s="19">
        <v>27379.3</v>
      </c>
      <c r="F121" s="19">
        <v>5132.5929999999998</v>
      </c>
      <c r="G121" s="19">
        <v>4962.4409999999998</v>
      </c>
      <c r="H121" s="19">
        <v>57821</v>
      </c>
      <c r="I121" s="19">
        <v>78644.914000000004</v>
      </c>
      <c r="J121" s="19">
        <v>56737.529000000002</v>
      </c>
      <c r="K121" s="21">
        <v>123107.5</v>
      </c>
      <c r="L121" s="19">
        <v>14848.906999999999</v>
      </c>
      <c r="M121" s="19">
        <v>3378</v>
      </c>
      <c r="N121" s="19">
        <v>4226.1419999999998</v>
      </c>
      <c r="O121" s="19">
        <v>9923.1470000000008</v>
      </c>
      <c r="P121" s="19">
        <v>39214.523000000001</v>
      </c>
      <c r="Q121" s="21">
        <v>17142.293000000001</v>
      </c>
      <c r="R121" s="19">
        <v>8493</v>
      </c>
      <c r="S121" s="19">
        <v>6763.6530000000002</v>
      </c>
      <c r="T121" s="19">
        <v>57324.472000000002</v>
      </c>
      <c r="U121" s="19">
        <v>247341.69699999999</v>
      </c>
      <c r="V121" s="19">
        <v>3088</v>
      </c>
      <c r="W121" s="20"/>
      <c r="X121" s="27">
        <f t="shared" si="44"/>
        <v>8.9395627442155288</v>
      </c>
      <c r="Y121" s="27">
        <f t="shared" si="45"/>
        <v>9.2040905826654669</v>
      </c>
      <c r="Z121" s="27">
        <f t="shared" si="46"/>
        <v>11.909410371497613</v>
      </c>
      <c r="AA121" s="27">
        <f t="shared" si="47"/>
        <v>10.217542532408974</v>
      </c>
      <c r="AB121" s="27">
        <f t="shared" si="48"/>
        <v>8.543366268553573</v>
      </c>
      <c r="AC121" s="27">
        <f t="shared" si="49"/>
        <v>8.5096530357560027</v>
      </c>
      <c r="AD121" s="27">
        <f t="shared" si="50"/>
        <v>10.965107310474394</v>
      </c>
      <c r="AE121" s="27">
        <f t="shared" si="51"/>
        <v>11.272698240152625</v>
      </c>
      <c r="AF121" s="27">
        <f t="shared" si="52"/>
        <v>10.946191157890389</v>
      </c>
      <c r="AG121" s="27">
        <f t="shared" si="53"/>
        <v>11.720813236392987</v>
      </c>
      <c r="AH121" s="27">
        <f t="shared" si="54"/>
        <v>9.6056815388284313</v>
      </c>
      <c r="AI121" s="27">
        <f t="shared" si="55"/>
        <v>8.1250390973677451</v>
      </c>
      <c r="AJ121" s="27">
        <f t="shared" si="56"/>
        <v>8.3490447991259185</v>
      </c>
      <c r="AK121" s="27">
        <f t="shared" si="57"/>
        <v>9.2026253878728408</v>
      </c>
      <c r="AL121" s="27">
        <f t="shared" si="58"/>
        <v>10.576802441859924</v>
      </c>
      <c r="AM121" s="27">
        <f t="shared" si="59"/>
        <v>9.7493039638340449</v>
      </c>
      <c r="AN121" s="27">
        <f t="shared" si="60"/>
        <v>9.0469975737800095</v>
      </c>
      <c r="AO121" s="27">
        <f t="shared" si="61"/>
        <v>8.8193184076972067</v>
      </c>
      <c r="AP121" s="27">
        <f t="shared" si="62"/>
        <v>10.956482897042605</v>
      </c>
      <c r="AQ121" s="27">
        <f t="shared" si="63"/>
        <v>12.418526048273563</v>
      </c>
      <c r="AR121" s="27">
        <f t="shared" si="64"/>
        <v>8.0352789111446672</v>
      </c>
      <c r="AS121" s="19"/>
      <c r="AT121" s="29">
        <f t="shared" si="65"/>
        <v>3.6867183192388353E-3</v>
      </c>
      <c r="AU121" s="29">
        <f t="shared" si="66"/>
        <v>5.4180155569660826E-3</v>
      </c>
      <c r="AV121" s="29">
        <f t="shared" si="67"/>
        <v>1.8918712371210233E-2</v>
      </c>
      <c r="AW121" s="29">
        <f t="shared" si="68"/>
        <v>1.7854294055734243E-2</v>
      </c>
      <c r="AX121" s="29">
        <f t="shared" si="69"/>
        <v>5.9968181827230183E-4</v>
      </c>
      <c r="AY121" s="29">
        <f t="shared" si="70"/>
        <v>3.190613655821295E-3</v>
      </c>
      <c r="AZ121" s="29">
        <f t="shared" si="71"/>
        <v>9.8370566269547766E-3</v>
      </c>
      <c r="BA121" s="29">
        <f t="shared" si="72"/>
        <v>7.8422625547815983E-3</v>
      </c>
      <c r="BB121" s="29">
        <f t="shared" si="73"/>
        <v>6.1724719826017349E-5</v>
      </c>
      <c r="BC121" s="29">
        <f t="shared" si="74"/>
        <v>4.0249036410759942E-3</v>
      </c>
      <c r="BD121" s="29">
        <f t="shared" si="75"/>
        <v>5.9147266314294455E-3</v>
      </c>
      <c r="BE121" s="29">
        <f t="shared" si="76"/>
        <v>5.0452696426397381E-3</v>
      </c>
      <c r="BF121" s="29">
        <f t="shared" si="77"/>
        <v>4.1288182680716545E-3</v>
      </c>
      <c r="BG121" s="29">
        <f t="shared" si="78"/>
        <v>2.5559674874209293E-4</v>
      </c>
      <c r="BH121" s="29">
        <f t="shared" si="79"/>
        <v>4.1049061271642984E-3</v>
      </c>
      <c r="BI121" s="29">
        <f t="shared" si="80"/>
        <v>1.4052890168231968E-2</v>
      </c>
      <c r="BJ121" s="29">
        <f t="shared" si="81"/>
        <v>6.7340321813436077E-3</v>
      </c>
      <c r="BK121" s="29">
        <f t="shared" si="82"/>
        <v>8.8420592309255142E-3</v>
      </c>
      <c r="BL121" s="29">
        <f t="shared" si="83"/>
        <v>2.8802104392955385E-3</v>
      </c>
      <c r="BM121" s="29">
        <f t="shared" si="84"/>
        <v>9.4251584845803649E-3</v>
      </c>
      <c r="BN121" s="29">
        <f t="shared" si="85"/>
        <v>6.4977486575195087E-3</v>
      </c>
      <c r="BO121" s="20"/>
      <c r="BP121" s="19"/>
      <c r="BR121" s="19"/>
      <c r="BS121" s="19"/>
      <c r="BT121" s="19"/>
      <c r="BU121" s="19"/>
      <c r="BW121" s="19"/>
      <c r="BX121" s="20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20"/>
      <c r="CO121" s="19"/>
      <c r="CP121" s="20"/>
      <c r="DG121" s="24"/>
      <c r="DO121" s="24"/>
      <c r="EE121" s="24"/>
      <c r="EF121" s="20"/>
      <c r="GH121" s="24"/>
      <c r="GI121" s="19"/>
      <c r="GJ121" s="22"/>
    </row>
    <row r="122" spans="1:192" x14ac:dyDescent="0.25">
      <c r="A122" s="18">
        <v>1990</v>
      </c>
      <c r="B122" s="19">
        <v>7722.9530000000004</v>
      </c>
      <c r="C122" s="19">
        <v>9969.31</v>
      </c>
      <c r="D122" s="19">
        <v>151170</v>
      </c>
      <c r="E122" s="19">
        <v>27790.6</v>
      </c>
      <c r="F122" s="19">
        <v>5140.9539999999997</v>
      </c>
      <c r="G122" s="19">
        <v>4986.4309999999996</v>
      </c>
      <c r="H122" s="19">
        <v>58168</v>
      </c>
      <c r="I122" s="19">
        <v>79380.394</v>
      </c>
      <c r="J122" s="19">
        <v>56742.885999999999</v>
      </c>
      <c r="K122" s="21">
        <v>123537.399</v>
      </c>
      <c r="L122" s="19">
        <v>14951.51</v>
      </c>
      <c r="M122" s="19">
        <v>3414</v>
      </c>
      <c r="N122" s="19">
        <v>4242.0060000000003</v>
      </c>
      <c r="O122" s="19">
        <v>9922.6890000000003</v>
      </c>
      <c r="P122" s="19">
        <v>39350.769</v>
      </c>
      <c r="Q122" s="21">
        <v>17365.080000000002</v>
      </c>
      <c r="R122" s="19">
        <v>8559</v>
      </c>
      <c r="S122" s="19">
        <v>6836.6260000000002</v>
      </c>
      <c r="T122" s="19">
        <v>57493.307000000001</v>
      </c>
      <c r="U122" s="19">
        <v>250131.894</v>
      </c>
      <c r="V122" s="19">
        <v>3110</v>
      </c>
      <c r="W122" s="20"/>
      <c r="X122" s="27">
        <f t="shared" si="44"/>
        <v>8.9519520828327614</v>
      </c>
      <c r="Y122" s="27">
        <f t="shared" si="45"/>
        <v>9.207266652938058</v>
      </c>
      <c r="Z122" s="27">
        <f t="shared" si="46"/>
        <v>11.926160310342754</v>
      </c>
      <c r="AA122" s="27">
        <f t="shared" si="47"/>
        <v>10.232453113003658</v>
      </c>
      <c r="AB122" s="27">
        <f t="shared" si="48"/>
        <v>8.5449939443399252</v>
      </c>
      <c r="AC122" s="27">
        <f t="shared" si="49"/>
        <v>8.5144757023853117</v>
      </c>
      <c r="AD122" s="27">
        <f t="shared" si="50"/>
        <v>10.971090654329894</v>
      </c>
      <c r="AE122" s="27">
        <f t="shared" si="51"/>
        <v>11.282006689791606</v>
      </c>
      <c r="AF122" s="27">
        <f t="shared" si="52"/>
        <v>10.946285570657631</v>
      </c>
      <c r="AG122" s="27">
        <f t="shared" si="53"/>
        <v>11.724299215118588</v>
      </c>
      <c r="AH122" s="27">
        <f t="shared" si="54"/>
        <v>9.6125675770628192</v>
      </c>
      <c r="AI122" s="27">
        <f t="shared" si="55"/>
        <v>8.1356399033543862</v>
      </c>
      <c r="AJ122" s="27">
        <f t="shared" si="56"/>
        <v>8.3527915495507852</v>
      </c>
      <c r="AK122" s="27">
        <f t="shared" si="57"/>
        <v>9.2025792320948643</v>
      </c>
      <c r="AL122" s="27">
        <f t="shared" si="58"/>
        <v>10.580270796221305</v>
      </c>
      <c r="AM122" s="27">
        <f t="shared" si="59"/>
        <v>9.7622165721356016</v>
      </c>
      <c r="AN122" s="27">
        <f t="shared" si="60"/>
        <v>9.0547386398816094</v>
      </c>
      <c r="AO122" s="27">
        <f t="shared" si="61"/>
        <v>8.830049614062732</v>
      </c>
      <c r="AP122" s="27">
        <f t="shared" si="62"/>
        <v>10.959423820010436</v>
      </c>
      <c r="AQ122" s="27">
        <f t="shared" si="63"/>
        <v>12.429743633725094</v>
      </c>
      <c r="AR122" s="27">
        <f t="shared" si="64"/>
        <v>8.0423780051732798</v>
      </c>
      <c r="AS122" s="19"/>
      <c r="AT122" s="29">
        <f t="shared" si="65"/>
        <v>1.2389338617232681E-2</v>
      </c>
      <c r="AU122" s="29">
        <f t="shared" si="66"/>
        <v>3.1760702725911472E-3</v>
      </c>
      <c r="AV122" s="29">
        <f t="shared" si="67"/>
        <v>1.6749938845141088E-2</v>
      </c>
      <c r="AW122" s="29">
        <f t="shared" si="68"/>
        <v>1.4910580594683864E-2</v>
      </c>
      <c r="AX122" s="29">
        <f t="shared" si="69"/>
        <v>1.6276757863522562E-3</v>
      </c>
      <c r="AY122" s="29">
        <f t="shared" si="70"/>
        <v>4.8226666293089693E-3</v>
      </c>
      <c r="AZ122" s="29">
        <f t="shared" si="71"/>
        <v>5.9833438554992568E-3</v>
      </c>
      <c r="BA122" s="29">
        <f t="shared" si="72"/>
        <v>9.3084496389810312E-3</v>
      </c>
      <c r="BB122" s="29">
        <f t="shared" si="73"/>
        <v>9.4412767241536244E-5</v>
      </c>
      <c r="BC122" s="29">
        <f t="shared" si="74"/>
        <v>3.485978725601413E-3</v>
      </c>
      <c r="BD122" s="29">
        <f t="shared" si="75"/>
        <v>6.8860382343878257E-3</v>
      </c>
      <c r="BE122" s="29">
        <f t="shared" si="76"/>
        <v>1.0600805986641149E-2</v>
      </c>
      <c r="BF122" s="29">
        <f t="shared" si="77"/>
        <v>3.7467504248667183E-3</v>
      </c>
      <c r="BG122" s="29">
        <f t="shared" si="78"/>
        <v>-4.6155777976508716E-5</v>
      </c>
      <c r="BH122" s="29">
        <f t="shared" si="79"/>
        <v>3.468354361380932E-3</v>
      </c>
      <c r="BI122" s="29">
        <f t="shared" si="80"/>
        <v>1.2912608301556716E-2</v>
      </c>
      <c r="BJ122" s="29">
        <f t="shared" si="81"/>
        <v>7.7410661015999693E-3</v>
      </c>
      <c r="BK122" s="29">
        <f t="shared" si="82"/>
        <v>1.0731206365525381E-2</v>
      </c>
      <c r="BL122" s="29">
        <f t="shared" si="83"/>
        <v>2.9409229678307724E-3</v>
      </c>
      <c r="BM122" s="29">
        <f t="shared" si="84"/>
        <v>1.1217585451531065E-2</v>
      </c>
      <c r="BN122" s="29">
        <f t="shared" si="85"/>
        <v>7.0990940286126403E-3</v>
      </c>
      <c r="BO122" s="20"/>
      <c r="BP122" s="19"/>
      <c r="BR122" s="19"/>
      <c r="BS122" s="19"/>
      <c r="BT122" s="19"/>
      <c r="BU122" s="19"/>
      <c r="BW122" s="19"/>
      <c r="BX122" s="20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20"/>
      <c r="CO122" s="19"/>
      <c r="CP122" s="20"/>
      <c r="DG122" s="24"/>
      <c r="DO122" s="24"/>
      <c r="EE122" s="24"/>
      <c r="EF122" s="20"/>
      <c r="GH122" s="24"/>
      <c r="GI122" s="19"/>
      <c r="GJ122" s="22"/>
    </row>
    <row r="123" spans="1:192" x14ac:dyDescent="0.25">
      <c r="A123" s="18">
        <v>1991</v>
      </c>
      <c r="B123" s="19">
        <v>7818.4229999999998</v>
      </c>
      <c r="C123" s="19">
        <v>10004.486999999999</v>
      </c>
      <c r="D123" s="19">
        <v>153584</v>
      </c>
      <c r="E123" s="19">
        <v>28117.599999999999</v>
      </c>
      <c r="F123" s="19">
        <v>5154.3519999999999</v>
      </c>
      <c r="G123" s="19">
        <v>5013.7860000000001</v>
      </c>
      <c r="H123" s="19">
        <v>58514</v>
      </c>
      <c r="I123" s="19">
        <v>79984.244000000006</v>
      </c>
      <c r="J123" s="19">
        <v>56747.462</v>
      </c>
      <c r="K123" s="21">
        <v>123946.268</v>
      </c>
      <c r="L123" s="19">
        <v>15066.22</v>
      </c>
      <c r="M123" s="19">
        <v>3455</v>
      </c>
      <c r="N123" s="19">
        <v>4261.7330000000002</v>
      </c>
      <c r="O123" s="19">
        <v>9919.009</v>
      </c>
      <c r="P123" s="19">
        <v>39461.417999999998</v>
      </c>
      <c r="Q123" s="21">
        <v>17559.047999999999</v>
      </c>
      <c r="R123" s="19">
        <v>8617</v>
      </c>
      <c r="S123" s="19">
        <v>6920.5619999999999</v>
      </c>
      <c r="T123" s="19">
        <v>57665.646000000001</v>
      </c>
      <c r="U123" s="19">
        <v>253492.503</v>
      </c>
      <c r="V123" s="19">
        <v>3131</v>
      </c>
      <c r="W123" s="20"/>
      <c r="X123" s="27">
        <f t="shared" si="44"/>
        <v>8.9642381507986677</v>
      </c>
      <c r="Y123" s="27">
        <f t="shared" si="45"/>
        <v>9.2107889713404401</v>
      </c>
      <c r="Z123" s="27">
        <f t="shared" si="46"/>
        <v>11.942002927603319</v>
      </c>
      <c r="AA123" s="27">
        <f t="shared" si="47"/>
        <v>10.24415099377581</v>
      </c>
      <c r="AB123" s="27">
        <f t="shared" si="48"/>
        <v>8.5475966853489744</v>
      </c>
      <c r="AC123" s="27">
        <f t="shared" si="49"/>
        <v>8.519946597312785</v>
      </c>
      <c r="AD123" s="27">
        <f t="shared" si="50"/>
        <v>10.977021320827701</v>
      </c>
      <c r="AE123" s="27">
        <f t="shared" si="51"/>
        <v>11.28958494425882</v>
      </c>
      <c r="AF123" s="27">
        <f t="shared" si="52"/>
        <v>10.94636621187661</v>
      </c>
      <c r="AG123" s="27">
        <f t="shared" si="53"/>
        <v>11.727603428095168</v>
      </c>
      <c r="AH123" s="27">
        <f t="shared" si="54"/>
        <v>9.620210430695062</v>
      </c>
      <c r="AI123" s="27">
        <f t="shared" si="55"/>
        <v>8.1475777362017698</v>
      </c>
      <c r="AJ123" s="27">
        <f t="shared" si="56"/>
        <v>8.3574311640514125</v>
      </c>
      <c r="AK123" s="27">
        <f t="shared" si="57"/>
        <v>9.2022082960951135</v>
      </c>
      <c r="AL123" s="27">
        <f t="shared" si="58"/>
        <v>10.583078714055132</v>
      </c>
      <c r="AM123" s="27">
        <f t="shared" si="59"/>
        <v>9.7733246515964627</v>
      </c>
      <c r="AN123" s="27">
        <f t="shared" si="60"/>
        <v>9.0614922752397664</v>
      </c>
      <c r="AO123" s="27">
        <f t="shared" si="61"/>
        <v>8.8422522591868802</v>
      </c>
      <c r="AP123" s="27">
        <f t="shared" si="62"/>
        <v>10.962416885233205</v>
      </c>
      <c r="AQ123" s="27">
        <f t="shared" si="63"/>
        <v>12.44308952761156</v>
      </c>
      <c r="AR123" s="27">
        <f t="shared" si="64"/>
        <v>8.049107721326406</v>
      </c>
      <c r="AS123" s="19"/>
      <c r="AT123" s="29">
        <f t="shared" si="65"/>
        <v>1.2286067965906255E-2</v>
      </c>
      <c r="AU123" s="29">
        <f t="shared" si="66"/>
        <v>3.5223184023820409E-3</v>
      </c>
      <c r="AV123" s="29">
        <f t="shared" si="67"/>
        <v>1.5842617260565461E-2</v>
      </c>
      <c r="AW123" s="29">
        <f t="shared" si="68"/>
        <v>1.1697880772151947E-2</v>
      </c>
      <c r="AX123" s="29">
        <f t="shared" si="69"/>
        <v>2.6027410090492253E-3</v>
      </c>
      <c r="AY123" s="29">
        <f t="shared" si="70"/>
        <v>5.4708949274733243E-3</v>
      </c>
      <c r="AZ123" s="29">
        <f t="shared" si="71"/>
        <v>5.9306664978073798E-3</v>
      </c>
      <c r="BA123" s="29">
        <f t="shared" si="72"/>
        <v>7.5782544672140517E-3</v>
      </c>
      <c r="BB123" s="29">
        <f t="shared" si="73"/>
        <v>8.0641218978882989E-5</v>
      </c>
      <c r="BC123" s="29">
        <f t="shared" si="74"/>
        <v>3.3042129765803452E-3</v>
      </c>
      <c r="BD123" s="29">
        <f t="shared" si="75"/>
        <v>7.6428536322428187E-3</v>
      </c>
      <c r="BE123" s="29">
        <f t="shared" si="76"/>
        <v>1.1937832847383589E-2</v>
      </c>
      <c r="BF123" s="29">
        <f t="shared" si="77"/>
        <v>4.6396145006273315E-3</v>
      </c>
      <c r="BG123" s="29">
        <f t="shared" si="78"/>
        <v>-3.7093599975079883E-4</v>
      </c>
      <c r="BH123" s="29">
        <f t="shared" si="79"/>
        <v>2.8079178338273891E-3</v>
      </c>
      <c r="BI123" s="29">
        <f t="shared" si="80"/>
        <v>1.110807946086112E-2</v>
      </c>
      <c r="BJ123" s="29">
        <f t="shared" si="81"/>
        <v>6.7536353581569841E-3</v>
      </c>
      <c r="BK123" s="29">
        <f t="shared" si="82"/>
        <v>1.2202645124148148E-2</v>
      </c>
      <c r="BL123" s="29">
        <f t="shared" si="83"/>
        <v>2.993065222769431E-3</v>
      </c>
      <c r="BM123" s="29">
        <f t="shared" si="84"/>
        <v>1.3345893886466342E-2</v>
      </c>
      <c r="BN123" s="29">
        <f t="shared" si="85"/>
        <v>6.7297161531261196E-3</v>
      </c>
      <c r="BO123" s="20"/>
      <c r="BP123" s="19"/>
      <c r="BR123" s="19"/>
      <c r="BS123" s="19"/>
      <c r="BT123" s="19"/>
      <c r="BU123" s="19"/>
      <c r="BW123" s="19"/>
      <c r="BX123" s="20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20"/>
      <c r="CO123" s="19"/>
      <c r="CP123" s="20"/>
      <c r="DG123" s="24"/>
      <c r="DO123" s="24"/>
      <c r="EE123" s="24"/>
      <c r="EF123" s="20"/>
      <c r="GH123" s="24"/>
      <c r="GI123" s="19"/>
      <c r="GJ123" s="22"/>
    </row>
    <row r="124" spans="1:192" x14ac:dyDescent="0.25">
      <c r="A124" s="18">
        <v>1992</v>
      </c>
      <c r="B124" s="19">
        <v>7914.9690000000001</v>
      </c>
      <c r="C124" s="19">
        <v>10045.621999999999</v>
      </c>
      <c r="D124" s="19">
        <v>156032</v>
      </c>
      <c r="E124" s="19">
        <v>28545</v>
      </c>
      <c r="F124" s="19">
        <v>5171.393</v>
      </c>
      <c r="G124" s="19">
        <v>5041.0389999999998</v>
      </c>
      <c r="H124" s="19">
        <v>58859</v>
      </c>
      <c r="I124" s="19">
        <v>80597.763999999996</v>
      </c>
      <c r="J124" s="19">
        <v>56840.847000000002</v>
      </c>
      <c r="K124" s="21">
        <v>124329.269</v>
      </c>
      <c r="L124" s="19">
        <v>15174.244000000001</v>
      </c>
      <c r="M124" s="19">
        <v>3494</v>
      </c>
      <c r="N124" s="19">
        <v>4286.357</v>
      </c>
      <c r="O124" s="19">
        <v>9927.68</v>
      </c>
      <c r="P124" s="19">
        <v>39549.438000000002</v>
      </c>
      <c r="Q124" s="21">
        <v>17755.61</v>
      </c>
      <c r="R124" s="19">
        <v>8668</v>
      </c>
      <c r="S124" s="19">
        <v>6995.4470000000001</v>
      </c>
      <c r="T124" s="19">
        <v>57866.349000000002</v>
      </c>
      <c r="U124" s="19">
        <v>256894.18900000001</v>
      </c>
      <c r="V124" s="19">
        <v>3153</v>
      </c>
      <c r="W124" s="20"/>
      <c r="X124" s="27">
        <f t="shared" si="44"/>
        <v>8.9765110556934182</v>
      </c>
      <c r="Y124" s="27">
        <f t="shared" si="45"/>
        <v>9.214892196685895</v>
      </c>
      <c r="Z124" s="27">
        <f t="shared" si="46"/>
        <v>11.957816393400888</v>
      </c>
      <c r="AA124" s="27">
        <f t="shared" si="47"/>
        <v>10.25923706839836</v>
      </c>
      <c r="AB124" s="27">
        <f t="shared" si="48"/>
        <v>8.550897370281854</v>
      </c>
      <c r="AC124" s="27">
        <f t="shared" si="49"/>
        <v>8.5253674906129095</v>
      </c>
      <c r="AD124" s="27">
        <f t="shared" si="50"/>
        <v>10.982900032176611</v>
      </c>
      <c r="AE124" s="27">
        <f t="shared" si="51"/>
        <v>11.297226186174422</v>
      </c>
      <c r="AF124" s="27">
        <f t="shared" si="52"/>
        <v>10.948010483577843</v>
      </c>
      <c r="AG124" s="27">
        <f t="shared" si="53"/>
        <v>11.730688720415502</v>
      </c>
      <c r="AH124" s="27">
        <f t="shared" si="54"/>
        <v>9.6273547959058128</v>
      </c>
      <c r="AI124" s="27">
        <f t="shared" si="55"/>
        <v>8.1588024906940024</v>
      </c>
      <c r="AJ124" s="27">
        <f t="shared" si="56"/>
        <v>8.3631924670117694</v>
      </c>
      <c r="AK124" s="27">
        <f t="shared" si="57"/>
        <v>9.2030820942940679</v>
      </c>
      <c r="AL124" s="27">
        <f t="shared" si="58"/>
        <v>10.585306763233904</v>
      </c>
      <c r="AM124" s="27">
        <f t="shared" si="59"/>
        <v>9.7844568013063071</v>
      </c>
      <c r="AN124" s="27">
        <f t="shared" si="60"/>
        <v>9.0673933626562491</v>
      </c>
      <c r="AO124" s="27">
        <f t="shared" si="61"/>
        <v>8.8530147878455914</v>
      </c>
      <c r="AP124" s="27">
        <f t="shared" si="62"/>
        <v>10.965891302893873</v>
      </c>
      <c r="AQ124" s="27">
        <f t="shared" si="63"/>
        <v>12.456419563145765</v>
      </c>
      <c r="AR124" s="27">
        <f t="shared" si="64"/>
        <v>8.0561096595450614</v>
      </c>
      <c r="AS124" s="19"/>
      <c r="AT124" s="29">
        <f t="shared" si="65"/>
        <v>1.2272904894750525E-2</v>
      </c>
      <c r="AU124" s="29">
        <f t="shared" si="66"/>
        <v>4.1032253454549306E-3</v>
      </c>
      <c r="AV124" s="29">
        <f t="shared" si="67"/>
        <v>1.5813465797569037E-2</v>
      </c>
      <c r="AW124" s="29">
        <f t="shared" si="68"/>
        <v>1.5086074622550072E-2</v>
      </c>
      <c r="AX124" s="29">
        <f t="shared" si="69"/>
        <v>3.3006849328796051E-3</v>
      </c>
      <c r="AY124" s="29">
        <f t="shared" si="70"/>
        <v>5.4208933001245185E-3</v>
      </c>
      <c r="AZ124" s="29">
        <f t="shared" si="71"/>
        <v>5.8787113489096043E-3</v>
      </c>
      <c r="BA124" s="29">
        <f t="shared" si="72"/>
        <v>7.6412419156017819E-3</v>
      </c>
      <c r="BB124" s="29">
        <f t="shared" si="73"/>
        <v>1.6442717012328245E-3</v>
      </c>
      <c r="BC124" s="29">
        <f t="shared" si="74"/>
        <v>3.0852923203337212E-3</v>
      </c>
      <c r="BD124" s="29">
        <f t="shared" si="75"/>
        <v>7.1443652107507916E-3</v>
      </c>
      <c r="BE124" s="29">
        <f t="shared" si="76"/>
        <v>1.1224754492232591E-2</v>
      </c>
      <c r="BF124" s="29">
        <f t="shared" si="77"/>
        <v>5.7613029603569288E-3</v>
      </c>
      <c r="BG124" s="29">
        <f t="shared" si="78"/>
        <v>8.737981989543897E-4</v>
      </c>
      <c r="BH124" s="29">
        <f t="shared" si="79"/>
        <v>2.2280491787718404E-3</v>
      </c>
      <c r="BI124" s="29">
        <f t="shared" si="80"/>
        <v>1.1132149709844441E-2</v>
      </c>
      <c r="BJ124" s="29">
        <f t="shared" si="81"/>
        <v>5.9010874164826532E-3</v>
      </c>
      <c r="BK124" s="29">
        <f t="shared" si="82"/>
        <v>1.076252865871119E-2</v>
      </c>
      <c r="BL124" s="29">
        <f t="shared" si="83"/>
        <v>3.4744176606675836E-3</v>
      </c>
      <c r="BM124" s="29">
        <f t="shared" si="84"/>
        <v>1.3330035534204754E-2</v>
      </c>
      <c r="BN124" s="29">
        <f t="shared" si="85"/>
        <v>7.0019382186554679E-3</v>
      </c>
      <c r="BO124" s="20"/>
      <c r="BP124" s="19"/>
      <c r="BR124" s="19"/>
      <c r="BS124" s="19"/>
      <c r="BT124" s="19"/>
      <c r="BU124" s="19"/>
      <c r="BW124" s="19"/>
      <c r="BX124" s="20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20"/>
      <c r="CO124" s="19"/>
      <c r="CP124" s="20"/>
      <c r="DG124" s="24"/>
      <c r="DO124" s="24"/>
      <c r="EE124" s="24"/>
      <c r="EF124" s="20"/>
      <c r="GH124" s="24"/>
      <c r="GI124" s="19"/>
      <c r="GJ124" s="22"/>
    </row>
    <row r="125" spans="1:192" x14ac:dyDescent="0.25">
      <c r="A125" s="18">
        <v>1993</v>
      </c>
      <c r="B125" s="19">
        <v>7988.5990000000002</v>
      </c>
      <c r="C125" s="19">
        <v>10085.425999999999</v>
      </c>
      <c r="D125" s="19">
        <v>158512</v>
      </c>
      <c r="E125" s="19">
        <v>28953</v>
      </c>
      <c r="F125" s="19">
        <v>5188.3860000000004</v>
      </c>
      <c r="G125" s="19">
        <v>5064.8459999999995</v>
      </c>
      <c r="H125" s="19">
        <v>59169</v>
      </c>
      <c r="I125" s="19">
        <v>81132.271999999997</v>
      </c>
      <c r="J125" s="19">
        <v>57026.745999999999</v>
      </c>
      <c r="K125" s="21">
        <v>124668.019</v>
      </c>
      <c r="L125" s="19">
        <v>15274.941999999999</v>
      </c>
      <c r="M125" s="19">
        <v>3537</v>
      </c>
      <c r="N125" s="19">
        <v>4311.9639999999999</v>
      </c>
      <c r="O125" s="19">
        <v>9967.8320000000003</v>
      </c>
      <c r="P125" s="19">
        <v>39627.587</v>
      </c>
      <c r="Q125" s="21">
        <v>17997.150000000001</v>
      </c>
      <c r="R125" s="19">
        <v>8719</v>
      </c>
      <c r="S125" s="19">
        <v>7058.2110000000002</v>
      </c>
      <c r="T125" s="19">
        <v>58026.92</v>
      </c>
      <c r="U125" s="19">
        <v>260255.35200000001</v>
      </c>
      <c r="V125" s="19">
        <v>3175</v>
      </c>
      <c r="W125" s="20"/>
      <c r="X125" s="27">
        <f t="shared" si="44"/>
        <v>8.9857706792055065</v>
      </c>
      <c r="Y125" s="27">
        <f t="shared" si="45"/>
        <v>9.2188466904480961</v>
      </c>
      <c r="Z125" s="27">
        <f t="shared" si="46"/>
        <v>11.973585579212811</v>
      </c>
      <c r="AA125" s="27">
        <f t="shared" si="47"/>
        <v>10.273429104575246</v>
      </c>
      <c r="AB125" s="27">
        <f t="shared" si="48"/>
        <v>8.5541779451358408</v>
      </c>
      <c r="AC125" s="27">
        <f t="shared" si="49"/>
        <v>8.5300790114821492</v>
      </c>
      <c r="AD125" s="27">
        <f t="shared" si="50"/>
        <v>10.988153035071614</v>
      </c>
      <c r="AE125" s="27">
        <f t="shared" si="51"/>
        <v>11.303836089434316</v>
      </c>
      <c r="AF125" s="27">
        <f t="shared" si="52"/>
        <v>10.951275664833798</v>
      </c>
      <c r="AG125" s="27">
        <f t="shared" si="53"/>
        <v>11.733409635263307</v>
      </c>
      <c r="AH125" s="27">
        <f t="shared" si="54"/>
        <v>9.6339689869785765</v>
      </c>
      <c r="AI125" s="27">
        <f t="shared" si="55"/>
        <v>8.1710341892054803</v>
      </c>
      <c r="AJ125" s="27">
        <f t="shared" si="56"/>
        <v>8.3691487637599185</v>
      </c>
      <c r="AK125" s="27">
        <f t="shared" si="57"/>
        <v>9.2071183869526205</v>
      </c>
      <c r="AL125" s="27">
        <f t="shared" si="58"/>
        <v>10.587280796114721</v>
      </c>
      <c r="AM125" s="27">
        <f t="shared" si="59"/>
        <v>9.7979686910089239</v>
      </c>
      <c r="AN125" s="27">
        <f t="shared" si="60"/>
        <v>9.0732598314278157</v>
      </c>
      <c r="AO125" s="27">
        <f t="shared" si="61"/>
        <v>8.861946898942799</v>
      </c>
      <c r="AP125" s="27">
        <f t="shared" si="62"/>
        <v>10.968662319780899</v>
      </c>
      <c r="AQ125" s="27">
        <f t="shared" si="63"/>
        <v>12.46941855110726</v>
      </c>
      <c r="AR125" s="27">
        <f t="shared" si="64"/>
        <v>8.0630629113267922</v>
      </c>
      <c r="AS125" s="19"/>
      <c r="AT125" s="29">
        <f t="shared" si="65"/>
        <v>9.2596235120883108E-3</v>
      </c>
      <c r="AU125" s="29">
        <f t="shared" si="66"/>
        <v>3.9544937622011389E-3</v>
      </c>
      <c r="AV125" s="29">
        <f t="shared" si="67"/>
        <v>1.5769185811922881E-2</v>
      </c>
      <c r="AW125" s="29">
        <f t="shared" si="68"/>
        <v>1.4192036176886802E-2</v>
      </c>
      <c r="AX125" s="29">
        <f t="shared" si="69"/>
        <v>3.2805748539868063E-3</v>
      </c>
      <c r="AY125" s="29">
        <f t="shared" si="70"/>
        <v>4.7115208692396493E-3</v>
      </c>
      <c r="AZ125" s="29">
        <f t="shared" si="71"/>
        <v>5.2530028950030783E-3</v>
      </c>
      <c r="BA125" s="29">
        <f t="shared" si="72"/>
        <v>6.6099032598945229E-3</v>
      </c>
      <c r="BB125" s="29">
        <f t="shared" si="73"/>
        <v>3.2651812559549853E-3</v>
      </c>
      <c r="BC125" s="29">
        <f t="shared" si="74"/>
        <v>2.7209148478046785E-3</v>
      </c>
      <c r="BD125" s="29">
        <f t="shared" si="75"/>
        <v>6.614191072763731E-3</v>
      </c>
      <c r="BE125" s="29">
        <f t="shared" si="76"/>
        <v>1.2231698511477873E-2</v>
      </c>
      <c r="BF125" s="29">
        <f t="shared" si="77"/>
        <v>5.9562967481490148E-3</v>
      </c>
      <c r="BG125" s="29">
        <f t="shared" si="78"/>
        <v>4.0362926585526537E-3</v>
      </c>
      <c r="BH125" s="29">
        <f t="shared" si="79"/>
        <v>1.9740328808168783E-3</v>
      </c>
      <c r="BI125" s="29">
        <f t="shared" si="80"/>
        <v>1.3511889702616742E-2</v>
      </c>
      <c r="BJ125" s="29">
        <f t="shared" si="81"/>
        <v>5.866468771566602E-3</v>
      </c>
      <c r="BK125" s="29">
        <f t="shared" si="82"/>
        <v>8.9321110972075957E-3</v>
      </c>
      <c r="BL125" s="29">
        <f t="shared" si="83"/>
        <v>2.7710168870260787E-3</v>
      </c>
      <c r="BM125" s="29">
        <f t="shared" si="84"/>
        <v>1.2998987961495345E-2</v>
      </c>
      <c r="BN125" s="29">
        <f t="shared" si="85"/>
        <v>6.9532517817307848E-3</v>
      </c>
      <c r="BO125" s="20"/>
      <c r="BP125" s="19"/>
      <c r="BR125" s="19"/>
      <c r="BS125" s="19"/>
      <c r="BT125" s="19"/>
      <c r="BU125" s="19"/>
      <c r="BW125" s="19"/>
      <c r="BX125" s="20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20"/>
      <c r="CO125" s="19"/>
      <c r="CP125" s="20"/>
      <c r="DG125" s="24"/>
      <c r="DO125" s="24"/>
      <c r="EE125" s="24"/>
      <c r="EF125" s="20"/>
      <c r="GH125" s="24"/>
      <c r="GI125" s="19"/>
      <c r="GJ125" s="22"/>
    </row>
    <row r="126" spans="1:192" x14ac:dyDescent="0.25">
      <c r="A126" s="18">
        <v>1994</v>
      </c>
      <c r="B126" s="19">
        <v>8027.54</v>
      </c>
      <c r="C126" s="19">
        <v>10122.914000000001</v>
      </c>
      <c r="D126" s="19">
        <v>161017</v>
      </c>
      <c r="E126" s="19">
        <v>29331</v>
      </c>
      <c r="F126" s="19">
        <v>5205.6030000000001</v>
      </c>
      <c r="G126" s="19">
        <v>5086.0439999999999</v>
      </c>
      <c r="H126" s="19">
        <v>59445</v>
      </c>
      <c r="I126" s="19">
        <v>81414.164000000004</v>
      </c>
      <c r="J126" s="19">
        <v>57179.46</v>
      </c>
      <c r="K126" s="21">
        <v>125014.05</v>
      </c>
      <c r="L126" s="19">
        <v>15382.198</v>
      </c>
      <c r="M126" s="19">
        <v>3586</v>
      </c>
      <c r="N126" s="19">
        <v>4336.6379999999999</v>
      </c>
      <c r="O126" s="19">
        <v>10027.688</v>
      </c>
      <c r="P126" s="19">
        <v>39690.970999999998</v>
      </c>
      <c r="Q126" s="21">
        <v>18247.057000000001</v>
      </c>
      <c r="R126" s="19">
        <v>8781</v>
      </c>
      <c r="S126" s="19">
        <v>7114.53</v>
      </c>
      <c r="T126" s="19">
        <v>58212.517999999996</v>
      </c>
      <c r="U126" s="19">
        <v>263435.67300000001</v>
      </c>
      <c r="V126" s="19">
        <v>3195</v>
      </c>
      <c r="W126" s="20"/>
      <c r="X126" s="27">
        <f t="shared" si="44"/>
        <v>8.9906334088226334</v>
      </c>
      <c r="Y126" s="27">
        <f t="shared" si="45"/>
        <v>9.2225568460573797</v>
      </c>
      <c r="Z126" s="27">
        <f t="shared" si="46"/>
        <v>11.989265228454475</v>
      </c>
      <c r="AA126" s="27">
        <f t="shared" si="47"/>
        <v>10.286400256173781</v>
      </c>
      <c r="AB126" s="27">
        <f t="shared" si="48"/>
        <v>8.5574908244830521</v>
      </c>
      <c r="AC126" s="27">
        <f t="shared" si="49"/>
        <v>8.5342555971440142</v>
      </c>
      <c r="AD126" s="27">
        <f t="shared" si="50"/>
        <v>10.992806794292646</v>
      </c>
      <c r="AE126" s="27">
        <f t="shared" si="51"/>
        <v>11.307304541767538</v>
      </c>
      <c r="AF126" s="27">
        <f t="shared" si="52"/>
        <v>10.953950021970218</v>
      </c>
      <c r="AG126" s="27">
        <f t="shared" si="53"/>
        <v>11.736181409968031</v>
      </c>
      <c r="AH126" s="27">
        <f t="shared" si="54"/>
        <v>9.6409661457224249</v>
      </c>
      <c r="AI126" s="27">
        <f t="shared" si="55"/>
        <v>8.1847926541650775</v>
      </c>
      <c r="AJ126" s="27">
        <f t="shared" si="56"/>
        <v>8.3748546725168236</v>
      </c>
      <c r="AK126" s="27">
        <f t="shared" si="57"/>
        <v>9.2131053459102432</v>
      </c>
      <c r="AL126" s="27">
        <f t="shared" si="58"/>
        <v>10.588879010078513</v>
      </c>
      <c r="AM126" s="27">
        <f t="shared" si="59"/>
        <v>9.8117590857328292</v>
      </c>
      <c r="AN126" s="27">
        <f t="shared" si="60"/>
        <v>9.0803455753599955</v>
      </c>
      <c r="AO126" s="27">
        <f t="shared" si="61"/>
        <v>8.8698944507173145</v>
      </c>
      <c r="AP126" s="27">
        <f t="shared" si="62"/>
        <v>10.971855696502525</v>
      </c>
      <c r="AQ126" s="27">
        <f t="shared" si="63"/>
        <v>12.481564491922946</v>
      </c>
      <c r="AR126" s="27">
        <f t="shared" si="64"/>
        <v>8.069342366811636</v>
      </c>
      <c r="AS126" s="19"/>
      <c r="AT126" s="29">
        <f t="shared" si="65"/>
        <v>4.8627296171268597E-3</v>
      </c>
      <c r="AU126" s="29">
        <f t="shared" si="66"/>
        <v>3.7101556092835608E-3</v>
      </c>
      <c r="AV126" s="29">
        <f t="shared" si="67"/>
        <v>1.567964924166354E-2</v>
      </c>
      <c r="AW126" s="29">
        <f t="shared" si="68"/>
        <v>1.2971151598534902E-2</v>
      </c>
      <c r="AX126" s="29">
        <f t="shared" si="69"/>
        <v>3.3128793472112505E-3</v>
      </c>
      <c r="AY126" s="29">
        <f t="shared" si="70"/>
        <v>4.1765856618649622E-3</v>
      </c>
      <c r="AZ126" s="29">
        <f t="shared" si="71"/>
        <v>4.6537592210320611E-3</v>
      </c>
      <c r="BA126" s="29">
        <f t="shared" si="72"/>
        <v>3.4684523332213502E-3</v>
      </c>
      <c r="BB126" s="29">
        <f t="shared" si="73"/>
        <v>2.6743571364207241E-3</v>
      </c>
      <c r="BC126" s="29">
        <f t="shared" si="74"/>
        <v>2.7717747047244501E-3</v>
      </c>
      <c r="BD126" s="29">
        <f t="shared" si="75"/>
        <v>6.9971587438484306E-3</v>
      </c>
      <c r="BE126" s="29">
        <f t="shared" si="76"/>
        <v>1.3758464959597205E-2</v>
      </c>
      <c r="BF126" s="29">
        <f t="shared" si="77"/>
        <v>5.7059087569051314E-3</v>
      </c>
      <c r="BG126" s="29">
        <f t="shared" si="78"/>
        <v>5.98695895762269E-3</v>
      </c>
      <c r="BH126" s="29">
        <f t="shared" si="79"/>
        <v>1.5982139637920056E-3</v>
      </c>
      <c r="BI126" s="29">
        <f t="shared" si="80"/>
        <v>1.3790394723905308E-2</v>
      </c>
      <c r="BJ126" s="29">
        <f t="shared" si="81"/>
        <v>7.0857439321798665E-3</v>
      </c>
      <c r="BK126" s="29">
        <f t="shared" si="82"/>
        <v>7.9475517745155599E-3</v>
      </c>
      <c r="BL126" s="29">
        <f t="shared" si="83"/>
        <v>3.1933767216258957E-3</v>
      </c>
      <c r="BM126" s="29">
        <f t="shared" si="84"/>
        <v>1.2145940815685208E-2</v>
      </c>
      <c r="BN126" s="29">
        <f t="shared" si="85"/>
        <v>6.2794554848437656E-3</v>
      </c>
      <c r="BO126" s="20"/>
      <c r="BP126" s="19"/>
      <c r="BR126" s="19"/>
      <c r="BS126" s="19"/>
      <c r="BT126" s="19"/>
      <c r="BU126" s="19"/>
      <c r="BW126" s="19"/>
      <c r="BX126" s="20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20"/>
      <c r="CO126" s="19"/>
      <c r="CP126" s="20"/>
      <c r="DG126" s="24"/>
      <c r="DO126" s="24"/>
      <c r="EE126" s="24"/>
      <c r="EF126" s="20"/>
      <c r="GH126" s="24"/>
      <c r="GI126" s="19"/>
      <c r="GJ126" s="22"/>
    </row>
    <row r="127" spans="1:192" x14ac:dyDescent="0.25">
      <c r="A127" s="18">
        <v>1995</v>
      </c>
      <c r="B127" s="19">
        <v>8047.433</v>
      </c>
      <c r="C127" s="19">
        <v>10155.459000000001</v>
      </c>
      <c r="D127" s="19">
        <v>163544</v>
      </c>
      <c r="E127" s="19">
        <v>29691</v>
      </c>
      <c r="F127" s="19">
        <v>5232.6120000000001</v>
      </c>
      <c r="G127" s="19">
        <v>5104.6540000000005</v>
      </c>
      <c r="H127" s="19">
        <v>59712</v>
      </c>
      <c r="I127" s="19">
        <v>81653.702000000005</v>
      </c>
      <c r="J127" s="19">
        <v>57274.531000000003</v>
      </c>
      <c r="K127" s="21">
        <v>125341.35400000001</v>
      </c>
      <c r="L127" s="19">
        <v>15459.054</v>
      </c>
      <c r="M127" s="19">
        <v>3642</v>
      </c>
      <c r="N127" s="19">
        <v>4359.1009999999997</v>
      </c>
      <c r="O127" s="19">
        <v>10065.543</v>
      </c>
      <c r="P127" s="19">
        <v>39749.714999999997</v>
      </c>
      <c r="Q127" s="21">
        <v>18475.882000000001</v>
      </c>
      <c r="R127" s="19">
        <v>8827</v>
      </c>
      <c r="S127" s="19">
        <v>7157.1059999999998</v>
      </c>
      <c r="T127" s="19">
        <v>58426.014000000003</v>
      </c>
      <c r="U127" s="19">
        <v>266557.09100000001</v>
      </c>
      <c r="V127" s="19">
        <v>3219</v>
      </c>
      <c r="W127" s="20"/>
      <c r="X127" s="27">
        <f t="shared" si="44"/>
        <v>8.9931084375713599</v>
      </c>
      <c r="Y127" s="27">
        <f t="shared" si="45"/>
        <v>9.2257666724021803</v>
      </c>
      <c r="Z127" s="27">
        <f t="shared" si="46"/>
        <v>12.004837346264845</v>
      </c>
      <c r="AA127" s="27">
        <f t="shared" si="47"/>
        <v>10.2985992485648</v>
      </c>
      <c r="AB127" s="27">
        <f t="shared" si="48"/>
        <v>8.562665858773352</v>
      </c>
      <c r="AC127" s="27">
        <f t="shared" si="49"/>
        <v>8.5379079516123024</v>
      </c>
      <c r="AD127" s="27">
        <f t="shared" si="50"/>
        <v>10.997288284207016</v>
      </c>
      <c r="AE127" s="27">
        <f t="shared" si="51"/>
        <v>11.310242437236068</v>
      </c>
      <c r="AF127" s="27">
        <f t="shared" si="52"/>
        <v>10.955611318724223</v>
      </c>
      <c r="AG127" s="27">
        <f t="shared" si="53"/>
        <v>11.738796126337201</v>
      </c>
      <c r="AH127" s="27">
        <f t="shared" si="54"/>
        <v>9.645950130101042</v>
      </c>
      <c r="AI127" s="27">
        <f t="shared" si="55"/>
        <v>8.2002882602875538</v>
      </c>
      <c r="AJ127" s="27">
        <f t="shared" si="56"/>
        <v>8.3800211224218994</v>
      </c>
      <c r="AK127" s="27">
        <f t="shared" si="57"/>
        <v>9.2168732859480382</v>
      </c>
      <c r="AL127" s="27">
        <f t="shared" si="58"/>
        <v>10.590357950245453</v>
      </c>
      <c r="AM127" s="27">
        <f t="shared" si="59"/>
        <v>9.824221484866321</v>
      </c>
      <c r="AN127" s="27">
        <f t="shared" si="60"/>
        <v>9.0855704850202326</v>
      </c>
      <c r="AO127" s="27">
        <f t="shared" si="61"/>
        <v>8.8758609883037849</v>
      </c>
      <c r="AP127" s="27">
        <f t="shared" si="62"/>
        <v>10.975516514840535</v>
      </c>
      <c r="AQ127" s="27">
        <f t="shared" si="63"/>
        <v>12.49334372478582</v>
      </c>
      <c r="AR127" s="27">
        <f t="shared" si="64"/>
        <v>8.0768260312988076</v>
      </c>
      <c r="AS127" s="19"/>
      <c r="AT127" s="29">
        <f t="shared" si="65"/>
        <v>2.4750287487265155E-3</v>
      </c>
      <c r="AU127" s="29">
        <f t="shared" si="66"/>
        <v>3.2098263448006037E-3</v>
      </c>
      <c r="AV127" s="29">
        <f t="shared" si="67"/>
        <v>1.5572117810370045E-2</v>
      </c>
      <c r="AW127" s="29">
        <f t="shared" si="68"/>
        <v>1.2198992391018848E-2</v>
      </c>
      <c r="AX127" s="29">
        <f t="shared" si="69"/>
        <v>5.1750342902998625E-3</v>
      </c>
      <c r="AY127" s="29">
        <f t="shared" si="70"/>
        <v>3.6523544682882658E-3</v>
      </c>
      <c r="AZ127" s="29">
        <f t="shared" si="71"/>
        <v>4.4814899143705844E-3</v>
      </c>
      <c r="BA127" s="29">
        <f t="shared" si="72"/>
        <v>2.9378954685306269E-3</v>
      </c>
      <c r="BB127" s="29">
        <f t="shared" si="73"/>
        <v>1.6612967540048373E-3</v>
      </c>
      <c r="BC127" s="29">
        <f t="shared" si="74"/>
        <v>2.6147163691696562E-3</v>
      </c>
      <c r="BD127" s="29">
        <f t="shared" si="75"/>
        <v>4.9839843786170235E-3</v>
      </c>
      <c r="BE127" s="29">
        <f t="shared" si="76"/>
        <v>1.5495606122476246E-2</v>
      </c>
      <c r="BF127" s="29">
        <f t="shared" si="77"/>
        <v>5.166449905075865E-3</v>
      </c>
      <c r="BG127" s="29">
        <f t="shared" si="78"/>
        <v>3.7679400377950145E-3</v>
      </c>
      <c r="BH127" s="29">
        <f t="shared" si="79"/>
        <v>1.4789401669403901E-3</v>
      </c>
      <c r="BI127" s="29">
        <f t="shared" si="80"/>
        <v>1.2462399133491786E-2</v>
      </c>
      <c r="BJ127" s="29">
        <f t="shared" si="81"/>
        <v>5.2249096602370315E-3</v>
      </c>
      <c r="BK127" s="29">
        <f t="shared" si="82"/>
        <v>5.9665375864703663E-3</v>
      </c>
      <c r="BL127" s="29">
        <f t="shared" si="83"/>
        <v>3.6608183380106851E-3</v>
      </c>
      <c r="BM127" s="29">
        <f t="shared" si="84"/>
        <v>1.1779232862874522E-2</v>
      </c>
      <c r="BN127" s="29">
        <f t="shared" si="85"/>
        <v>7.4836644871716373E-3</v>
      </c>
      <c r="BO127" s="20"/>
      <c r="BP127" s="19"/>
      <c r="BR127" s="19"/>
      <c r="BS127" s="19"/>
      <c r="BT127" s="19"/>
      <c r="BU127" s="19"/>
      <c r="BW127" s="19"/>
      <c r="BX127" s="20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20"/>
      <c r="CO127" s="19"/>
      <c r="CP127" s="20"/>
      <c r="DG127" s="24"/>
      <c r="DO127" s="24"/>
      <c r="EE127" s="24"/>
      <c r="EF127" s="20"/>
      <c r="GH127" s="24"/>
      <c r="GI127" s="19"/>
      <c r="GJ127" s="22"/>
    </row>
    <row r="128" spans="1:192" x14ac:dyDescent="0.25">
      <c r="A128" s="18">
        <v>1996</v>
      </c>
      <c r="B128" s="19">
        <v>8060.8519999999999</v>
      </c>
      <c r="C128" s="19">
        <v>10178.933999999999</v>
      </c>
      <c r="D128" s="19">
        <v>166086</v>
      </c>
      <c r="E128" s="19">
        <v>30026</v>
      </c>
      <c r="F128" s="19">
        <v>5262.0749999999998</v>
      </c>
      <c r="G128" s="19">
        <v>5120.3100000000004</v>
      </c>
      <c r="H128" s="19">
        <v>59981</v>
      </c>
      <c r="I128" s="19">
        <v>81890.667000000001</v>
      </c>
      <c r="J128" s="19">
        <v>57367.031999999999</v>
      </c>
      <c r="K128" s="21">
        <v>125645.311</v>
      </c>
      <c r="L128" s="19">
        <v>15527.808999999999</v>
      </c>
      <c r="M128" s="19">
        <v>3697</v>
      </c>
      <c r="N128" s="19">
        <v>4381.277</v>
      </c>
      <c r="O128" s="19">
        <v>10099.918</v>
      </c>
      <c r="P128" s="19">
        <v>39803.828999999998</v>
      </c>
      <c r="Q128" s="21">
        <v>18679.668000000001</v>
      </c>
      <c r="R128" s="19">
        <v>8841</v>
      </c>
      <c r="S128" s="19">
        <v>7181.0240000000003</v>
      </c>
      <c r="T128" s="19">
        <v>58618.663</v>
      </c>
      <c r="U128" s="19">
        <v>269667.391</v>
      </c>
      <c r="V128" s="19">
        <v>3242</v>
      </c>
      <c r="W128" s="20"/>
      <c r="X128" s="27">
        <f t="shared" si="44"/>
        <v>8.9947745371100911</v>
      </c>
      <c r="Y128" s="27">
        <f t="shared" si="45"/>
        <v>9.2280755694938001</v>
      </c>
      <c r="Z128" s="27">
        <f t="shared" si="46"/>
        <v>12.020261005474721</v>
      </c>
      <c r="AA128" s="27">
        <f t="shared" si="47"/>
        <v>10.30981895197225</v>
      </c>
      <c r="AB128" s="27">
        <f t="shared" si="48"/>
        <v>8.5682807146343531</v>
      </c>
      <c r="AC128" s="27">
        <f t="shared" si="49"/>
        <v>8.5409702630756659</v>
      </c>
      <c r="AD128" s="27">
        <f t="shared" si="50"/>
        <v>11.001783124388094</v>
      </c>
      <c r="AE128" s="27">
        <f t="shared" si="51"/>
        <v>11.313140307303721</v>
      </c>
      <c r="AF128" s="27">
        <f t="shared" si="52"/>
        <v>10.957225061901713</v>
      </c>
      <c r="AG128" s="27">
        <f t="shared" si="53"/>
        <v>11.74121822432873</v>
      </c>
      <c r="AH128" s="27">
        <f t="shared" si="54"/>
        <v>9.650387824412558</v>
      </c>
      <c r="AI128" s="27">
        <f t="shared" si="55"/>
        <v>8.2152769589366326</v>
      </c>
      <c r="AJ128" s="27">
        <f t="shared" si="56"/>
        <v>8.3850955133887322</v>
      </c>
      <c r="AK128" s="27">
        <f t="shared" si="57"/>
        <v>9.2202825839845115</v>
      </c>
      <c r="AL128" s="27">
        <f t="shared" si="58"/>
        <v>10.591718392675176</v>
      </c>
      <c r="AM128" s="27">
        <f t="shared" si="59"/>
        <v>9.8351909386056189</v>
      </c>
      <c r="AN128" s="27">
        <f t="shared" si="60"/>
        <v>9.0871552714058037</v>
      </c>
      <c r="AO128" s="27">
        <f t="shared" si="61"/>
        <v>8.8791972702576363</v>
      </c>
      <c r="AP128" s="27">
        <f t="shared" si="62"/>
        <v>10.978808406089392</v>
      </c>
      <c r="AQ128" s="27">
        <f t="shared" si="63"/>
        <v>12.504944593401049</v>
      </c>
      <c r="AR128" s="27">
        <f t="shared" si="64"/>
        <v>8.0839457022956207</v>
      </c>
      <c r="AS128" s="19"/>
      <c r="AT128" s="29">
        <f t="shared" si="65"/>
        <v>1.6660995387312028E-3</v>
      </c>
      <c r="AU128" s="29">
        <f t="shared" si="66"/>
        <v>2.3088970916198548E-3</v>
      </c>
      <c r="AV128" s="29">
        <f t="shared" si="67"/>
        <v>1.5423659209876206E-2</v>
      </c>
      <c r="AW128" s="29">
        <f t="shared" si="68"/>
        <v>1.1219703407450154E-2</v>
      </c>
      <c r="AX128" s="29">
        <f t="shared" si="69"/>
        <v>5.6148558610011889E-3</v>
      </c>
      <c r="AY128" s="29">
        <f t="shared" si="70"/>
        <v>3.062311463363443E-3</v>
      </c>
      <c r="AZ128" s="29">
        <f t="shared" si="71"/>
        <v>4.4948401810778194E-3</v>
      </c>
      <c r="BA128" s="29">
        <f t="shared" si="72"/>
        <v>2.8978700676525193E-3</v>
      </c>
      <c r="BB128" s="29">
        <f t="shared" si="73"/>
        <v>1.613743177490079E-3</v>
      </c>
      <c r="BC128" s="29">
        <f t="shared" si="74"/>
        <v>2.4220979915288154E-3</v>
      </c>
      <c r="BD128" s="29">
        <f t="shared" si="75"/>
        <v>4.4376943115160827E-3</v>
      </c>
      <c r="BE128" s="29">
        <f t="shared" si="76"/>
        <v>1.4988698649078813E-2</v>
      </c>
      <c r="BF128" s="29">
        <f t="shared" si="77"/>
        <v>5.0743909668327092E-3</v>
      </c>
      <c r="BG128" s="29">
        <f t="shared" si="78"/>
        <v>3.4092980364732739E-3</v>
      </c>
      <c r="BH128" s="29">
        <f t="shared" si="79"/>
        <v>1.3604424297231077E-3</v>
      </c>
      <c r="BI128" s="29">
        <f t="shared" si="80"/>
        <v>1.0969453739297919E-2</v>
      </c>
      <c r="BJ128" s="29">
        <f t="shared" si="81"/>
        <v>1.5847863855711353E-3</v>
      </c>
      <c r="BK128" s="29">
        <f t="shared" si="82"/>
        <v>3.3362819538513833E-3</v>
      </c>
      <c r="BL128" s="29">
        <f t="shared" si="83"/>
        <v>3.2918912488568708E-3</v>
      </c>
      <c r="BM128" s="29">
        <f t="shared" si="84"/>
        <v>1.1600868615229132E-2</v>
      </c>
      <c r="BN128" s="29">
        <f t="shared" si="85"/>
        <v>7.1196709968130989E-3</v>
      </c>
      <c r="BO128" s="20"/>
      <c r="BP128" s="19"/>
      <c r="BR128" s="19"/>
      <c r="BS128" s="19"/>
      <c r="BT128" s="19"/>
      <c r="BU128" s="19"/>
      <c r="BW128" s="19"/>
      <c r="BX128" s="20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20"/>
      <c r="CO128" s="19"/>
      <c r="CP128" s="20"/>
      <c r="DG128" s="24"/>
      <c r="DO128" s="24"/>
      <c r="EE128" s="24"/>
      <c r="EF128" s="20"/>
      <c r="GH128" s="24"/>
      <c r="GI128" s="19"/>
      <c r="GJ128" s="22"/>
    </row>
    <row r="129" spans="1:192" x14ac:dyDescent="0.25">
      <c r="A129" s="18">
        <v>1997</v>
      </c>
      <c r="B129" s="19">
        <v>8069.8760000000002</v>
      </c>
      <c r="C129" s="19">
        <v>10199.787</v>
      </c>
      <c r="D129" s="19">
        <v>168639</v>
      </c>
      <c r="E129" s="19">
        <v>30305.843000000001</v>
      </c>
      <c r="F129" s="19">
        <v>5283.6629999999996</v>
      </c>
      <c r="G129" s="19">
        <v>5134.4059999999999</v>
      </c>
      <c r="H129" s="19">
        <v>60254</v>
      </c>
      <c r="I129" s="19">
        <v>82011.073000000004</v>
      </c>
      <c r="J129" s="19">
        <v>57479.468999999997</v>
      </c>
      <c r="K129" s="21">
        <v>125956.499</v>
      </c>
      <c r="L129" s="19">
        <v>15604.464</v>
      </c>
      <c r="M129" s="19">
        <v>3738</v>
      </c>
      <c r="N129" s="19">
        <v>4405.6719999999996</v>
      </c>
      <c r="O129" s="19">
        <v>10156.415000000001</v>
      </c>
      <c r="P129" s="19">
        <v>39855.442000000003</v>
      </c>
      <c r="Q129" s="21">
        <v>18868.199000000001</v>
      </c>
      <c r="R129" s="19">
        <v>8846</v>
      </c>
      <c r="S129" s="19">
        <v>7193.7610000000004</v>
      </c>
      <c r="T129" s="19">
        <v>58808.266000000003</v>
      </c>
      <c r="U129" s="19">
        <v>272911.76</v>
      </c>
      <c r="V129" s="19">
        <v>3267</v>
      </c>
      <c r="W129" s="20"/>
      <c r="X129" s="27">
        <f t="shared" si="44"/>
        <v>8.9958933955945177</v>
      </c>
      <c r="Y129" s="27">
        <f t="shared" si="45"/>
        <v>9.2301221167013825</v>
      </c>
      <c r="Z129" s="27">
        <f t="shared" si="46"/>
        <v>12.035515614526282</v>
      </c>
      <c r="AA129" s="27">
        <f t="shared" si="47"/>
        <v>10.319095811190378</v>
      </c>
      <c r="AB129" s="27">
        <f t="shared" si="48"/>
        <v>8.5723748861670153</v>
      </c>
      <c r="AC129" s="27">
        <f t="shared" si="49"/>
        <v>8.5437194389432545</v>
      </c>
      <c r="AD129" s="27">
        <f t="shared" si="50"/>
        <v>11.006324239190674</v>
      </c>
      <c r="AE129" s="27">
        <f t="shared" si="51"/>
        <v>11.314609553715137</v>
      </c>
      <c r="AF129" s="27">
        <f t="shared" si="52"/>
        <v>10.959183102154466</v>
      </c>
      <c r="AG129" s="27">
        <f t="shared" si="53"/>
        <v>11.743691880290736</v>
      </c>
      <c r="AH129" s="27">
        <f t="shared" si="54"/>
        <v>9.6553123061495789</v>
      </c>
      <c r="AI129" s="27">
        <f t="shared" si="55"/>
        <v>8.2263059880155076</v>
      </c>
      <c r="AJ129" s="27">
        <f t="shared" si="56"/>
        <v>8.3906480806511183</v>
      </c>
      <c r="AK129" s="27">
        <f t="shared" si="57"/>
        <v>9.225860804534026</v>
      </c>
      <c r="AL129" s="27">
        <f t="shared" si="58"/>
        <v>10.59301423700251</v>
      </c>
      <c r="AM129" s="27">
        <f t="shared" si="59"/>
        <v>9.8452331913063453</v>
      </c>
      <c r="AN129" s="27">
        <f t="shared" si="60"/>
        <v>9.0877206584282728</v>
      </c>
      <c r="AO129" s="27">
        <f t="shared" si="61"/>
        <v>8.8809694015741503</v>
      </c>
      <c r="AP129" s="27">
        <f t="shared" si="62"/>
        <v>10.982037702237816</v>
      </c>
      <c r="AQ129" s="27">
        <f t="shared" si="63"/>
        <v>12.516903798475917</v>
      </c>
      <c r="AR129" s="27">
        <f t="shared" si="64"/>
        <v>8.0916274116010705</v>
      </c>
      <c r="AS129" s="19"/>
      <c r="AT129" s="29">
        <f t="shared" si="65"/>
        <v>1.1188584844266103E-3</v>
      </c>
      <c r="AU129" s="29">
        <f t="shared" si="66"/>
        <v>2.0465472075823499E-3</v>
      </c>
      <c r="AV129" s="29">
        <f t="shared" si="67"/>
        <v>1.5254609051561729E-2</v>
      </c>
      <c r="AW129" s="29">
        <f t="shared" si="68"/>
        <v>9.2768592181275977E-3</v>
      </c>
      <c r="AX129" s="29">
        <f t="shared" si="69"/>
        <v>4.0941715326621164E-3</v>
      </c>
      <c r="AY129" s="29">
        <f t="shared" si="70"/>
        <v>2.7491758675886047E-3</v>
      </c>
      <c r="AZ129" s="29">
        <f t="shared" si="71"/>
        <v>4.5411148025795711E-3</v>
      </c>
      <c r="BA129" s="29">
        <f t="shared" si="72"/>
        <v>1.469246411415881E-3</v>
      </c>
      <c r="BB129" s="29">
        <f t="shared" si="73"/>
        <v>1.9580402527523688E-3</v>
      </c>
      <c r="BC129" s="29">
        <f t="shared" si="74"/>
        <v>2.47365596200666E-3</v>
      </c>
      <c r="BD129" s="29">
        <f t="shared" si="75"/>
        <v>4.9244817370208693E-3</v>
      </c>
      <c r="BE129" s="29">
        <f t="shared" si="76"/>
        <v>1.1029029078875041E-2</v>
      </c>
      <c r="BF129" s="29">
        <f t="shared" si="77"/>
        <v>5.5525672623861766E-3</v>
      </c>
      <c r="BG129" s="29">
        <f t="shared" si="78"/>
        <v>5.5782205495145121E-3</v>
      </c>
      <c r="BH129" s="29">
        <f t="shared" si="79"/>
        <v>1.2958443273340947E-3</v>
      </c>
      <c r="BI129" s="29">
        <f t="shared" si="80"/>
        <v>1.0042252700726451E-2</v>
      </c>
      <c r="BJ129" s="29">
        <f t="shared" si="81"/>
        <v>5.6538702246911043E-4</v>
      </c>
      <c r="BK129" s="29">
        <f t="shared" si="82"/>
        <v>1.7721313165139918E-3</v>
      </c>
      <c r="BL129" s="29">
        <f t="shared" si="83"/>
        <v>3.2292961484241545E-3</v>
      </c>
      <c r="BM129" s="29">
        <f t="shared" si="84"/>
        <v>1.1959205074868251E-2</v>
      </c>
      <c r="BN129" s="29">
        <f t="shared" si="85"/>
        <v>7.6817093054497576E-3</v>
      </c>
      <c r="BO129" s="20"/>
      <c r="BP129" s="19"/>
      <c r="BR129" s="19"/>
      <c r="BS129" s="19"/>
      <c r="BT129" s="19"/>
      <c r="BU129" s="19"/>
      <c r="BW129" s="19"/>
      <c r="BX129" s="20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20"/>
      <c r="CO129" s="19"/>
      <c r="CP129" s="20"/>
      <c r="DG129" s="24"/>
      <c r="DO129" s="24"/>
      <c r="EE129" s="24"/>
      <c r="EF129" s="20"/>
      <c r="GH129" s="24"/>
      <c r="GI129" s="19"/>
      <c r="GJ129" s="22"/>
    </row>
    <row r="130" spans="1:192" x14ac:dyDescent="0.25">
      <c r="A130" s="18">
        <v>1998</v>
      </c>
      <c r="B130" s="19">
        <v>8078.6220000000003</v>
      </c>
      <c r="C130" s="19">
        <v>10217.030000000001</v>
      </c>
      <c r="D130" s="19">
        <v>171201</v>
      </c>
      <c r="E130" s="19">
        <v>30552</v>
      </c>
      <c r="F130" s="19">
        <v>5302.7669999999998</v>
      </c>
      <c r="G130" s="19">
        <v>5146.9830000000002</v>
      </c>
      <c r="H130" s="19">
        <v>60535</v>
      </c>
      <c r="I130" s="19">
        <v>82023.672000000006</v>
      </c>
      <c r="J130" s="19">
        <v>57550.317999999999</v>
      </c>
      <c r="K130" s="21">
        <v>126246.09600000001</v>
      </c>
      <c r="L130" s="19">
        <v>15699.259</v>
      </c>
      <c r="M130" s="19">
        <v>3764</v>
      </c>
      <c r="N130" s="19">
        <v>4432.7179999999998</v>
      </c>
      <c r="O130" s="19">
        <v>10224.828</v>
      </c>
      <c r="P130" s="19">
        <v>39906.235000000001</v>
      </c>
      <c r="Q130" s="21">
        <v>19055.66</v>
      </c>
      <c r="R130" s="19">
        <v>8851</v>
      </c>
      <c r="S130" s="19">
        <v>7207.9949999999999</v>
      </c>
      <c r="T130" s="19">
        <v>59035.652000000002</v>
      </c>
      <c r="U130" s="19">
        <v>276115.288</v>
      </c>
      <c r="V130" s="19">
        <v>3289</v>
      </c>
      <c r="W130" s="20"/>
      <c r="X130" s="27">
        <f t="shared" si="44"/>
        <v>8.9969765924163099</v>
      </c>
      <c r="Y130" s="27">
        <f t="shared" si="45"/>
        <v>9.2318112148697793</v>
      </c>
      <c r="Z130" s="27">
        <f t="shared" si="46"/>
        <v>12.050593583794214</v>
      </c>
      <c r="AA130" s="27">
        <f t="shared" si="47"/>
        <v>10.327185428905352</v>
      </c>
      <c r="AB130" s="27">
        <f t="shared" si="48"/>
        <v>8.5759840387779267</v>
      </c>
      <c r="AC130" s="27">
        <f t="shared" si="49"/>
        <v>8.5461659967524106</v>
      </c>
      <c r="AD130" s="27">
        <f t="shared" si="50"/>
        <v>11.01097698914184</v>
      </c>
      <c r="AE130" s="27">
        <f t="shared" si="51"/>
        <v>11.314763167512321</v>
      </c>
      <c r="AF130" s="27">
        <f t="shared" si="52"/>
        <v>10.96041493976465</v>
      </c>
      <c r="AG130" s="27">
        <f t="shared" si="53"/>
        <v>11.74598842388721</v>
      </c>
      <c r="AH130" s="27">
        <f t="shared" si="54"/>
        <v>9.661368792770336</v>
      </c>
      <c r="AI130" s="27">
        <f t="shared" si="55"/>
        <v>8.2332375007052701</v>
      </c>
      <c r="AJ130" s="27">
        <f t="shared" si="56"/>
        <v>8.3967682189160602</v>
      </c>
      <c r="AK130" s="27">
        <f t="shared" si="57"/>
        <v>9.2325741592536268</v>
      </c>
      <c r="AL130" s="27">
        <f t="shared" si="58"/>
        <v>10.594287856333908</v>
      </c>
      <c r="AM130" s="27">
        <f t="shared" si="59"/>
        <v>9.8551194492864536</v>
      </c>
      <c r="AN130" s="27">
        <f t="shared" si="60"/>
        <v>9.088285725968877</v>
      </c>
      <c r="AO130" s="27">
        <f t="shared" si="61"/>
        <v>8.8829461056142378</v>
      </c>
      <c r="AP130" s="27">
        <f t="shared" si="62"/>
        <v>10.985896811575978</v>
      </c>
      <c r="AQ130" s="27">
        <f t="shared" si="63"/>
        <v>12.528573767627618</v>
      </c>
      <c r="AR130" s="27">
        <f t="shared" si="64"/>
        <v>8.0983388461890566</v>
      </c>
      <c r="AS130" s="19"/>
      <c r="AT130" s="29">
        <f t="shared" si="65"/>
        <v>1.0831968217921428E-3</v>
      </c>
      <c r="AU130" s="29">
        <f t="shared" si="66"/>
        <v>1.6890981683967965E-3</v>
      </c>
      <c r="AV130" s="29">
        <f t="shared" si="67"/>
        <v>1.5077969267931479E-2</v>
      </c>
      <c r="AW130" s="29">
        <f t="shared" si="68"/>
        <v>8.0896177149742954E-3</v>
      </c>
      <c r="AX130" s="29">
        <f t="shared" si="69"/>
        <v>3.6091526109114369E-3</v>
      </c>
      <c r="AY130" s="29">
        <f t="shared" si="70"/>
        <v>2.4465578091561468E-3</v>
      </c>
      <c r="AZ130" s="29">
        <f t="shared" si="71"/>
        <v>4.6527499511661574E-3</v>
      </c>
      <c r="BA130" s="29">
        <f t="shared" si="72"/>
        <v>1.5361379718470403E-4</v>
      </c>
      <c r="BB130" s="29">
        <f t="shared" si="73"/>
        <v>1.2318376101845274E-3</v>
      </c>
      <c r="BC130" s="29">
        <f t="shared" si="74"/>
        <v>2.29654359647391E-3</v>
      </c>
      <c r="BD130" s="29">
        <f t="shared" si="75"/>
        <v>6.0564866207570844E-3</v>
      </c>
      <c r="BE130" s="29">
        <f t="shared" si="76"/>
        <v>6.9315126897624424E-3</v>
      </c>
      <c r="BF130" s="29">
        <f t="shared" si="77"/>
        <v>6.1201382649418434E-3</v>
      </c>
      <c r="BG130" s="29">
        <f t="shared" si="78"/>
        <v>6.7133547196007726E-3</v>
      </c>
      <c r="BH130" s="29">
        <f t="shared" si="79"/>
        <v>1.2736193313980237E-3</v>
      </c>
      <c r="BI130" s="29">
        <f t="shared" si="80"/>
        <v>9.8862579801082262E-3</v>
      </c>
      <c r="BJ130" s="29">
        <f t="shared" si="81"/>
        <v>5.6506754060414721E-4</v>
      </c>
      <c r="BK130" s="29">
        <f t="shared" si="82"/>
        <v>1.9767040400875402E-3</v>
      </c>
      <c r="BL130" s="29">
        <f t="shared" si="83"/>
        <v>3.8591093381619146E-3</v>
      </c>
      <c r="BM130" s="29">
        <f t="shared" si="84"/>
        <v>1.1669969151700599E-2</v>
      </c>
      <c r="BN130" s="29">
        <f t="shared" si="85"/>
        <v>6.7114345879861759E-3</v>
      </c>
      <c r="BO130" s="20"/>
      <c r="BP130" s="19"/>
      <c r="BR130" s="19"/>
      <c r="BS130" s="19"/>
      <c r="BT130" s="19"/>
      <c r="BU130" s="19"/>
      <c r="BW130" s="19"/>
      <c r="BX130" s="20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20"/>
      <c r="CO130" s="19"/>
      <c r="CP130" s="20"/>
      <c r="DG130" s="24"/>
      <c r="DO130" s="24"/>
      <c r="EE130" s="24"/>
      <c r="EF130" s="20"/>
      <c r="GH130" s="24"/>
      <c r="GI130" s="19"/>
      <c r="GJ130" s="22"/>
    </row>
    <row r="131" spans="1:192" x14ac:dyDescent="0.25">
      <c r="A131" s="18">
        <v>1999</v>
      </c>
      <c r="B131" s="19">
        <v>8094.1559999999999</v>
      </c>
      <c r="C131" s="19">
        <v>10235.655000000001</v>
      </c>
      <c r="D131" s="19">
        <v>173764</v>
      </c>
      <c r="E131" s="19">
        <v>30821</v>
      </c>
      <c r="F131" s="19">
        <v>5320.134</v>
      </c>
      <c r="G131" s="19">
        <v>5158.0969999999998</v>
      </c>
      <c r="H131" s="19">
        <v>60824</v>
      </c>
      <c r="I131" s="19">
        <v>82074.778000000006</v>
      </c>
      <c r="J131" s="19">
        <v>57603.633999999998</v>
      </c>
      <c r="K131" s="21">
        <v>126494.40300000001</v>
      </c>
      <c r="L131" s="19">
        <v>15801.947</v>
      </c>
      <c r="M131" s="19">
        <v>3784</v>
      </c>
      <c r="N131" s="19">
        <v>4463.3770000000004</v>
      </c>
      <c r="O131" s="19">
        <v>10283.380999999999</v>
      </c>
      <c r="P131" s="19">
        <v>39953.262999999999</v>
      </c>
      <c r="Q131" s="21">
        <v>19241.035</v>
      </c>
      <c r="R131" s="19">
        <v>8858</v>
      </c>
      <c r="S131" s="19">
        <v>7232.8090000000002</v>
      </c>
      <c r="T131" s="19">
        <v>59293.32</v>
      </c>
      <c r="U131" s="19">
        <v>279294.71299999999</v>
      </c>
      <c r="V131" s="19">
        <v>3308</v>
      </c>
      <c r="W131" s="20"/>
      <c r="X131" s="27">
        <f t="shared" ref="X131:X145" si="86">LN(B131)</f>
        <v>8.9988975987860318</v>
      </c>
      <c r="Y131" s="27">
        <f t="shared" ref="Y131:Y145" si="87">LN(C131)</f>
        <v>9.23363249213957</v>
      </c>
      <c r="Z131" s="27">
        <f t="shared" ref="Z131:Z145" si="88">LN(D131)</f>
        <v>12.065453335720573</v>
      </c>
      <c r="AA131" s="27">
        <f t="shared" ref="AA131:AA145" si="89">LN(E131)</f>
        <v>10.335951554811068</v>
      </c>
      <c r="AB131" s="27">
        <f t="shared" ref="AB131:AB145" si="90">LN(F131)</f>
        <v>8.5792537699884033</v>
      </c>
      <c r="AC131" s="27">
        <f t="shared" ref="AC131:AC145" si="91">LN(G131)</f>
        <v>8.5483229920031221</v>
      </c>
      <c r="AD131" s="27">
        <f t="shared" ref="AD131:AD145" si="92">LN(H131)</f>
        <v>11.015739726908272</v>
      </c>
      <c r="AE131" s="27">
        <f t="shared" ref="AE131:AE145" si="93">LN(I131)</f>
        <v>11.315386037523004</v>
      </c>
      <c r="AF131" s="27">
        <f t="shared" ref="AF131:AF145" si="94">LN(J131)</f>
        <v>10.961340934971652</v>
      </c>
      <c r="AG131" s="27">
        <f t="shared" ref="AG131:AG145" si="95">LN(K131)</f>
        <v>11.747953341111582</v>
      </c>
      <c r="AH131" s="27">
        <f t="shared" ref="AH131:AH145" si="96">LN(L131)</f>
        <v>9.6678884392712323</v>
      </c>
      <c r="AI131" s="27">
        <f t="shared" ref="AI131:AI145" si="97">LN(M131)</f>
        <v>8.2385369301717688</v>
      </c>
      <c r="AJ131" s="27">
        <f t="shared" ref="AJ131:AJ145" si="98">LN(N131)</f>
        <v>8.4036609333897143</v>
      </c>
      <c r="AK131" s="27">
        <f t="shared" ref="AK131:AK145" si="99">LN(O131)</f>
        <v>9.2382843759869342</v>
      </c>
      <c r="AL131" s="27">
        <f t="shared" ref="AL131:AL145" si="100">LN(P131)</f>
        <v>10.595465624955398</v>
      </c>
      <c r="AM131" s="27">
        <f t="shared" ref="AM131:AM145" si="101">LN(Q131)</f>
        <v>9.864800516951636</v>
      </c>
      <c r="AN131" s="27">
        <f t="shared" ref="AN131:AN145" si="102">LN(R131)</f>
        <v>9.0890762844831432</v>
      </c>
      <c r="AO131" s="27">
        <f t="shared" ref="AO131:AO145" si="103">LN(S131)</f>
        <v>8.8863827597537615</v>
      </c>
      <c r="AP131" s="27">
        <f t="shared" ref="AP131:AP145" si="104">LN(T131)</f>
        <v>10.990251931085798</v>
      </c>
      <c r="AQ131" s="27">
        <f t="shared" ref="AQ131:AQ145" si="105">LN(U131)</f>
        <v>12.540022822287581</v>
      </c>
      <c r="AR131" s="27">
        <f t="shared" ref="AR131:AR145" si="106">LN(V131)</f>
        <v>8.1040990561435819</v>
      </c>
      <c r="AS131" s="19"/>
      <c r="AT131" s="29">
        <f t="shared" si="65"/>
        <v>1.9210063697219226E-3</v>
      </c>
      <c r="AU131" s="29">
        <f t="shared" si="66"/>
        <v>1.8212772697907553E-3</v>
      </c>
      <c r="AV131" s="29">
        <f t="shared" si="67"/>
        <v>1.4859751926358911E-2</v>
      </c>
      <c r="AW131" s="29">
        <f t="shared" si="68"/>
        <v>8.7661259057156826E-3</v>
      </c>
      <c r="AX131" s="29">
        <f t="shared" si="69"/>
        <v>3.2697312104765786E-3</v>
      </c>
      <c r="AY131" s="29">
        <f t="shared" si="70"/>
        <v>2.1569952507114465E-3</v>
      </c>
      <c r="AZ131" s="29">
        <f t="shared" si="71"/>
        <v>4.7627377664323234E-3</v>
      </c>
      <c r="BA131" s="29">
        <f t="shared" si="72"/>
        <v>6.2287001068206393E-4</v>
      </c>
      <c r="BB131" s="29">
        <f t="shared" si="73"/>
        <v>9.2599520700176186E-4</v>
      </c>
      <c r="BC131" s="29">
        <f t="shared" si="74"/>
        <v>1.9649172243720869E-3</v>
      </c>
      <c r="BD131" s="29">
        <f t="shared" si="75"/>
        <v>6.5196465008963145E-3</v>
      </c>
      <c r="BE131" s="29">
        <f t="shared" si="76"/>
        <v>5.2994294664987507E-3</v>
      </c>
      <c r="BF131" s="29">
        <f t="shared" si="77"/>
        <v>6.8927144736541379E-3</v>
      </c>
      <c r="BG131" s="29">
        <f t="shared" si="78"/>
        <v>5.710216733307405E-3</v>
      </c>
      <c r="BH131" s="29">
        <f t="shared" si="79"/>
        <v>1.1777686214902161E-3</v>
      </c>
      <c r="BI131" s="29">
        <f t="shared" si="80"/>
        <v>9.6810676651823968E-3</v>
      </c>
      <c r="BJ131" s="29">
        <f t="shared" si="81"/>
        <v>7.9055851426623747E-4</v>
      </c>
      <c r="BK131" s="29">
        <f t="shared" si="82"/>
        <v>3.4366541395236538E-3</v>
      </c>
      <c r="BL131" s="29">
        <f t="shared" si="83"/>
        <v>4.3551195098192608E-3</v>
      </c>
      <c r="BM131" s="29">
        <f t="shared" si="84"/>
        <v>1.1449054659962599E-2</v>
      </c>
      <c r="BN131" s="29">
        <f t="shared" si="85"/>
        <v>5.7602099545253083E-3</v>
      </c>
      <c r="BO131" s="20"/>
      <c r="BP131" s="19"/>
      <c r="BR131" s="19"/>
      <c r="BS131" s="19"/>
      <c r="BT131" s="19"/>
      <c r="BU131" s="19"/>
      <c r="BW131" s="19"/>
      <c r="BX131" s="20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20"/>
      <c r="CO131" s="19"/>
      <c r="CP131" s="20"/>
      <c r="DG131" s="24"/>
      <c r="DO131" s="24"/>
      <c r="EE131" s="24"/>
      <c r="EF131" s="20"/>
      <c r="GH131" s="24"/>
      <c r="GI131" s="19"/>
      <c r="GJ131" s="22"/>
    </row>
    <row r="132" spans="1:192" x14ac:dyDescent="0.25">
      <c r="A132" s="18">
        <v>2000</v>
      </c>
      <c r="B132" s="19">
        <v>8113.4129999999996</v>
      </c>
      <c r="C132" s="19">
        <v>10263.618</v>
      </c>
      <c r="D132" s="19">
        <v>176320</v>
      </c>
      <c r="E132" s="19">
        <v>31100</v>
      </c>
      <c r="F132" s="19">
        <v>5337.4160000000002</v>
      </c>
      <c r="G132" s="19">
        <v>5168.5950000000003</v>
      </c>
      <c r="H132" s="19">
        <v>61137</v>
      </c>
      <c r="I132" s="19">
        <v>82187.909</v>
      </c>
      <c r="J132" s="19">
        <v>57719.337</v>
      </c>
      <c r="K132" s="21">
        <v>126729</v>
      </c>
      <c r="L132" s="19">
        <v>15907.852999999999</v>
      </c>
      <c r="M132" s="19">
        <v>3802</v>
      </c>
      <c r="N132" s="19">
        <v>4492.3999999999996</v>
      </c>
      <c r="O132" s="19">
        <v>10335.597</v>
      </c>
      <c r="P132" s="19">
        <v>40016.080999999998</v>
      </c>
      <c r="Q132" s="21">
        <v>19435.868999999999</v>
      </c>
      <c r="R132" s="19">
        <v>8872</v>
      </c>
      <c r="S132" s="19">
        <v>7266.92</v>
      </c>
      <c r="T132" s="19">
        <v>59522.468000000001</v>
      </c>
      <c r="U132" s="19">
        <v>282158</v>
      </c>
      <c r="V132" s="19">
        <v>3328</v>
      </c>
      <c r="W132" s="20"/>
      <c r="X132" s="27">
        <f t="shared" si="86"/>
        <v>9.0012738970528083</v>
      </c>
      <c r="Y132" s="27">
        <f t="shared" si="87"/>
        <v>9.2363606881438045</v>
      </c>
      <c r="Z132" s="27">
        <f t="shared" si="88"/>
        <v>12.080055804946687</v>
      </c>
      <c r="AA132" s="27">
        <f t="shared" si="89"/>
        <v>10.344963098167325</v>
      </c>
      <c r="AB132" s="27">
        <f t="shared" si="90"/>
        <v>8.5824969197081238</v>
      </c>
      <c r="AC132" s="27">
        <f t="shared" si="91"/>
        <v>8.5503561704142541</v>
      </c>
      <c r="AD132" s="27">
        <f t="shared" si="92"/>
        <v>11.020872526527521</v>
      </c>
      <c r="AE132" s="27">
        <f t="shared" si="93"/>
        <v>11.316763477767694</v>
      </c>
      <c r="AF132" s="27">
        <f t="shared" si="94"/>
        <v>10.963347526335351</v>
      </c>
      <c r="AG132" s="27">
        <f t="shared" si="95"/>
        <v>11.749806227253531</v>
      </c>
      <c r="AH132" s="27">
        <f t="shared" si="96"/>
        <v>9.6745681656512428</v>
      </c>
      <c r="AI132" s="27">
        <f t="shared" si="97"/>
        <v>8.2432825230483751</v>
      </c>
      <c r="AJ132" s="27">
        <f t="shared" si="98"/>
        <v>8.4101423590888817</v>
      </c>
      <c r="AK132" s="27">
        <f t="shared" si="99"/>
        <v>9.2433492353241746</v>
      </c>
      <c r="AL132" s="27">
        <f t="shared" si="100"/>
        <v>10.597036677305676</v>
      </c>
      <c r="AM132" s="27">
        <f t="shared" si="101"/>
        <v>9.8748755554331051</v>
      </c>
      <c r="AN132" s="27">
        <f t="shared" si="102"/>
        <v>9.0906555290302027</v>
      </c>
      <c r="AO132" s="27">
        <f t="shared" si="103"/>
        <v>8.8910878218867122</v>
      </c>
      <c r="AP132" s="27">
        <f t="shared" si="104"/>
        <v>10.994109133701086</v>
      </c>
      <c r="AQ132" s="27">
        <f t="shared" si="105"/>
        <v>12.550222476707891</v>
      </c>
      <c r="AR132" s="27">
        <f t="shared" si="106"/>
        <v>8.1101268019410995</v>
      </c>
      <c r="AS132" s="19"/>
      <c r="AT132" s="29">
        <f t="shared" ref="AT132:AT145" si="107">X132-X131</f>
        <v>2.3762982667765442E-3</v>
      </c>
      <c r="AU132" s="29">
        <f t="shared" ref="AU132:AU145" si="108">Y132-Y131</f>
        <v>2.7281960042344622E-3</v>
      </c>
      <c r="AV132" s="29">
        <f t="shared" ref="AV132:AV145" si="109">Z132-Z131</f>
        <v>1.4602469226113968E-2</v>
      </c>
      <c r="AW132" s="29">
        <f t="shared" ref="AW132:AW145" si="110">AA132-AA131</f>
        <v>9.0115433562569791E-3</v>
      </c>
      <c r="AX132" s="29">
        <f t="shared" ref="AX132:AX145" si="111">AB132-AB131</f>
        <v>3.2431497197205061E-3</v>
      </c>
      <c r="AY132" s="29">
        <f t="shared" ref="AY132:AY145" si="112">AC132-AC131</f>
        <v>2.0331784111320417E-3</v>
      </c>
      <c r="AZ132" s="29">
        <f t="shared" ref="AZ132:AZ145" si="113">AD132-AD131</f>
        <v>5.1327996192487291E-3</v>
      </c>
      <c r="BA132" s="29">
        <f t="shared" ref="BA132:BA145" si="114">AE132-AE131</f>
        <v>1.3774402446902201E-3</v>
      </c>
      <c r="BB132" s="29">
        <f t="shared" ref="BB132:BB145" si="115">AF132-AF131</f>
        <v>2.0065913636990729E-3</v>
      </c>
      <c r="BC132" s="29">
        <f t="shared" ref="BC132:BC145" si="116">AG132-AG131</f>
        <v>1.8528861419486731E-3</v>
      </c>
      <c r="BD132" s="29">
        <f t="shared" ref="BD132:BD145" si="117">AH132-AH131</f>
        <v>6.6797263800104645E-3</v>
      </c>
      <c r="BE132" s="29">
        <f t="shared" ref="BE132:BE145" si="118">AI132-AI131</f>
        <v>4.7455928766062527E-3</v>
      </c>
      <c r="BF132" s="29">
        <f t="shared" ref="BF132:BF145" si="119">AJ132-AJ131</f>
        <v>6.4814256991674313E-3</v>
      </c>
      <c r="BG132" s="29">
        <f t="shared" ref="BG132:BG145" si="120">AK132-AK131</f>
        <v>5.0648593372404349E-3</v>
      </c>
      <c r="BH132" s="29">
        <f t="shared" ref="BH132:BH145" si="121">AL132-AL131</f>
        <v>1.5710523502772133E-3</v>
      </c>
      <c r="BI132" s="29">
        <f t="shared" ref="BI132:BI145" si="122">AM132-AM131</f>
        <v>1.0075038481469178E-2</v>
      </c>
      <c r="BJ132" s="29">
        <f t="shared" ref="BJ132:BJ145" si="123">AN132-AN131</f>
        <v>1.5792445470594885E-3</v>
      </c>
      <c r="BK132" s="29">
        <f t="shared" ref="BK132:BK145" si="124">AO132-AO131</f>
        <v>4.7050621329507436E-3</v>
      </c>
      <c r="BL132" s="29">
        <f t="shared" ref="BL132:BL145" si="125">AP132-AP131</f>
        <v>3.8572026152881023E-3</v>
      </c>
      <c r="BM132" s="29">
        <f t="shared" ref="BM132:BM145" si="126">AQ132-AQ131</f>
        <v>1.0199654420310011E-2</v>
      </c>
      <c r="BN132" s="29">
        <f t="shared" ref="BN132:BN145" si="127">AR132-AR131</f>
        <v>6.0277457975175253E-3</v>
      </c>
      <c r="BO132" s="20"/>
      <c r="BP132" s="19"/>
      <c r="BR132" s="19"/>
      <c r="BS132" s="19"/>
      <c r="BT132" s="19"/>
      <c r="BU132" s="19"/>
      <c r="BW132" s="19"/>
      <c r="BX132" s="20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20"/>
      <c r="CO132" s="19"/>
      <c r="CP132" s="20"/>
      <c r="DG132" s="24"/>
      <c r="DO132" s="24"/>
      <c r="EE132" s="24"/>
      <c r="EF132" s="20"/>
      <c r="GH132" s="24"/>
      <c r="GI132" s="19"/>
      <c r="GJ132" s="22"/>
    </row>
    <row r="133" spans="1:192" x14ac:dyDescent="0.25">
      <c r="A133" s="18">
        <v>2001</v>
      </c>
      <c r="B133" s="19">
        <v>8131.69</v>
      </c>
      <c r="C133" s="19">
        <v>10291.679</v>
      </c>
      <c r="D133" s="19">
        <v>178870</v>
      </c>
      <c r="E133" s="19">
        <v>31377</v>
      </c>
      <c r="F133" s="19">
        <v>5355.826</v>
      </c>
      <c r="G133" s="19">
        <v>5180.3090000000002</v>
      </c>
      <c r="H133" s="19">
        <v>61479</v>
      </c>
      <c r="I133" s="19">
        <v>82280.551000000007</v>
      </c>
      <c r="J133" s="19">
        <v>57844.923999999999</v>
      </c>
      <c r="K133" s="21">
        <v>126972</v>
      </c>
      <c r="L133" s="19">
        <v>16017.445</v>
      </c>
      <c r="M133" s="19">
        <v>3838</v>
      </c>
      <c r="N133" s="19">
        <v>4515.1949999999997</v>
      </c>
      <c r="O133" s="19">
        <v>10386.753000000001</v>
      </c>
      <c r="P133" s="19">
        <v>40087.103999999999</v>
      </c>
      <c r="Q133" s="21">
        <v>19646.267</v>
      </c>
      <c r="R133" s="19">
        <v>8940</v>
      </c>
      <c r="S133" s="19">
        <v>7311.2370000000001</v>
      </c>
      <c r="T133" s="19">
        <v>59723.243000000002</v>
      </c>
      <c r="U133" s="19">
        <v>284915</v>
      </c>
      <c r="V133" s="19">
        <v>3348</v>
      </c>
      <c r="W133" s="20"/>
      <c r="X133" s="27">
        <f t="shared" si="86"/>
        <v>9.0035240530181699</v>
      </c>
      <c r="Y133" s="27">
        <f t="shared" si="87"/>
        <v>9.2390909836420168</v>
      </c>
      <c r="Z133" s="27">
        <f t="shared" si="88"/>
        <v>12.094414563987291</v>
      </c>
      <c r="AA133" s="27">
        <f t="shared" si="89"/>
        <v>10.353830419422378</v>
      </c>
      <c r="AB133" s="27">
        <f t="shared" si="90"/>
        <v>8.5859402193528069</v>
      </c>
      <c r="AC133" s="27">
        <f t="shared" si="91"/>
        <v>8.5526199859840411</v>
      </c>
      <c r="AD133" s="27">
        <f t="shared" si="92"/>
        <v>11.026450932068069</v>
      </c>
      <c r="AE133" s="27">
        <f t="shared" si="93"/>
        <v>11.317890040390072</v>
      </c>
      <c r="AF133" s="27">
        <f t="shared" si="94"/>
        <v>10.965520984606131</v>
      </c>
      <c r="AG133" s="27">
        <f t="shared" si="95"/>
        <v>11.751721868692162</v>
      </c>
      <c r="AH133" s="27">
        <f t="shared" si="96"/>
        <v>9.6814337197629392</v>
      </c>
      <c r="AI133" s="27">
        <f t="shared" si="97"/>
        <v>8.2527066765676445</v>
      </c>
      <c r="AJ133" s="27">
        <f t="shared" si="98"/>
        <v>8.4152036542872217</v>
      </c>
      <c r="AK133" s="27">
        <f t="shared" si="99"/>
        <v>9.248286523220413</v>
      </c>
      <c r="AL133" s="27">
        <f t="shared" si="100"/>
        <v>10.5988099655616</v>
      </c>
      <c r="AM133" s="27">
        <f t="shared" si="101"/>
        <v>9.8856426246952491</v>
      </c>
      <c r="AN133" s="27">
        <f t="shared" si="102"/>
        <v>9.0982908681675596</v>
      </c>
      <c r="AO133" s="27">
        <f t="shared" si="103"/>
        <v>8.8971677586739322</v>
      </c>
      <c r="AP133" s="27">
        <f t="shared" si="104"/>
        <v>10.997476553594691</v>
      </c>
      <c r="AQ133" s="27">
        <f t="shared" si="105"/>
        <v>12.559946169152685</v>
      </c>
      <c r="AR133" s="27">
        <f t="shared" si="106"/>
        <v>8.1161184316093653</v>
      </c>
      <c r="AS133" s="19"/>
      <c r="AT133" s="29">
        <f t="shared" si="107"/>
        <v>2.2501559653615999E-3</v>
      </c>
      <c r="AU133" s="29">
        <f t="shared" si="108"/>
        <v>2.7302954982122429E-3</v>
      </c>
      <c r="AV133" s="29">
        <f t="shared" si="109"/>
        <v>1.4358759040604241E-2</v>
      </c>
      <c r="AW133" s="29">
        <f t="shared" si="110"/>
        <v>8.8673212550531844E-3</v>
      </c>
      <c r="AX133" s="29">
        <f t="shared" si="111"/>
        <v>3.443299644683151E-3</v>
      </c>
      <c r="AY133" s="29">
        <f t="shared" si="112"/>
        <v>2.2638155697869422E-3</v>
      </c>
      <c r="AZ133" s="29">
        <f t="shared" si="113"/>
        <v>5.5784055405485589E-3</v>
      </c>
      <c r="BA133" s="29">
        <f t="shared" si="114"/>
        <v>1.1265626223782021E-3</v>
      </c>
      <c r="BB133" s="29">
        <f t="shared" si="115"/>
        <v>2.1734582707804151E-3</v>
      </c>
      <c r="BC133" s="29">
        <f t="shared" si="116"/>
        <v>1.9156414386305443E-3</v>
      </c>
      <c r="BD133" s="29">
        <f t="shared" si="117"/>
        <v>6.8655541116964258E-3</v>
      </c>
      <c r="BE133" s="29">
        <f t="shared" si="118"/>
        <v>9.4241535192693959E-3</v>
      </c>
      <c r="BF133" s="29">
        <f t="shared" si="119"/>
        <v>5.0612951983399768E-3</v>
      </c>
      <c r="BG133" s="29">
        <f t="shared" si="120"/>
        <v>4.9372878962383737E-3</v>
      </c>
      <c r="BH133" s="29">
        <f t="shared" si="121"/>
        <v>1.7732882559240437E-3</v>
      </c>
      <c r="BI133" s="29">
        <f t="shared" si="122"/>
        <v>1.0767069262143991E-2</v>
      </c>
      <c r="BJ133" s="29">
        <f t="shared" si="123"/>
        <v>7.6353391373569224E-3</v>
      </c>
      <c r="BK133" s="29">
        <f t="shared" si="124"/>
        <v>6.0799367872199639E-3</v>
      </c>
      <c r="BL133" s="29">
        <f t="shared" si="125"/>
        <v>3.367419893605117E-3</v>
      </c>
      <c r="BM133" s="29">
        <f t="shared" si="126"/>
        <v>9.7236924447940964E-3</v>
      </c>
      <c r="BN133" s="29">
        <f t="shared" si="127"/>
        <v>5.9916296682658299E-3</v>
      </c>
      <c r="BO133" s="20"/>
      <c r="BP133" s="19"/>
      <c r="BR133" s="19"/>
      <c r="BS133" s="19"/>
      <c r="BT133" s="19"/>
      <c r="BU133" s="19"/>
      <c r="BW133" s="19"/>
      <c r="BX133" s="20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20"/>
      <c r="CO133" s="19"/>
      <c r="CP133" s="20"/>
      <c r="DG133" s="24"/>
      <c r="DO133" s="24"/>
      <c r="EE133" s="24"/>
      <c r="EF133" s="20"/>
      <c r="GH133" s="24"/>
      <c r="GI133" s="19"/>
      <c r="GJ133" s="22"/>
    </row>
    <row r="134" spans="1:192" x14ac:dyDescent="0.25">
      <c r="A134" s="18">
        <v>2002</v>
      </c>
      <c r="B134" s="19">
        <v>8148.3119999999999</v>
      </c>
      <c r="C134" s="19">
        <v>10311.969999999999</v>
      </c>
      <c r="D134" s="19">
        <v>181418</v>
      </c>
      <c r="E134" s="19">
        <v>31641</v>
      </c>
      <c r="F134" s="19">
        <v>5374.6930000000002</v>
      </c>
      <c r="G134" s="19">
        <v>5193.0389999999998</v>
      </c>
      <c r="H134" s="19">
        <v>61829</v>
      </c>
      <c r="I134" s="19">
        <v>82350.671000000002</v>
      </c>
      <c r="J134" s="19">
        <v>57926.999000000003</v>
      </c>
      <c r="K134" s="21">
        <v>127187</v>
      </c>
      <c r="L134" s="19">
        <v>16122.83</v>
      </c>
      <c r="M134" s="19">
        <v>3898</v>
      </c>
      <c r="N134" s="19">
        <v>4535.5910000000003</v>
      </c>
      <c r="O134" s="19">
        <v>10433.867</v>
      </c>
      <c r="P134" s="19">
        <v>40152.517</v>
      </c>
      <c r="Q134" s="21">
        <v>19870.065999999999</v>
      </c>
      <c r="R134" s="19">
        <v>8954</v>
      </c>
      <c r="S134" s="19">
        <v>7361.7569999999996</v>
      </c>
      <c r="T134" s="19">
        <v>59912.430999999997</v>
      </c>
      <c r="U134" s="19">
        <v>287501</v>
      </c>
      <c r="V134" s="19">
        <v>3368</v>
      </c>
      <c r="W134" s="20"/>
      <c r="X134" s="27">
        <f t="shared" si="86"/>
        <v>9.0055660682188936</v>
      </c>
      <c r="Y134" s="27">
        <f t="shared" si="87"/>
        <v>9.2410606353828282</v>
      </c>
      <c r="Z134" s="27">
        <f t="shared" si="88"/>
        <v>12.108559039965296</v>
      </c>
      <c r="AA134" s="27">
        <f t="shared" si="89"/>
        <v>10.362209026944724</v>
      </c>
      <c r="AB134" s="27">
        <f t="shared" si="90"/>
        <v>8.5894567350855979</v>
      </c>
      <c r="AC134" s="27">
        <f t="shared" si="91"/>
        <v>8.5550743539258818</v>
      </c>
      <c r="AD134" s="27">
        <f t="shared" si="92"/>
        <v>11.032127789043205</v>
      </c>
      <c r="AE134" s="27">
        <f t="shared" si="93"/>
        <v>11.318741883720739</v>
      </c>
      <c r="AF134" s="27">
        <f t="shared" si="94"/>
        <v>10.966938858847541</v>
      </c>
      <c r="AG134" s="27">
        <f t="shared" si="95"/>
        <v>11.753413723407393</v>
      </c>
      <c r="AH134" s="27">
        <f t="shared" si="96"/>
        <v>9.6879915589647165</v>
      </c>
      <c r="AI134" s="27">
        <f t="shared" si="97"/>
        <v>8.268218880067506</v>
      </c>
      <c r="AJ134" s="27">
        <f t="shared" si="98"/>
        <v>8.4197106737937499</v>
      </c>
      <c r="AK134" s="27">
        <f t="shared" si="99"/>
        <v>9.2528122367117547</v>
      </c>
      <c r="AL134" s="27">
        <f t="shared" si="100"/>
        <v>10.600440407322804</v>
      </c>
      <c r="AM134" s="27">
        <f t="shared" si="101"/>
        <v>9.8969696571306827</v>
      </c>
      <c r="AN134" s="27">
        <f t="shared" si="102"/>
        <v>9.0998556388009106</v>
      </c>
      <c r="AO134" s="27">
        <f t="shared" si="103"/>
        <v>8.9040539060592483</v>
      </c>
      <c r="AP134" s="27">
        <f t="shared" si="104"/>
        <v>11.000639291787691</v>
      </c>
      <c r="AQ134" s="27">
        <f t="shared" si="105"/>
        <v>12.568981617474362</v>
      </c>
      <c r="AR134" s="27">
        <f t="shared" si="106"/>
        <v>8.1220743753622173</v>
      </c>
      <c r="AS134" s="19"/>
      <c r="AT134" s="29">
        <f t="shared" si="107"/>
        <v>2.042015200723668E-3</v>
      </c>
      <c r="AU134" s="29">
        <f t="shared" si="108"/>
        <v>1.9696517408114289E-3</v>
      </c>
      <c r="AV134" s="29">
        <f t="shared" si="109"/>
        <v>1.4144475978005389E-2</v>
      </c>
      <c r="AW134" s="29">
        <f t="shared" si="110"/>
        <v>8.3786075223457601E-3</v>
      </c>
      <c r="AX134" s="29">
        <f t="shared" si="111"/>
        <v>3.5165157327909924E-3</v>
      </c>
      <c r="AY134" s="29">
        <f t="shared" si="112"/>
        <v>2.4543679418407294E-3</v>
      </c>
      <c r="AZ134" s="29">
        <f t="shared" si="113"/>
        <v>5.6768569751355358E-3</v>
      </c>
      <c r="BA134" s="29">
        <f t="shared" si="114"/>
        <v>8.5184333066656848E-4</v>
      </c>
      <c r="BB134" s="29">
        <f t="shared" si="115"/>
        <v>1.4178742414099332E-3</v>
      </c>
      <c r="BC134" s="29">
        <f t="shared" si="116"/>
        <v>1.6918547152311447E-3</v>
      </c>
      <c r="BD134" s="29">
        <f t="shared" si="117"/>
        <v>6.5578392017773268E-3</v>
      </c>
      <c r="BE134" s="29">
        <f t="shared" si="118"/>
        <v>1.5512203499861599E-2</v>
      </c>
      <c r="BF134" s="29">
        <f t="shared" si="119"/>
        <v>4.5070195065282093E-3</v>
      </c>
      <c r="BG134" s="29">
        <f t="shared" si="120"/>
        <v>4.5257134913416763E-3</v>
      </c>
      <c r="BH134" s="29">
        <f t="shared" si="121"/>
        <v>1.6304417612040822E-3</v>
      </c>
      <c r="BI134" s="29">
        <f t="shared" si="122"/>
        <v>1.1327032435433537E-2</v>
      </c>
      <c r="BJ134" s="29">
        <f t="shared" si="123"/>
        <v>1.5647706333510314E-3</v>
      </c>
      <c r="BK134" s="29">
        <f t="shared" si="124"/>
        <v>6.8861473853161215E-3</v>
      </c>
      <c r="BL134" s="29">
        <f t="shared" si="125"/>
        <v>3.1627381929997256E-3</v>
      </c>
      <c r="BM134" s="29">
        <f t="shared" si="126"/>
        <v>9.0354483216774639E-3</v>
      </c>
      <c r="BN134" s="29">
        <f t="shared" si="127"/>
        <v>5.955943752852022E-3</v>
      </c>
      <c r="BO134" s="20"/>
      <c r="BP134" s="19"/>
      <c r="BR134" s="19"/>
      <c r="BS134" s="19"/>
      <c r="BT134" s="19"/>
      <c r="BU134" s="19"/>
      <c r="BW134" s="19"/>
      <c r="BX134" s="20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20"/>
      <c r="CO134" s="19"/>
      <c r="CP134" s="20"/>
      <c r="DG134" s="24"/>
      <c r="DO134" s="24"/>
      <c r="EE134" s="24"/>
      <c r="EF134" s="20"/>
      <c r="GH134" s="24"/>
      <c r="GI134" s="19"/>
      <c r="GJ134" s="22"/>
    </row>
    <row r="135" spans="1:192" x14ac:dyDescent="0.25">
      <c r="A135" s="18">
        <v>2003</v>
      </c>
      <c r="B135" s="19">
        <v>8162.6559999999999</v>
      </c>
      <c r="C135" s="19">
        <v>10330.824000000001</v>
      </c>
      <c r="D135" s="19">
        <v>183960</v>
      </c>
      <c r="E135" s="19">
        <v>31889</v>
      </c>
      <c r="F135" s="19">
        <v>5394.1379999999999</v>
      </c>
      <c r="G135" s="19">
        <v>5204.4049999999997</v>
      </c>
      <c r="H135" s="19">
        <v>62171</v>
      </c>
      <c r="I135" s="19">
        <v>82398.326000000001</v>
      </c>
      <c r="J135" s="19">
        <v>57998.353000000003</v>
      </c>
      <c r="K135" s="21">
        <v>127358</v>
      </c>
      <c r="L135" s="19">
        <v>16223.248</v>
      </c>
      <c r="M135" s="19">
        <v>3960</v>
      </c>
      <c r="N135" s="19">
        <v>4555.3999999999996</v>
      </c>
      <c r="O135" s="19">
        <v>10479.955</v>
      </c>
      <c r="P135" s="19">
        <v>40217.413</v>
      </c>
      <c r="Q135" s="21">
        <v>20097.485000000001</v>
      </c>
      <c r="R135" s="19">
        <v>8970</v>
      </c>
      <c r="S135" s="19">
        <v>7408.3190000000004</v>
      </c>
      <c r="T135" s="19">
        <v>60094.648000000001</v>
      </c>
      <c r="U135" s="19">
        <v>289986</v>
      </c>
      <c r="V135" s="19">
        <v>3387</v>
      </c>
      <c r="W135" s="20"/>
      <c r="X135" s="27">
        <f t="shared" si="86"/>
        <v>9.007324885193789</v>
      </c>
      <c r="Y135" s="27">
        <f t="shared" si="87"/>
        <v>9.2428873265994032</v>
      </c>
      <c r="Z135" s="27">
        <f t="shared" si="88"/>
        <v>12.12247362165386</v>
      </c>
      <c r="AA135" s="27">
        <f t="shared" si="89"/>
        <v>10.370016401720026</v>
      </c>
      <c r="AB135" s="27">
        <f t="shared" si="90"/>
        <v>8.593068087354613</v>
      </c>
      <c r="AC135" s="27">
        <f t="shared" si="91"/>
        <v>8.5572606613544</v>
      </c>
      <c r="AD135" s="27">
        <f t="shared" si="92"/>
        <v>11.037643932062444</v>
      </c>
      <c r="AE135" s="27">
        <f t="shared" si="93"/>
        <v>11.319320400157219</v>
      </c>
      <c r="AF135" s="27">
        <f t="shared" si="94"/>
        <v>10.968169892573643</v>
      </c>
      <c r="AG135" s="27">
        <f t="shared" si="95"/>
        <v>11.754757297437321</v>
      </c>
      <c r="AH135" s="27">
        <f t="shared" si="96"/>
        <v>9.6942005542318519</v>
      </c>
      <c r="AI135" s="27">
        <f t="shared" si="97"/>
        <v>8.2839993042485265</v>
      </c>
      <c r="AJ135" s="27">
        <f t="shared" si="98"/>
        <v>8.4240686214257625</v>
      </c>
      <c r="AK135" s="27">
        <f t="shared" si="99"/>
        <v>9.257219663972684</v>
      </c>
      <c r="AL135" s="27">
        <f t="shared" si="100"/>
        <v>10.602055340024727</v>
      </c>
      <c r="AM135" s="27">
        <f t="shared" si="101"/>
        <v>9.908349961840349</v>
      </c>
      <c r="AN135" s="27">
        <f t="shared" si="102"/>
        <v>9.1016409550528419</v>
      </c>
      <c r="AO135" s="27">
        <f t="shared" si="103"/>
        <v>8.9103588369539697</v>
      </c>
      <c r="AP135" s="27">
        <f t="shared" si="104"/>
        <v>11.003676064977272</v>
      </c>
      <c r="AQ135" s="27">
        <f t="shared" si="105"/>
        <v>12.577587924935271</v>
      </c>
      <c r="AR135" s="27">
        <f t="shared" si="106"/>
        <v>8.1276998528177717</v>
      </c>
      <c r="AS135" s="19"/>
      <c r="AT135" s="29">
        <f t="shared" si="107"/>
        <v>1.7588169748954385E-3</v>
      </c>
      <c r="AU135" s="29">
        <f t="shared" si="108"/>
        <v>1.8266912165749716E-3</v>
      </c>
      <c r="AV135" s="29">
        <f t="shared" si="109"/>
        <v>1.3914581688563743E-2</v>
      </c>
      <c r="AW135" s="29">
        <f t="shared" si="110"/>
        <v>7.8073747753020228E-3</v>
      </c>
      <c r="AX135" s="29">
        <f t="shared" si="111"/>
        <v>3.6113522690151001E-3</v>
      </c>
      <c r="AY135" s="29">
        <f t="shared" si="112"/>
        <v>2.1863074285182194E-3</v>
      </c>
      <c r="AZ135" s="29">
        <f t="shared" si="113"/>
        <v>5.5161430192391947E-3</v>
      </c>
      <c r="BA135" s="29">
        <f t="shared" si="114"/>
        <v>5.7851643648021422E-4</v>
      </c>
      <c r="BB135" s="29">
        <f t="shared" si="115"/>
        <v>1.2310337261016713E-3</v>
      </c>
      <c r="BC135" s="29">
        <f t="shared" si="116"/>
        <v>1.3435740299279075E-3</v>
      </c>
      <c r="BD135" s="29">
        <f t="shared" si="117"/>
        <v>6.2089952671353643E-3</v>
      </c>
      <c r="BE135" s="29">
        <f t="shared" si="118"/>
        <v>1.5780424181020436E-2</v>
      </c>
      <c r="BF135" s="29">
        <f t="shared" si="119"/>
        <v>4.3579476320125821E-3</v>
      </c>
      <c r="BG135" s="29">
        <f t="shared" si="120"/>
        <v>4.407427260929353E-3</v>
      </c>
      <c r="BH135" s="29">
        <f t="shared" si="121"/>
        <v>1.614932701922811E-3</v>
      </c>
      <c r="BI135" s="29">
        <f t="shared" si="122"/>
        <v>1.1380304709666333E-2</v>
      </c>
      <c r="BJ135" s="29">
        <f t="shared" si="123"/>
        <v>1.7853162519312349E-3</v>
      </c>
      <c r="BK135" s="29">
        <f t="shared" si="124"/>
        <v>6.3049308947213945E-3</v>
      </c>
      <c r="BL135" s="29">
        <f t="shared" si="125"/>
        <v>3.0367731895815098E-3</v>
      </c>
      <c r="BM135" s="29">
        <f t="shared" si="126"/>
        <v>8.6063074609086243E-3</v>
      </c>
      <c r="BN135" s="29">
        <f t="shared" si="127"/>
        <v>5.6254774555544174E-3</v>
      </c>
      <c r="BO135" s="20"/>
      <c r="BP135" s="19"/>
      <c r="BR135" s="19"/>
      <c r="BS135" s="19"/>
      <c r="BT135" s="19"/>
      <c r="BU135" s="19"/>
      <c r="BW135" s="19"/>
      <c r="BX135" s="20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20"/>
      <c r="CO135" s="19"/>
      <c r="CP135" s="20"/>
      <c r="DG135" s="24"/>
      <c r="DO135" s="24"/>
      <c r="EE135" s="24"/>
      <c r="EF135" s="20"/>
      <c r="GH135" s="24"/>
      <c r="GI135" s="19"/>
      <c r="GJ135" s="22"/>
    </row>
    <row r="136" spans="1:192" x14ac:dyDescent="0.25">
      <c r="A136" s="18">
        <v>2004</v>
      </c>
      <c r="B136" s="19">
        <v>8174.7619999999997</v>
      </c>
      <c r="C136" s="19">
        <v>10348.276</v>
      </c>
      <c r="D136" s="19">
        <v>186489</v>
      </c>
      <c r="E136" s="19">
        <v>32135</v>
      </c>
      <c r="F136" s="19">
        <v>5413.3919999999998</v>
      </c>
      <c r="G136" s="19">
        <v>5214.5119999999997</v>
      </c>
      <c r="H136" s="19">
        <v>62534</v>
      </c>
      <c r="I136" s="19">
        <v>82424.608999999997</v>
      </c>
      <c r="J136" s="19">
        <v>58057.476999999999</v>
      </c>
      <c r="K136" s="21">
        <v>127480</v>
      </c>
      <c r="L136" s="19">
        <v>16318.199000000001</v>
      </c>
      <c r="M136" s="19">
        <v>4008</v>
      </c>
      <c r="N136" s="19">
        <v>4574.5600000000004</v>
      </c>
      <c r="O136" s="19">
        <v>10524.145</v>
      </c>
      <c r="P136" s="19">
        <v>40280.78</v>
      </c>
      <c r="Q136" s="21">
        <v>20303.267</v>
      </c>
      <c r="R136" s="19">
        <v>8986</v>
      </c>
      <c r="S136" s="19">
        <v>7450.8670000000002</v>
      </c>
      <c r="T136" s="19">
        <v>60270.707999999999</v>
      </c>
      <c r="U136" s="19">
        <v>292806</v>
      </c>
      <c r="V136" s="19">
        <v>3406</v>
      </c>
      <c r="W136" s="20"/>
      <c r="X136" s="27">
        <f t="shared" si="86"/>
        <v>9.008806882191811</v>
      </c>
      <c r="Y136" s="27">
        <f t="shared" si="87"/>
        <v>9.2445752147708742</v>
      </c>
      <c r="Z136" s="27">
        <f t="shared" si="88"/>
        <v>12.136127535093301</v>
      </c>
      <c r="AA136" s="27">
        <f t="shared" si="89"/>
        <v>10.377701057805387</v>
      </c>
      <c r="AB136" s="27">
        <f t="shared" si="90"/>
        <v>8.5966311624272578</v>
      </c>
      <c r="AC136" s="27">
        <f t="shared" si="91"/>
        <v>8.5592007868339088</v>
      </c>
      <c r="AD136" s="27">
        <f t="shared" si="92"/>
        <v>11.043465687810134</v>
      </c>
      <c r="AE136" s="27">
        <f t="shared" si="93"/>
        <v>11.319639324222281</v>
      </c>
      <c r="AF136" s="27">
        <f t="shared" si="94"/>
        <v>10.969188781587919</v>
      </c>
      <c r="AG136" s="27">
        <f t="shared" si="95"/>
        <v>11.755714768531274</v>
      </c>
      <c r="AH136" s="27">
        <f t="shared" si="96"/>
        <v>9.7000362670363369</v>
      </c>
      <c r="AI136" s="27">
        <f t="shared" si="97"/>
        <v>8.2960476427646999</v>
      </c>
      <c r="AJ136" s="27">
        <f t="shared" si="98"/>
        <v>8.4282657982211351</v>
      </c>
      <c r="AK136" s="27">
        <f t="shared" si="99"/>
        <v>9.2614274200964335</v>
      </c>
      <c r="AL136" s="27">
        <f t="shared" si="100"/>
        <v>10.603629711093868</v>
      </c>
      <c r="AM136" s="27">
        <f t="shared" si="101"/>
        <v>9.918537088041667</v>
      </c>
      <c r="AN136" s="27">
        <f t="shared" si="102"/>
        <v>9.1034230896301054</v>
      </c>
      <c r="AO136" s="27">
        <f t="shared" si="103"/>
        <v>8.9160856804413893</v>
      </c>
      <c r="AP136" s="27">
        <f t="shared" si="104"/>
        <v>11.006601493545972</v>
      </c>
      <c r="AQ136" s="27">
        <f t="shared" si="105"/>
        <v>12.587265552662618</v>
      </c>
      <c r="AR136" s="27">
        <f t="shared" si="106"/>
        <v>8.1332938612226329</v>
      </c>
      <c r="AS136" s="19"/>
      <c r="AT136" s="29">
        <f t="shared" si="107"/>
        <v>1.4819969980219838E-3</v>
      </c>
      <c r="AU136" s="29">
        <f t="shared" si="108"/>
        <v>1.6878881714710303E-3</v>
      </c>
      <c r="AV136" s="29">
        <f t="shared" si="109"/>
        <v>1.3653913439441112E-2</v>
      </c>
      <c r="AW136" s="29">
        <f t="shared" si="110"/>
        <v>7.6846560853613965E-3</v>
      </c>
      <c r="AX136" s="29">
        <f t="shared" si="111"/>
        <v>3.5630750726447502E-3</v>
      </c>
      <c r="AY136" s="29">
        <f t="shared" si="112"/>
        <v>1.9401254795088363E-3</v>
      </c>
      <c r="AZ136" s="29">
        <f t="shared" si="113"/>
        <v>5.8217557476893944E-3</v>
      </c>
      <c r="BA136" s="29">
        <f t="shared" si="114"/>
        <v>3.1892406506273119E-4</v>
      </c>
      <c r="BB136" s="29">
        <f t="shared" si="115"/>
        <v>1.0188890142757145E-3</v>
      </c>
      <c r="BC136" s="29">
        <f t="shared" si="116"/>
        <v>9.5747109395283303E-4</v>
      </c>
      <c r="BD136" s="29">
        <f t="shared" si="117"/>
        <v>5.835712804485027E-3</v>
      </c>
      <c r="BE136" s="29">
        <f t="shared" si="118"/>
        <v>1.2048338516173374E-2</v>
      </c>
      <c r="BF136" s="29">
        <f t="shared" si="119"/>
        <v>4.1971767953725703E-3</v>
      </c>
      <c r="BG136" s="29">
        <f t="shared" si="120"/>
        <v>4.2077561237494621E-3</v>
      </c>
      <c r="BH136" s="29">
        <f t="shared" si="121"/>
        <v>1.5743710691413781E-3</v>
      </c>
      <c r="BI136" s="29">
        <f t="shared" si="122"/>
        <v>1.0187126201318009E-2</v>
      </c>
      <c r="BJ136" s="29">
        <f t="shared" si="123"/>
        <v>1.7821345772635055E-3</v>
      </c>
      <c r="BK136" s="29">
        <f t="shared" si="124"/>
        <v>5.7268434874195862E-3</v>
      </c>
      <c r="BL136" s="29">
        <f t="shared" si="125"/>
        <v>2.9254285686999282E-3</v>
      </c>
      <c r="BM136" s="29">
        <f t="shared" si="126"/>
        <v>9.677627727347371E-3</v>
      </c>
      <c r="BN136" s="29">
        <f t="shared" si="127"/>
        <v>5.5940084048611283E-3</v>
      </c>
      <c r="BO136" s="20"/>
      <c r="BP136" s="19"/>
      <c r="BR136" s="19"/>
      <c r="BS136" s="19"/>
      <c r="BT136" s="19"/>
      <c r="BU136" s="19"/>
      <c r="BW136" s="19"/>
      <c r="BX136" s="20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20"/>
      <c r="CO136" s="19"/>
      <c r="CP136" s="20"/>
      <c r="DG136" s="24"/>
      <c r="DO136" s="24"/>
      <c r="EE136" s="24"/>
      <c r="EF136" s="20"/>
      <c r="GH136" s="24"/>
      <c r="GI136" s="19"/>
      <c r="GJ136" s="22"/>
    </row>
    <row r="137" spans="1:192" x14ac:dyDescent="0.25">
      <c r="A137" s="18">
        <v>2005</v>
      </c>
      <c r="B137" s="19">
        <v>8184.6909999999998</v>
      </c>
      <c r="C137" s="19">
        <v>10364.388000000001</v>
      </c>
      <c r="D137" s="19">
        <v>188993</v>
      </c>
      <c r="E137" s="19">
        <v>32386</v>
      </c>
      <c r="F137" s="19">
        <v>5432.335</v>
      </c>
      <c r="G137" s="19">
        <v>5223.442</v>
      </c>
      <c r="H137" s="19">
        <v>62912</v>
      </c>
      <c r="I137" s="19">
        <v>82431.39</v>
      </c>
      <c r="J137" s="19">
        <v>58103.033000000003</v>
      </c>
      <c r="K137" s="21">
        <v>127537</v>
      </c>
      <c r="L137" s="19">
        <v>16407.491000000002</v>
      </c>
      <c r="M137" s="19">
        <v>4048</v>
      </c>
      <c r="N137" s="19">
        <v>4593.0410000000002</v>
      </c>
      <c r="O137" s="19">
        <v>10566.212</v>
      </c>
      <c r="P137" s="19">
        <v>40341.462</v>
      </c>
      <c r="Q137" s="21">
        <v>20504.263999999999</v>
      </c>
      <c r="R137" s="19">
        <v>9002</v>
      </c>
      <c r="S137" s="19">
        <v>7489.37</v>
      </c>
      <c r="T137" s="19">
        <v>60441.457000000002</v>
      </c>
      <c r="U137" s="19">
        <v>295583</v>
      </c>
      <c r="V137" s="19">
        <v>3425</v>
      </c>
      <c r="W137" s="20"/>
      <c r="X137" s="27">
        <f t="shared" si="86"/>
        <v>9.010020737107272</v>
      </c>
      <c r="Y137" s="27">
        <f t="shared" si="87"/>
        <v>9.2461309782641461</v>
      </c>
      <c r="Z137" s="27">
        <f t="shared" si="88"/>
        <v>12.149465256318855</v>
      </c>
      <c r="AA137" s="27">
        <f t="shared" si="89"/>
        <v>10.385481509633417</v>
      </c>
      <c r="AB137" s="27">
        <f t="shared" si="90"/>
        <v>8.6001243389127655</v>
      </c>
      <c r="AC137" s="27">
        <f t="shared" si="91"/>
        <v>8.5609118505497914</v>
      </c>
      <c r="AD137" s="27">
        <f t="shared" si="92"/>
        <v>11.049492203506839</v>
      </c>
      <c r="AE137" s="27">
        <f t="shared" si="93"/>
        <v>11.319721589957771</v>
      </c>
      <c r="AF137" s="27">
        <f t="shared" si="94"/>
        <v>10.969973144575576</v>
      </c>
      <c r="AG137" s="27">
        <f t="shared" si="95"/>
        <v>11.756161797560312</v>
      </c>
      <c r="AH137" s="27">
        <f t="shared" si="96"/>
        <v>9.7054932778180909</v>
      </c>
      <c r="AI137" s="27">
        <f t="shared" si="97"/>
        <v>8.3059782109673019</v>
      </c>
      <c r="AJ137" s="27">
        <f t="shared" si="98"/>
        <v>8.4322976109134284</v>
      </c>
      <c r="AK137" s="27">
        <f t="shared" si="99"/>
        <v>9.2654166418803481</v>
      </c>
      <c r="AL137" s="27">
        <f t="shared" si="100"/>
        <v>10.60513505279496</v>
      </c>
      <c r="AM137" s="27">
        <f t="shared" si="101"/>
        <v>9.9283881434974983</v>
      </c>
      <c r="AN137" s="27">
        <f t="shared" si="102"/>
        <v>9.105202053852878</v>
      </c>
      <c r="AO137" s="27">
        <f t="shared" si="103"/>
        <v>8.9212399608241064</v>
      </c>
      <c r="AP137" s="27">
        <f t="shared" si="104"/>
        <v>11.009430522648071</v>
      </c>
      <c r="AQ137" s="27">
        <f t="shared" si="105"/>
        <v>12.596704956253562</v>
      </c>
      <c r="AR137" s="27">
        <f t="shared" si="106"/>
        <v>8.1388567506963252</v>
      </c>
      <c r="AS137" s="19"/>
      <c r="AT137" s="29">
        <f t="shared" si="107"/>
        <v>1.213854915460999E-3</v>
      </c>
      <c r="AU137" s="29">
        <f t="shared" si="108"/>
        <v>1.5557634932719111E-3</v>
      </c>
      <c r="AV137" s="29">
        <f t="shared" si="109"/>
        <v>1.3337721225553878E-2</v>
      </c>
      <c r="AW137" s="29">
        <f t="shared" si="110"/>
        <v>7.7804518280295554E-3</v>
      </c>
      <c r="AX137" s="29">
        <f t="shared" si="111"/>
        <v>3.4931764855077319E-3</v>
      </c>
      <c r="AY137" s="29">
        <f t="shared" si="112"/>
        <v>1.7110637158825881E-3</v>
      </c>
      <c r="AZ137" s="29">
        <f t="shared" si="113"/>
        <v>6.0265156967052036E-3</v>
      </c>
      <c r="BA137" s="29">
        <f t="shared" si="114"/>
        <v>8.2265735489528424E-5</v>
      </c>
      <c r="BB137" s="29">
        <f t="shared" si="115"/>
        <v>7.8436298765716117E-4</v>
      </c>
      <c r="BC137" s="29">
        <f t="shared" si="116"/>
        <v>4.4702902903814845E-4</v>
      </c>
      <c r="BD137" s="29">
        <f t="shared" si="117"/>
        <v>5.4570107817539792E-3</v>
      </c>
      <c r="BE137" s="29">
        <f t="shared" si="118"/>
        <v>9.9305682026020747E-3</v>
      </c>
      <c r="BF137" s="29">
        <f t="shared" si="119"/>
        <v>4.0318126922933573E-3</v>
      </c>
      <c r="BG137" s="29">
        <f t="shared" si="120"/>
        <v>3.9892217839145871E-3</v>
      </c>
      <c r="BH137" s="29">
        <f t="shared" si="121"/>
        <v>1.5053417010921777E-3</v>
      </c>
      <c r="BI137" s="29">
        <f t="shared" si="122"/>
        <v>9.8510554558313146E-3</v>
      </c>
      <c r="BJ137" s="29">
        <f t="shared" si="123"/>
        <v>1.7789642227725722E-3</v>
      </c>
      <c r="BK137" s="29">
        <f t="shared" si="124"/>
        <v>5.1542803827171468E-3</v>
      </c>
      <c r="BL137" s="29">
        <f t="shared" si="125"/>
        <v>2.8290291020987013E-3</v>
      </c>
      <c r="BM137" s="29">
        <f t="shared" si="126"/>
        <v>9.4394035909441953E-3</v>
      </c>
      <c r="BN137" s="29">
        <f t="shared" si="127"/>
        <v>5.5628894736923229E-3</v>
      </c>
      <c r="BO137" s="20"/>
      <c r="BP137" s="19"/>
      <c r="BR137" s="19"/>
      <c r="BS137" s="19"/>
      <c r="BT137" s="19"/>
      <c r="BU137" s="19"/>
      <c r="BW137" s="19"/>
      <c r="BX137" s="20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20"/>
      <c r="CO137" s="19"/>
      <c r="CP137" s="20"/>
      <c r="DG137" s="24"/>
      <c r="DO137" s="24"/>
      <c r="EE137" s="24"/>
      <c r="EF137" s="20"/>
      <c r="GH137" s="24"/>
      <c r="GI137" s="19"/>
      <c r="GJ137" s="22"/>
    </row>
    <row r="138" spans="1:192" x14ac:dyDescent="0.25">
      <c r="A138" s="18">
        <v>2006</v>
      </c>
      <c r="B138" s="19">
        <v>8192.8799999999992</v>
      </c>
      <c r="C138" s="19">
        <v>10379.066999999999</v>
      </c>
      <c r="D138" s="19">
        <v>191469</v>
      </c>
      <c r="E138" s="19">
        <v>32657</v>
      </c>
      <c r="F138" s="19">
        <v>5450.6610000000001</v>
      </c>
      <c r="G138" s="19">
        <v>5231.3720000000003</v>
      </c>
      <c r="H138" s="19">
        <v>63293</v>
      </c>
      <c r="I138" s="19">
        <v>82422.298999999999</v>
      </c>
      <c r="J138" s="19">
        <v>58133.508999999998</v>
      </c>
      <c r="K138" s="21">
        <v>127515</v>
      </c>
      <c r="L138" s="19">
        <v>16491.460999999999</v>
      </c>
      <c r="M138" s="19">
        <v>4090</v>
      </c>
      <c r="N138" s="19">
        <v>4610.82</v>
      </c>
      <c r="O138" s="19">
        <v>10605.87</v>
      </c>
      <c r="P138" s="19">
        <v>40397.841999999997</v>
      </c>
      <c r="Q138" s="21">
        <v>20717.932000000001</v>
      </c>
      <c r="R138" s="19">
        <v>9017</v>
      </c>
      <c r="S138" s="19">
        <v>7523.9340000000002</v>
      </c>
      <c r="T138" s="19">
        <v>60609.152999999998</v>
      </c>
      <c r="U138" s="19">
        <v>298442</v>
      </c>
      <c r="V138" s="19">
        <v>3443</v>
      </c>
      <c r="W138" s="20"/>
      <c r="X138" s="27">
        <f t="shared" si="86"/>
        <v>9.0110207633849733</v>
      </c>
      <c r="Y138" s="27">
        <f t="shared" si="87"/>
        <v>9.2475462682869711</v>
      </c>
      <c r="Z138" s="27">
        <f t="shared" si="88"/>
        <v>12.162481194603313</v>
      </c>
      <c r="AA138" s="27">
        <f t="shared" si="89"/>
        <v>10.393814506824773</v>
      </c>
      <c r="AB138" s="27">
        <f t="shared" si="90"/>
        <v>8.6034921647066014</v>
      </c>
      <c r="AC138" s="27">
        <f t="shared" si="91"/>
        <v>8.5624288553517474</v>
      </c>
      <c r="AD138" s="27">
        <f t="shared" si="92"/>
        <v>11.055530017499182</v>
      </c>
      <c r="AE138" s="27">
        <f t="shared" si="93"/>
        <v>11.319611298218904</v>
      </c>
      <c r="AF138" s="27">
        <f t="shared" si="94"/>
        <v>10.970497523573332</v>
      </c>
      <c r="AG138" s="27">
        <f t="shared" si="95"/>
        <v>11.755989283719568</v>
      </c>
      <c r="AH138" s="27">
        <f t="shared" si="96"/>
        <v>9.7105980107799716</v>
      </c>
      <c r="AI138" s="27">
        <f t="shared" si="97"/>
        <v>8.3163002490368481</v>
      </c>
      <c r="AJ138" s="27">
        <f t="shared" si="98"/>
        <v>8.4361609943595077</v>
      </c>
      <c r="AK138" s="27">
        <f t="shared" si="99"/>
        <v>9.2691629004090572</v>
      </c>
      <c r="AL138" s="27">
        <f t="shared" si="100"/>
        <v>10.606531646680981</v>
      </c>
      <c r="AM138" s="27">
        <f t="shared" si="101"/>
        <v>9.9387548844425666</v>
      </c>
      <c r="AN138" s="27">
        <f t="shared" si="102"/>
        <v>9.1068669634999075</v>
      </c>
      <c r="AO138" s="27">
        <f t="shared" si="103"/>
        <v>8.9258444184526233</v>
      </c>
      <c r="AP138" s="27">
        <f t="shared" si="104"/>
        <v>11.012201200256033</v>
      </c>
      <c r="AQ138" s="27">
        <f t="shared" si="105"/>
        <v>12.606330888077538</v>
      </c>
      <c r="AR138" s="27">
        <f t="shared" si="106"/>
        <v>8.1440984633385245</v>
      </c>
      <c r="AS138" s="19"/>
      <c r="AT138" s="29">
        <f t="shared" si="107"/>
        <v>1.0000262777012381E-3</v>
      </c>
      <c r="AU138" s="29">
        <f t="shared" si="108"/>
        <v>1.4152900228250331E-3</v>
      </c>
      <c r="AV138" s="29">
        <f t="shared" si="109"/>
        <v>1.3015938284457462E-2</v>
      </c>
      <c r="AW138" s="29">
        <f t="shared" si="110"/>
        <v>8.3329971913563838E-3</v>
      </c>
      <c r="AX138" s="29">
        <f t="shared" si="111"/>
        <v>3.3678257938358769E-3</v>
      </c>
      <c r="AY138" s="29">
        <f t="shared" si="112"/>
        <v>1.5170048019559346E-3</v>
      </c>
      <c r="AZ138" s="29">
        <f t="shared" si="113"/>
        <v>6.037813992342933E-3</v>
      </c>
      <c r="BA138" s="29">
        <f t="shared" si="114"/>
        <v>-1.1029173886711874E-4</v>
      </c>
      <c r="BB138" s="29">
        <f t="shared" si="115"/>
        <v>5.2437899775625851E-4</v>
      </c>
      <c r="BC138" s="29">
        <f t="shared" si="116"/>
        <v>-1.7251384074334908E-4</v>
      </c>
      <c r="BD138" s="29">
        <f t="shared" si="117"/>
        <v>5.1047329618807424E-3</v>
      </c>
      <c r="BE138" s="29">
        <f t="shared" si="118"/>
        <v>1.0322038069546124E-2</v>
      </c>
      <c r="BF138" s="29">
        <f t="shared" si="119"/>
        <v>3.8633834460792826E-3</v>
      </c>
      <c r="BG138" s="29">
        <f t="shared" si="120"/>
        <v>3.7462585287091343E-3</v>
      </c>
      <c r="BH138" s="29">
        <f t="shared" si="121"/>
        <v>1.3965938860209803E-3</v>
      </c>
      <c r="BI138" s="29">
        <f t="shared" si="122"/>
        <v>1.0366740945068287E-2</v>
      </c>
      <c r="BJ138" s="29">
        <f t="shared" si="123"/>
        <v>1.6649096470295888E-3</v>
      </c>
      <c r="BK138" s="29">
        <f t="shared" si="124"/>
        <v>4.6044576285169114E-3</v>
      </c>
      <c r="BL138" s="29">
        <f t="shared" si="125"/>
        <v>2.7706776079625683E-3</v>
      </c>
      <c r="BM138" s="29">
        <f t="shared" si="126"/>
        <v>9.625931823975975E-3</v>
      </c>
      <c r="BN138" s="29">
        <f t="shared" si="127"/>
        <v>5.2417126421993032E-3</v>
      </c>
      <c r="BO138" s="20"/>
      <c r="BP138" s="19"/>
      <c r="BR138" s="19"/>
      <c r="BS138" s="19"/>
      <c r="BT138" s="19"/>
      <c r="BU138" s="19"/>
      <c r="BW138" s="19"/>
      <c r="BX138" s="20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20"/>
      <c r="CO138" s="19"/>
      <c r="CP138" s="20"/>
      <c r="DG138" s="24"/>
      <c r="DO138" s="24"/>
      <c r="EE138" s="24"/>
      <c r="EF138" s="20"/>
      <c r="GH138" s="24"/>
      <c r="GI138" s="19"/>
      <c r="GJ138" s="22"/>
    </row>
    <row r="139" spans="1:192" x14ac:dyDescent="0.25">
      <c r="A139" s="18">
        <v>2007</v>
      </c>
      <c r="B139" s="19">
        <v>8199.7829999999994</v>
      </c>
      <c r="C139" s="19">
        <v>10392.226000000001</v>
      </c>
      <c r="D139" s="19">
        <v>193919</v>
      </c>
      <c r="E139" s="19">
        <v>32386</v>
      </c>
      <c r="F139" s="19">
        <v>5468.12</v>
      </c>
      <c r="G139" s="19">
        <v>5238.46</v>
      </c>
      <c r="H139" s="19">
        <v>63682</v>
      </c>
      <c r="I139" s="19">
        <v>82400.995999999999</v>
      </c>
      <c r="J139" s="19">
        <v>58147.733</v>
      </c>
      <c r="K139" s="21">
        <v>127433</v>
      </c>
      <c r="L139" s="19">
        <v>16570.613000000001</v>
      </c>
      <c r="M139" s="19">
        <v>4132</v>
      </c>
      <c r="N139" s="19">
        <v>4627.9260000000004</v>
      </c>
      <c r="O139" s="19">
        <v>10642.835999999999</v>
      </c>
      <c r="P139" s="19">
        <v>40448.190999999999</v>
      </c>
      <c r="Q139" s="21">
        <v>20926.314999999999</v>
      </c>
      <c r="R139" s="19">
        <v>9031</v>
      </c>
      <c r="S139" s="19">
        <v>7554.6610000000001</v>
      </c>
      <c r="T139" s="19">
        <v>60776.237999999998</v>
      </c>
      <c r="U139" s="19">
        <v>301280</v>
      </c>
      <c r="V139" s="19">
        <v>3461</v>
      </c>
      <c r="W139" s="20"/>
      <c r="X139" s="27">
        <f t="shared" si="86"/>
        <v>9.0118629694875487</v>
      </c>
      <c r="Y139" s="27">
        <f t="shared" si="87"/>
        <v>9.2488133056120372</v>
      </c>
      <c r="Z139" s="27">
        <f t="shared" si="88"/>
        <v>12.175195825084113</v>
      </c>
      <c r="AA139" s="27">
        <f t="shared" si="89"/>
        <v>10.385481509633417</v>
      </c>
      <c r="AB139" s="27">
        <f t="shared" si="90"/>
        <v>8.6066901434698941</v>
      </c>
      <c r="AC139" s="27">
        <f t="shared" si="91"/>
        <v>8.5637828409902674</v>
      </c>
      <c r="AD139" s="27">
        <f t="shared" si="92"/>
        <v>11.06165722706025</v>
      </c>
      <c r="AE139" s="27">
        <f t="shared" si="93"/>
        <v>11.319352803203152</v>
      </c>
      <c r="AF139" s="27">
        <f t="shared" si="94"/>
        <v>10.970742171804229</v>
      </c>
      <c r="AG139" s="27">
        <f t="shared" si="95"/>
        <v>11.755346015266177</v>
      </c>
      <c r="AH139" s="27">
        <f t="shared" si="96"/>
        <v>9.7153861043048231</v>
      </c>
      <c r="AI139" s="27">
        <f t="shared" si="97"/>
        <v>8.3265168302395285</v>
      </c>
      <c r="AJ139" s="27">
        <f t="shared" si="98"/>
        <v>8.4398640985573827</v>
      </c>
      <c r="AK139" s="27">
        <f t="shared" si="99"/>
        <v>9.2726422687331826</v>
      </c>
      <c r="AL139" s="27">
        <f t="shared" si="100"/>
        <v>10.607777199607721</v>
      </c>
      <c r="AM139" s="27">
        <f t="shared" si="101"/>
        <v>9.9487627368717568</v>
      </c>
      <c r="AN139" s="27">
        <f t="shared" si="102"/>
        <v>9.1084183822507985</v>
      </c>
      <c r="AO139" s="27">
        <f t="shared" si="103"/>
        <v>8.9299200027537164</v>
      </c>
      <c r="AP139" s="27">
        <f t="shared" si="104"/>
        <v>11.014954169194871</v>
      </c>
      <c r="AQ139" s="27">
        <f t="shared" si="105"/>
        <v>12.61579534389098</v>
      </c>
      <c r="AR139" s="27">
        <f t="shared" si="106"/>
        <v>8.1493128436353448</v>
      </c>
      <c r="AS139" s="19"/>
      <c r="AT139" s="29">
        <f t="shared" si="107"/>
        <v>8.4220610257546014E-4</v>
      </c>
      <c r="AU139" s="29">
        <f t="shared" si="108"/>
        <v>1.267037325066056E-3</v>
      </c>
      <c r="AV139" s="29">
        <f t="shared" si="109"/>
        <v>1.2714630480800793E-2</v>
      </c>
      <c r="AW139" s="29">
        <f t="shared" si="110"/>
        <v>-8.3329971913563838E-3</v>
      </c>
      <c r="AX139" s="29">
        <f t="shared" si="111"/>
        <v>3.1979787632927525E-3</v>
      </c>
      <c r="AY139" s="29">
        <f t="shared" si="112"/>
        <v>1.3539856385200721E-3</v>
      </c>
      <c r="AZ139" s="29">
        <f t="shared" si="113"/>
        <v>6.1272095610682697E-3</v>
      </c>
      <c r="BA139" s="29">
        <f t="shared" si="114"/>
        <v>-2.5849501575159195E-4</v>
      </c>
      <c r="BB139" s="29">
        <f t="shared" si="115"/>
        <v>2.4464823089687115E-4</v>
      </c>
      <c r="BC139" s="29">
        <f t="shared" si="116"/>
        <v>-6.4326845339124361E-4</v>
      </c>
      <c r="BD139" s="29">
        <f t="shared" si="117"/>
        <v>4.7880935248514334E-3</v>
      </c>
      <c r="BE139" s="29">
        <f t="shared" si="118"/>
        <v>1.021658120268043E-2</v>
      </c>
      <c r="BF139" s="29">
        <f t="shared" si="119"/>
        <v>3.7031041978750068E-3</v>
      </c>
      <c r="BG139" s="29">
        <f t="shared" si="120"/>
        <v>3.4793683241254314E-3</v>
      </c>
      <c r="BH139" s="29">
        <f t="shared" si="121"/>
        <v>1.2455529267398902E-3</v>
      </c>
      <c r="BI139" s="29">
        <f t="shared" si="122"/>
        <v>1.0007852429190223E-2</v>
      </c>
      <c r="BJ139" s="29">
        <f t="shared" si="123"/>
        <v>1.5514187508909316E-3</v>
      </c>
      <c r="BK139" s="29">
        <f t="shared" si="124"/>
        <v>4.0755843010931159E-3</v>
      </c>
      <c r="BL139" s="29">
        <f t="shared" si="125"/>
        <v>2.7529689388376966E-3</v>
      </c>
      <c r="BM139" s="29">
        <f t="shared" si="126"/>
        <v>9.4644558134415746E-3</v>
      </c>
      <c r="BN139" s="29">
        <f t="shared" si="127"/>
        <v>5.214380296820309E-3</v>
      </c>
      <c r="BO139" s="20"/>
      <c r="BP139" s="19"/>
      <c r="BR139" s="19"/>
      <c r="BS139" s="19"/>
      <c r="BT139" s="19"/>
      <c r="BU139" s="19"/>
      <c r="BW139" s="19"/>
      <c r="BX139" s="20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20"/>
      <c r="CO139" s="19"/>
      <c r="CP139" s="20"/>
      <c r="DG139" s="24"/>
      <c r="DO139" s="24"/>
      <c r="EE139" s="24"/>
      <c r="EF139" s="20"/>
      <c r="GH139" s="24"/>
      <c r="GI139" s="19"/>
      <c r="GJ139" s="22"/>
    </row>
    <row r="140" spans="1:192" x14ac:dyDescent="0.25">
      <c r="A140" s="18">
        <v>2008</v>
      </c>
      <c r="B140" s="19">
        <v>8205.5329999999994</v>
      </c>
      <c r="C140" s="19">
        <v>10403.950999999999</v>
      </c>
      <c r="D140" s="19">
        <v>196343</v>
      </c>
      <c r="E140" s="19">
        <v>33213</v>
      </c>
      <c r="F140" s="19">
        <v>5484.723</v>
      </c>
      <c r="G140" s="19">
        <v>5244.7489999999998</v>
      </c>
      <c r="H140" s="19">
        <v>64058</v>
      </c>
      <c r="I140" s="19">
        <v>82369.547999999995</v>
      </c>
      <c r="J140" s="19">
        <v>58145.321000000004</v>
      </c>
      <c r="K140" s="21">
        <v>127288</v>
      </c>
      <c r="L140" s="19">
        <v>16645.312999999998</v>
      </c>
      <c r="M140" s="19">
        <v>4173</v>
      </c>
      <c r="N140" s="19">
        <v>4644.4570000000003</v>
      </c>
      <c r="O140" s="19">
        <v>10676.91</v>
      </c>
      <c r="P140" s="19">
        <v>40491.050999999999</v>
      </c>
      <c r="Q140" s="21">
        <v>21128.773000000001</v>
      </c>
      <c r="R140" s="19">
        <v>9045</v>
      </c>
      <c r="S140" s="19">
        <v>7581.52</v>
      </c>
      <c r="T140" s="19">
        <v>60943.911999999997</v>
      </c>
      <c r="U140" s="19">
        <v>304228</v>
      </c>
      <c r="V140" s="19">
        <v>3478</v>
      </c>
      <c r="W140" s="20"/>
      <c r="X140" s="27">
        <f t="shared" si="86"/>
        <v>9.0125639618043625</v>
      </c>
      <c r="Y140" s="27">
        <f t="shared" si="87"/>
        <v>9.2499409168304236</v>
      </c>
      <c r="Z140" s="27">
        <f t="shared" si="88"/>
        <v>12.187618408746772</v>
      </c>
      <c r="AA140" s="27">
        <f t="shared" si="89"/>
        <v>10.410696644527576</v>
      </c>
      <c r="AB140" s="27">
        <f t="shared" si="90"/>
        <v>8.6097218700667284</v>
      </c>
      <c r="AC140" s="27">
        <f t="shared" si="91"/>
        <v>8.5649826645852105</v>
      </c>
      <c r="AD140" s="27">
        <f t="shared" si="92"/>
        <v>11.067544201945207</v>
      </c>
      <c r="AE140" s="27">
        <f t="shared" si="93"/>
        <v>11.318971084485492</v>
      </c>
      <c r="AF140" s="27">
        <f t="shared" si="94"/>
        <v>10.970700690392961</v>
      </c>
      <c r="AG140" s="27">
        <f t="shared" si="95"/>
        <v>11.754207514587693</v>
      </c>
      <c r="AH140" s="27">
        <f t="shared" si="96"/>
        <v>9.719883954278103</v>
      </c>
      <c r="AI140" s="27">
        <f t="shared" si="97"/>
        <v>8.3363904805915521</v>
      </c>
      <c r="AJ140" s="27">
        <f t="shared" si="98"/>
        <v>8.4434297445222573</v>
      </c>
      <c r="AK140" s="27">
        <f t="shared" si="99"/>
        <v>9.2758387448086932</v>
      </c>
      <c r="AL140" s="27">
        <f t="shared" si="100"/>
        <v>10.608836265715755</v>
      </c>
      <c r="AM140" s="27">
        <f t="shared" si="101"/>
        <v>9.9583910398279549</v>
      </c>
      <c r="AN140" s="27">
        <f t="shared" si="102"/>
        <v>9.1099673978293954</v>
      </c>
      <c r="AO140" s="27">
        <f t="shared" si="103"/>
        <v>8.9334689862379104</v>
      </c>
      <c r="AP140" s="27">
        <f t="shared" si="104"/>
        <v>11.017709244768799</v>
      </c>
      <c r="AQ140" s="27">
        <f t="shared" si="105"/>
        <v>12.625532699278905</v>
      </c>
      <c r="AR140" s="27">
        <f t="shared" si="106"/>
        <v>8.1542126949142286</v>
      </c>
      <c r="AS140" s="19"/>
      <c r="AT140" s="29">
        <f t="shared" si="107"/>
        <v>7.0099231681375329E-4</v>
      </c>
      <c r="AU140" s="29">
        <f t="shared" si="108"/>
        <v>1.1276112183864484E-3</v>
      </c>
      <c r="AV140" s="29">
        <f t="shared" si="109"/>
        <v>1.2422583662658582E-2</v>
      </c>
      <c r="AW140" s="29">
        <f t="shared" si="110"/>
        <v>2.5215134894159164E-2</v>
      </c>
      <c r="AX140" s="29">
        <f t="shared" si="111"/>
        <v>3.031726596834261E-3</v>
      </c>
      <c r="AY140" s="29">
        <f t="shared" si="112"/>
        <v>1.1998235949430835E-3</v>
      </c>
      <c r="AZ140" s="29">
        <f t="shared" si="113"/>
        <v>5.8869748849570414E-3</v>
      </c>
      <c r="BA140" s="29">
        <f t="shared" si="114"/>
        <v>-3.8171871766046195E-4</v>
      </c>
      <c r="BB140" s="29">
        <f t="shared" si="115"/>
        <v>-4.1481411267696444E-5</v>
      </c>
      <c r="BC140" s="29">
        <f t="shared" si="116"/>
        <v>-1.1385006784845331E-3</v>
      </c>
      <c r="BD140" s="29">
        <f t="shared" si="117"/>
        <v>4.4978499732799548E-3</v>
      </c>
      <c r="BE140" s="29">
        <f t="shared" si="118"/>
        <v>9.8736503520235885E-3</v>
      </c>
      <c r="BF140" s="29">
        <f t="shared" si="119"/>
        <v>3.5656459648745198E-3</v>
      </c>
      <c r="BG140" s="29">
        <f t="shared" si="120"/>
        <v>3.1964760755105459E-3</v>
      </c>
      <c r="BH140" s="29">
        <f t="shared" si="121"/>
        <v>1.0590661080343011E-3</v>
      </c>
      <c r="BI140" s="29">
        <f t="shared" si="122"/>
        <v>9.6283029561980982E-3</v>
      </c>
      <c r="BJ140" s="29">
        <f t="shared" si="123"/>
        <v>1.5490155785968795E-3</v>
      </c>
      <c r="BK140" s="29">
        <f t="shared" si="124"/>
        <v>3.5489834841939683E-3</v>
      </c>
      <c r="BL140" s="29">
        <f t="shared" si="125"/>
        <v>2.7550755739280675E-3</v>
      </c>
      <c r="BM140" s="29">
        <f t="shared" si="126"/>
        <v>9.737355387924751E-3</v>
      </c>
      <c r="BN140" s="29">
        <f t="shared" si="127"/>
        <v>4.8998512788838156E-3</v>
      </c>
      <c r="BO140" s="20"/>
      <c r="BP140" s="19"/>
      <c r="BR140" s="19"/>
      <c r="BS140" s="19"/>
      <c r="BT140" s="19"/>
      <c r="BU140" s="19"/>
      <c r="BW140" s="19"/>
      <c r="BX140" s="20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20"/>
      <c r="CO140" s="19"/>
      <c r="CP140" s="20"/>
      <c r="DG140" s="24"/>
      <c r="DO140" s="24"/>
      <c r="EE140" s="24"/>
      <c r="EF140" s="20"/>
      <c r="GH140" s="24"/>
      <c r="GI140" s="19"/>
      <c r="GJ140" s="25"/>
    </row>
    <row r="141" spans="1:192" x14ac:dyDescent="0.25">
      <c r="A141" s="18">
        <v>2009</v>
      </c>
      <c r="B141" s="19">
        <v>8210</v>
      </c>
      <c r="C141" s="19">
        <v>10414</v>
      </c>
      <c r="D141" s="19">
        <v>198739</v>
      </c>
      <c r="E141" s="19">
        <v>33487</v>
      </c>
      <c r="F141" s="19">
        <v>5501</v>
      </c>
      <c r="G141" s="19">
        <v>5250</v>
      </c>
      <c r="H141" s="19">
        <v>64424</v>
      </c>
      <c r="I141" s="19">
        <v>82330</v>
      </c>
      <c r="J141" s="19">
        <v>58126</v>
      </c>
      <c r="K141" s="21">
        <v>127079</v>
      </c>
      <c r="L141" s="19">
        <v>16716</v>
      </c>
      <c r="M141" s="19">
        <v>4213</v>
      </c>
      <c r="N141" s="19">
        <v>4661</v>
      </c>
      <c r="O141" s="19">
        <v>10708</v>
      </c>
      <c r="P141" s="19">
        <v>40525</v>
      </c>
      <c r="Q141" s="21">
        <v>21325</v>
      </c>
      <c r="R141" s="19">
        <v>9060</v>
      </c>
      <c r="S141" s="19">
        <v>7604</v>
      </c>
      <c r="T141" s="19">
        <v>61113</v>
      </c>
      <c r="U141" s="19">
        <v>307277</v>
      </c>
      <c r="V141" s="19">
        <v>3494</v>
      </c>
      <c r="W141" s="20"/>
      <c r="X141" s="27">
        <f t="shared" si="86"/>
        <v>9.0131082024464746</v>
      </c>
      <c r="Y141" s="27">
        <f t="shared" si="87"/>
        <v>9.2509063337228437</v>
      </c>
      <c r="Z141" s="27">
        <f t="shared" si="88"/>
        <v>12.199747685072987</v>
      </c>
      <c r="AA141" s="27">
        <f t="shared" si="89"/>
        <v>10.418912582797015</v>
      </c>
      <c r="AB141" s="27">
        <f t="shared" si="90"/>
        <v>8.6126851728754588</v>
      </c>
      <c r="AC141" s="27">
        <f t="shared" si="91"/>
        <v>8.5659833555856686</v>
      </c>
      <c r="AD141" s="27">
        <f t="shared" si="92"/>
        <v>11.073241513475381</v>
      </c>
      <c r="AE141" s="27">
        <f t="shared" si="93"/>
        <v>11.318490840292471</v>
      </c>
      <c r="AF141" s="27">
        <f t="shared" si="94"/>
        <v>10.97036834704274</v>
      </c>
      <c r="AG141" s="27">
        <f t="shared" si="95"/>
        <v>11.75256421929363</v>
      </c>
      <c r="AH141" s="27">
        <f t="shared" si="96"/>
        <v>9.7241216235678056</v>
      </c>
      <c r="AI141" s="27">
        <f t="shared" si="97"/>
        <v>8.3459302619790172</v>
      </c>
      <c r="AJ141" s="27">
        <f t="shared" si="98"/>
        <v>8.4469852963727412</v>
      </c>
      <c r="AK141" s="27">
        <f t="shared" si="99"/>
        <v>9.278746404640243</v>
      </c>
      <c r="AL141" s="27">
        <f t="shared" si="100"/>
        <v>10.609674346603876</v>
      </c>
      <c r="AM141" s="27">
        <f t="shared" si="101"/>
        <v>9.9676353723598794</v>
      </c>
      <c r="AN141" s="27">
        <f t="shared" si="102"/>
        <v>9.1116243990370247</v>
      </c>
      <c r="AO141" s="27">
        <f t="shared" si="103"/>
        <v>8.9364297036083205</v>
      </c>
      <c r="AP141" s="27">
        <f t="shared" si="104"/>
        <v>11.020479888485667</v>
      </c>
      <c r="AQ141" s="27">
        <f t="shared" si="105"/>
        <v>12.635504899889597</v>
      </c>
      <c r="AR141" s="27">
        <f t="shared" si="106"/>
        <v>8.1588024906940024</v>
      </c>
      <c r="AS141" s="19"/>
      <c r="AT141" s="29">
        <f t="shared" si="107"/>
        <v>5.4424064211211487E-4</v>
      </c>
      <c r="AU141" s="29">
        <f t="shared" si="108"/>
        <v>9.6541689242002349E-4</v>
      </c>
      <c r="AV141" s="29">
        <f t="shared" si="109"/>
        <v>1.2129276326215077E-2</v>
      </c>
      <c r="AW141" s="29">
        <f t="shared" si="110"/>
        <v>8.2159382694388938E-3</v>
      </c>
      <c r="AX141" s="29">
        <f t="shared" si="111"/>
        <v>2.9633028087303614E-3</v>
      </c>
      <c r="AY141" s="29">
        <f t="shared" si="112"/>
        <v>1.000691000458076E-3</v>
      </c>
      <c r="AZ141" s="29">
        <f t="shared" si="113"/>
        <v>5.6973115301737209E-3</v>
      </c>
      <c r="BA141" s="29">
        <f t="shared" si="114"/>
        <v>-4.8024419302095112E-4</v>
      </c>
      <c r="BB141" s="29">
        <f t="shared" si="115"/>
        <v>-3.3234335022136463E-4</v>
      </c>
      <c r="BC141" s="29">
        <f t="shared" si="116"/>
        <v>-1.6432952940625967E-3</v>
      </c>
      <c r="BD141" s="29">
        <f t="shared" si="117"/>
        <v>4.2376692897025947E-3</v>
      </c>
      <c r="BE141" s="29">
        <f t="shared" si="118"/>
        <v>9.5397813874651405E-3</v>
      </c>
      <c r="BF141" s="29">
        <f t="shared" si="119"/>
        <v>3.5555518504839512E-3</v>
      </c>
      <c r="BG141" s="29">
        <f t="shared" si="120"/>
        <v>2.9076598315498359E-3</v>
      </c>
      <c r="BH141" s="29">
        <f t="shared" si="121"/>
        <v>8.3808088812098447E-4</v>
      </c>
      <c r="BI141" s="29">
        <f t="shared" si="122"/>
        <v>9.2443325319244707E-3</v>
      </c>
      <c r="BJ141" s="29">
        <f t="shared" si="123"/>
        <v>1.6570012076293494E-3</v>
      </c>
      <c r="BK141" s="29">
        <f t="shared" si="124"/>
        <v>2.9607173704100376E-3</v>
      </c>
      <c r="BL141" s="29">
        <f t="shared" si="125"/>
        <v>2.770643716868193E-3</v>
      </c>
      <c r="BM141" s="29">
        <f t="shared" si="126"/>
        <v>9.9722006106919281E-3</v>
      </c>
      <c r="BN141" s="29">
        <f t="shared" si="127"/>
        <v>4.5897957797738087E-3</v>
      </c>
      <c r="BO141" s="20"/>
      <c r="BP141" s="19"/>
      <c r="BR141" s="19"/>
      <c r="BS141" s="19"/>
      <c r="BT141" s="19"/>
      <c r="BU141" s="19"/>
      <c r="BW141" s="19"/>
      <c r="BX141" s="20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20"/>
      <c r="CO141" s="19"/>
      <c r="CP141" s="20"/>
      <c r="DG141" s="24"/>
      <c r="DO141" s="24"/>
      <c r="EE141" s="24"/>
      <c r="EF141" s="20"/>
      <c r="GI141" s="19"/>
      <c r="GJ141" s="22"/>
    </row>
    <row r="142" spans="1:192" x14ac:dyDescent="0.25">
      <c r="A142" s="18">
        <v>2010</v>
      </c>
      <c r="B142" s="19">
        <v>8213</v>
      </c>
      <c r="C142" s="19">
        <v>10423</v>
      </c>
      <c r="D142" s="19">
        <v>201139</v>
      </c>
      <c r="E142" s="19">
        <v>33657</v>
      </c>
      <c r="F142" s="19">
        <v>5517</v>
      </c>
      <c r="G142" s="19">
        <v>5254</v>
      </c>
      <c r="H142" s="19">
        <v>64760</v>
      </c>
      <c r="I142" s="19">
        <v>82380</v>
      </c>
      <c r="J142" s="19">
        <v>58136</v>
      </c>
      <c r="K142" s="21">
        <v>127217</v>
      </c>
      <c r="L142" s="19">
        <v>16779</v>
      </c>
      <c r="M142" s="19">
        <v>4252</v>
      </c>
      <c r="N142" s="19">
        <v>4677</v>
      </c>
      <c r="O142" s="19">
        <v>10739</v>
      </c>
      <c r="P142" s="19">
        <v>40556</v>
      </c>
      <c r="Q142" s="21">
        <v>21484</v>
      </c>
      <c r="R142" s="19">
        <v>9074</v>
      </c>
      <c r="S142" s="19">
        <v>7636</v>
      </c>
      <c r="T142" s="19">
        <v>61282</v>
      </c>
      <c r="U142" s="19">
        <v>310212</v>
      </c>
      <c r="V142" s="19">
        <v>3507</v>
      </c>
      <c r="W142" s="20"/>
      <c r="X142" s="27">
        <f t="shared" si="86"/>
        <v>9.0134735437401918</v>
      </c>
      <c r="Y142" s="27">
        <f t="shared" si="87"/>
        <v>9.2517701817393228</v>
      </c>
      <c r="Z142" s="27">
        <f t="shared" si="88"/>
        <v>12.211751490324584</v>
      </c>
      <c r="AA142" s="27">
        <f t="shared" si="89"/>
        <v>10.423976337213075</v>
      </c>
      <c r="AB142" s="27">
        <f t="shared" si="90"/>
        <v>8.6155895132724307</v>
      </c>
      <c r="AC142" s="27">
        <f t="shared" si="91"/>
        <v>8.5667449702454856</v>
      </c>
      <c r="AD142" s="27">
        <f t="shared" si="92"/>
        <v>11.078443407791571</v>
      </c>
      <c r="AE142" s="27">
        <f t="shared" si="93"/>
        <v>11.319097967990071</v>
      </c>
      <c r="AF142" s="27">
        <f t="shared" si="94"/>
        <v>10.970540372296472</v>
      </c>
      <c r="AG142" s="27">
        <f t="shared" si="95"/>
        <v>11.753649568756829</v>
      </c>
      <c r="AH142" s="27">
        <f t="shared" si="96"/>
        <v>9.7278833834896972</v>
      </c>
      <c r="AI142" s="27">
        <f t="shared" si="97"/>
        <v>8.3551447394618386</v>
      </c>
      <c r="AJ142" s="27">
        <f t="shared" si="98"/>
        <v>8.4504121577258857</v>
      </c>
      <c r="AK142" s="27">
        <f t="shared" si="99"/>
        <v>9.2816372538582161</v>
      </c>
      <c r="AL142" s="27">
        <f t="shared" si="100"/>
        <v>10.610439014072471</v>
      </c>
      <c r="AM142" s="27">
        <f t="shared" si="101"/>
        <v>9.9750637510253508</v>
      </c>
      <c r="AN142" s="27">
        <f t="shared" si="102"/>
        <v>9.1131684602239087</v>
      </c>
      <c r="AO142" s="27">
        <f t="shared" si="103"/>
        <v>8.9406291848456387</v>
      </c>
      <c r="AP142" s="27">
        <f t="shared" si="104"/>
        <v>11.023241440957614</v>
      </c>
      <c r="AQ142" s="27">
        <f t="shared" si="105"/>
        <v>12.645011213695877</v>
      </c>
      <c r="AR142" s="27">
        <f t="shared" si="106"/>
        <v>8.1625162501401789</v>
      </c>
      <c r="AS142" s="19"/>
      <c r="AT142" s="29">
        <f t="shared" si="107"/>
        <v>3.6534129371723623E-4</v>
      </c>
      <c r="AU142" s="29">
        <f t="shared" si="108"/>
        <v>8.6384801647909626E-4</v>
      </c>
      <c r="AV142" s="29">
        <f t="shared" si="109"/>
        <v>1.2003805251596944E-2</v>
      </c>
      <c r="AW142" s="29">
        <f t="shared" si="110"/>
        <v>5.0637544160601067E-3</v>
      </c>
      <c r="AX142" s="29">
        <f t="shared" si="111"/>
        <v>2.9043403969719606E-3</v>
      </c>
      <c r="AY142" s="29">
        <f t="shared" si="112"/>
        <v>7.6161465981705589E-4</v>
      </c>
      <c r="AZ142" s="29">
        <f t="shared" si="113"/>
        <v>5.2018943161904474E-3</v>
      </c>
      <c r="BA142" s="29">
        <f t="shared" si="114"/>
        <v>6.0712769760051799E-4</v>
      </c>
      <c r="BB142" s="29">
        <f t="shared" si="115"/>
        <v>1.7202525373249955E-4</v>
      </c>
      <c r="BC142" s="29">
        <f t="shared" si="116"/>
        <v>1.085349463199492E-3</v>
      </c>
      <c r="BD142" s="29">
        <f t="shared" si="117"/>
        <v>3.7617599218915387E-3</v>
      </c>
      <c r="BE142" s="29">
        <f t="shared" si="118"/>
        <v>9.2144774828213372E-3</v>
      </c>
      <c r="BF142" s="29">
        <f t="shared" si="119"/>
        <v>3.4268613531445169E-3</v>
      </c>
      <c r="BG142" s="29">
        <f t="shared" si="120"/>
        <v>2.8908492179731127E-3</v>
      </c>
      <c r="BH142" s="29">
        <f t="shared" si="121"/>
        <v>7.6466746859438217E-4</v>
      </c>
      <c r="BI142" s="29">
        <f t="shared" si="122"/>
        <v>7.4283786654714135E-3</v>
      </c>
      <c r="BJ142" s="29">
        <f t="shared" si="123"/>
        <v>1.5440611868839937E-3</v>
      </c>
      <c r="BK142" s="29">
        <f t="shared" si="124"/>
        <v>4.199481237318281E-3</v>
      </c>
      <c r="BL142" s="29">
        <f t="shared" si="125"/>
        <v>2.7615524719468709E-3</v>
      </c>
      <c r="BM142" s="29">
        <f t="shared" si="126"/>
        <v>9.5063138062805308E-3</v>
      </c>
      <c r="BN142" s="29">
        <f t="shared" si="127"/>
        <v>3.7137594461764678E-3</v>
      </c>
      <c r="BO142" s="20"/>
      <c r="BP142" s="19"/>
      <c r="BR142" s="19"/>
      <c r="BS142" s="19"/>
      <c r="BT142" s="19"/>
      <c r="BU142" s="19"/>
      <c r="BW142" s="19"/>
      <c r="BX142" s="20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20"/>
      <c r="CO142" s="19"/>
      <c r="CP142" s="20"/>
      <c r="CS142" s="19"/>
      <c r="DG142" s="24"/>
      <c r="DO142" s="24"/>
      <c r="EE142" s="24"/>
      <c r="EF142" s="20"/>
      <c r="GH142" s="24"/>
      <c r="GI142" s="19"/>
      <c r="GJ142" s="22"/>
    </row>
    <row r="143" spans="1:192" x14ac:dyDescent="0.25">
      <c r="A143" s="18">
        <v>2011</v>
      </c>
      <c r="B143" s="19">
        <v>8217</v>
      </c>
      <c r="C143" s="19">
        <v>10434</v>
      </c>
      <c r="D143" s="19">
        <v>203436</v>
      </c>
      <c r="E143" s="19">
        <v>33837</v>
      </c>
      <c r="F143" s="19">
        <v>5533</v>
      </c>
      <c r="G143" s="19">
        <v>5259</v>
      </c>
      <c r="H143" s="19">
        <v>65123</v>
      </c>
      <c r="I143" s="19">
        <v>82410</v>
      </c>
      <c r="J143" s="19">
        <v>58145</v>
      </c>
      <c r="K143" s="21">
        <v>127379</v>
      </c>
      <c r="L143" s="19">
        <v>16836</v>
      </c>
      <c r="M143" s="19">
        <v>4293</v>
      </c>
      <c r="N143" s="19">
        <v>4694</v>
      </c>
      <c r="O143" s="19">
        <v>10775</v>
      </c>
      <c r="P143" s="19">
        <v>40593</v>
      </c>
      <c r="Q143" s="21">
        <v>21655</v>
      </c>
      <c r="R143" s="19">
        <v>9088</v>
      </c>
      <c r="S143" s="19">
        <v>7665</v>
      </c>
      <c r="T143" s="19">
        <v>61453</v>
      </c>
      <c r="U143" s="19">
        <v>312756</v>
      </c>
      <c r="V143" s="19">
        <v>3522</v>
      </c>
      <c r="W143" s="20"/>
      <c r="X143" s="27">
        <f t="shared" si="86"/>
        <v>9.0139604579311872</v>
      </c>
      <c r="Y143" s="27">
        <f t="shared" si="87"/>
        <v>9.2528249835823377</v>
      </c>
      <c r="Z143" s="27">
        <f t="shared" si="88"/>
        <v>12.223106738085953</v>
      </c>
      <c r="AA143" s="27">
        <f t="shared" si="89"/>
        <v>10.429310157308027</v>
      </c>
      <c r="AB143" s="27">
        <f t="shared" si="90"/>
        <v>8.618485442898109</v>
      </c>
      <c r="AC143" s="27">
        <f t="shared" si="91"/>
        <v>8.5676961735893435</v>
      </c>
      <c r="AD143" s="27">
        <f t="shared" si="92"/>
        <v>11.084033068411356</v>
      </c>
      <c r="AE143" s="27">
        <f t="shared" si="93"/>
        <v>11.31946206775743</v>
      </c>
      <c r="AF143" s="27">
        <f t="shared" si="94"/>
        <v>10.970695169727144</v>
      </c>
      <c r="AG143" s="27">
        <f t="shared" si="95"/>
        <v>11.754922173368556</v>
      </c>
      <c r="AH143" s="27">
        <f t="shared" si="96"/>
        <v>9.7312747298904618</v>
      </c>
      <c r="AI143" s="27">
        <f t="shared" si="97"/>
        <v>8.3647410682245606</v>
      </c>
      <c r="AJ143" s="27">
        <f t="shared" si="98"/>
        <v>8.4540403764109691</v>
      </c>
      <c r="AK143" s="27">
        <f t="shared" si="99"/>
        <v>9.2849839149719493</v>
      </c>
      <c r="AL143" s="27">
        <f t="shared" si="100"/>
        <v>10.611350916931753</v>
      </c>
      <c r="AM143" s="27">
        <f t="shared" si="101"/>
        <v>9.9829916536487264</v>
      </c>
      <c r="AN143" s="27">
        <f t="shared" si="102"/>
        <v>9.1147101409609323</v>
      </c>
      <c r="AO143" s="27">
        <f t="shared" si="103"/>
        <v>8.9444197913059149</v>
      </c>
      <c r="AP143" s="27">
        <f t="shared" si="104"/>
        <v>11.026027933981522</v>
      </c>
      <c r="AQ143" s="27">
        <f t="shared" si="105"/>
        <v>12.653178612797413</v>
      </c>
      <c r="AR143" s="27">
        <f t="shared" si="106"/>
        <v>8.1667842890561513</v>
      </c>
      <c r="AS143" s="19"/>
      <c r="AT143" s="29">
        <f t="shared" si="107"/>
        <v>4.8691419099533562E-4</v>
      </c>
      <c r="AU143" s="29">
        <f t="shared" si="108"/>
        <v>1.0548018430149853E-3</v>
      </c>
      <c r="AV143" s="29">
        <f t="shared" si="109"/>
        <v>1.1355247761368759E-2</v>
      </c>
      <c r="AW143" s="29">
        <f t="shared" si="110"/>
        <v>5.3338200949522019E-3</v>
      </c>
      <c r="AX143" s="29">
        <f t="shared" si="111"/>
        <v>2.8959296256783063E-3</v>
      </c>
      <c r="AY143" s="29">
        <f t="shared" si="112"/>
        <v>9.5120334385789818E-4</v>
      </c>
      <c r="AZ143" s="29">
        <f t="shared" si="113"/>
        <v>5.5896606197851639E-3</v>
      </c>
      <c r="BA143" s="29">
        <f t="shared" si="114"/>
        <v>3.6409976735818361E-4</v>
      </c>
      <c r="BB143" s="29">
        <f t="shared" si="115"/>
        <v>1.5479743067103868E-4</v>
      </c>
      <c r="BC143" s="29">
        <f t="shared" si="116"/>
        <v>1.2726046117261802E-3</v>
      </c>
      <c r="BD143" s="29">
        <f t="shared" si="117"/>
        <v>3.391346400764661E-3</v>
      </c>
      <c r="BE143" s="29">
        <f t="shared" si="118"/>
        <v>9.596328762722095E-3</v>
      </c>
      <c r="BF143" s="29">
        <f t="shared" si="119"/>
        <v>3.6282186850833398E-3</v>
      </c>
      <c r="BG143" s="29">
        <f t="shared" si="120"/>
        <v>3.3466611137331626E-3</v>
      </c>
      <c r="BH143" s="29">
        <f t="shared" si="121"/>
        <v>9.1190285928277603E-4</v>
      </c>
      <c r="BI143" s="29">
        <f t="shared" si="122"/>
        <v>7.9279026233756156E-3</v>
      </c>
      <c r="BJ143" s="29">
        <f t="shared" si="123"/>
        <v>1.541680737023654E-3</v>
      </c>
      <c r="BK143" s="29">
        <f t="shared" si="124"/>
        <v>3.7906064602761802E-3</v>
      </c>
      <c r="BL143" s="29">
        <f t="shared" si="125"/>
        <v>2.7864930239083208E-3</v>
      </c>
      <c r="BM143" s="29">
        <f t="shared" si="126"/>
        <v>8.167399101536077E-3</v>
      </c>
      <c r="BN143" s="29">
        <f t="shared" si="127"/>
        <v>4.2680389159723831E-3</v>
      </c>
      <c r="BO143" s="20"/>
      <c r="BP143" s="19"/>
      <c r="BR143" s="19"/>
      <c r="BS143" s="19"/>
      <c r="BT143" s="19"/>
      <c r="BU143" s="19"/>
      <c r="BW143" s="19"/>
      <c r="BX143" s="20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20"/>
      <c r="CO143" s="19"/>
      <c r="CP143" s="20"/>
      <c r="DG143" s="24"/>
      <c r="DO143" s="24"/>
      <c r="EE143" s="24"/>
      <c r="EF143" s="20"/>
      <c r="GI143" s="19"/>
      <c r="GJ143" s="22"/>
    </row>
    <row r="144" spans="1:192" x14ac:dyDescent="0.25">
      <c r="A144" s="18">
        <v>2012</v>
      </c>
      <c r="B144" s="19">
        <v>8221</v>
      </c>
      <c r="C144" s="19">
        <v>10437</v>
      </c>
      <c r="D144" s="19">
        <v>205439</v>
      </c>
      <c r="E144" s="19">
        <v>34187</v>
      </c>
      <c r="F144" s="19">
        <v>5545</v>
      </c>
      <c r="G144" s="19">
        <v>5264</v>
      </c>
      <c r="H144" s="19">
        <v>65420</v>
      </c>
      <c r="I144" s="19">
        <v>82422</v>
      </c>
      <c r="J144" s="19">
        <v>58151</v>
      </c>
      <c r="K144" s="21">
        <v>127426</v>
      </c>
      <c r="L144" s="19">
        <v>16888</v>
      </c>
      <c r="M144" s="19">
        <v>4333</v>
      </c>
      <c r="N144" s="19">
        <v>4711</v>
      </c>
      <c r="O144" s="19">
        <v>10808</v>
      </c>
      <c r="P144" s="19">
        <v>40625</v>
      </c>
      <c r="Q144" s="21">
        <v>21832</v>
      </c>
      <c r="R144" s="19">
        <v>9104</v>
      </c>
      <c r="S144" s="19">
        <v>7698</v>
      </c>
      <c r="T144" s="19">
        <v>61623</v>
      </c>
      <c r="U144" s="19">
        <v>314312</v>
      </c>
      <c r="V144" s="19">
        <v>3541</v>
      </c>
      <c r="X144" s="27">
        <f t="shared" si="86"/>
        <v>9.0144471351521336</v>
      </c>
      <c r="Y144" s="27">
        <f t="shared" si="87"/>
        <v>9.2531124638200524</v>
      </c>
      <c r="Z144" s="27">
        <f t="shared" si="88"/>
        <v>12.23290443187064</v>
      </c>
      <c r="AA144" s="27">
        <f t="shared" si="89"/>
        <v>10.439600733828868</v>
      </c>
      <c r="AB144" s="27">
        <f t="shared" si="90"/>
        <v>8.6206518997844679</v>
      </c>
      <c r="AC144" s="27">
        <f t="shared" si="91"/>
        <v>8.5686464730051526</v>
      </c>
      <c r="AD144" s="27">
        <f t="shared" si="92"/>
        <v>11.088583301092376</v>
      </c>
      <c r="AE144" s="27">
        <f t="shared" si="93"/>
        <v>11.31960767055326</v>
      </c>
      <c r="AF144" s="27">
        <f t="shared" si="94"/>
        <v>10.970798354703502</v>
      </c>
      <c r="AG144" s="27">
        <f t="shared" si="95"/>
        <v>11.755291082931029</v>
      </c>
      <c r="AH144" s="27">
        <f t="shared" si="96"/>
        <v>9.7343585895281564</v>
      </c>
      <c r="AI144" s="27">
        <f t="shared" si="97"/>
        <v>8.3740154217399088</v>
      </c>
      <c r="AJ144" s="27">
        <f t="shared" si="98"/>
        <v>8.4576554787000404</v>
      </c>
      <c r="AK144" s="27">
        <f t="shared" si="99"/>
        <v>9.2880418796400352</v>
      </c>
      <c r="AL144" s="27">
        <f t="shared" si="100"/>
        <v>10.612138919632038</v>
      </c>
      <c r="AM144" s="27">
        <f t="shared" si="101"/>
        <v>9.991132062388175</v>
      </c>
      <c r="AN144" s="27">
        <f t="shared" si="102"/>
        <v>9.1164691563661115</v>
      </c>
      <c r="AO144" s="27">
        <f t="shared" si="103"/>
        <v>8.948715833843691</v>
      </c>
      <c r="AP144" s="27">
        <f t="shared" si="104"/>
        <v>11.028790456457282</v>
      </c>
      <c r="AQ144" s="27">
        <f t="shared" si="105"/>
        <v>12.658141402139542</v>
      </c>
      <c r="AR144" s="27">
        <f t="shared" si="106"/>
        <v>8.1721644521119039</v>
      </c>
      <c r="AT144" s="29">
        <f t="shared" si="107"/>
        <v>4.8667722094641874E-4</v>
      </c>
      <c r="AU144" s="29">
        <f t="shared" si="108"/>
        <v>2.8748023771463238E-4</v>
      </c>
      <c r="AV144" s="29">
        <f t="shared" si="109"/>
        <v>9.7976937846873113E-3</v>
      </c>
      <c r="AW144" s="29">
        <f t="shared" si="110"/>
        <v>1.0290576520841199E-2</v>
      </c>
      <c r="AX144" s="29">
        <f t="shared" si="111"/>
        <v>2.1664568863588585E-3</v>
      </c>
      <c r="AY144" s="29">
        <f t="shared" si="112"/>
        <v>9.5029941580904165E-4</v>
      </c>
      <c r="AZ144" s="29">
        <f t="shared" si="113"/>
        <v>4.5502326810193949E-3</v>
      </c>
      <c r="BA144" s="29">
        <f t="shared" si="114"/>
        <v>1.456027958308681E-4</v>
      </c>
      <c r="BB144" s="29">
        <f t="shared" si="115"/>
        <v>1.0318497635886104E-4</v>
      </c>
      <c r="BC144" s="29">
        <f t="shared" si="116"/>
        <v>3.6890956247326301E-4</v>
      </c>
      <c r="BD144" s="29">
        <f t="shared" si="117"/>
        <v>3.0838596376945304E-3</v>
      </c>
      <c r="BE144" s="29">
        <f t="shared" si="118"/>
        <v>9.2743535153481105E-3</v>
      </c>
      <c r="BF144" s="29">
        <f t="shared" si="119"/>
        <v>3.6151022890713591E-3</v>
      </c>
      <c r="BG144" s="29">
        <f t="shared" si="120"/>
        <v>3.057964668085944E-3</v>
      </c>
      <c r="BH144" s="29">
        <f t="shared" si="121"/>
        <v>7.8800270028445141E-4</v>
      </c>
      <c r="BI144" s="29">
        <f t="shared" si="122"/>
        <v>8.1404087394485458E-3</v>
      </c>
      <c r="BJ144" s="29">
        <f t="shared" si="123"/>
        <v>1.7590154051791984E-3</v>
      </c>
      <c r="BK144" s="29">
        <f t="shared" si="124"/>
        <v>4.2960425377760458E-3</v>
      </c>
      <c r="BL144" s="29">
        <f t="shared" si="125"/>
        <v>2.7625224757592548E-3</v>
      </c>
      <c r="BM144" s="29">
        <f t="shared" si="126"/>
        <v>4.9627893421284597E-3</v>
      </c>
      <c r="BN144" s="29">
        <f t="shared" si="127"/>
        <v>5.3801630557526181E-3</v>
      </c>
    </row>
    <row r="145" spans="1:66" x14ac:dyDescent="0.25">
      <c r="A145" s="18">
        <v>2013</v>
      </c>
      <c r="B145" s="19">
        <v>8215</v>
      </c>
      <c r="C145" s="19">
        <v>10443</v>
      </c>
      <c r="D145" s="19">
        <v>207432</v>
      </c>
      <c r="E145" s="19">
        <v>34587</v>
      </c>
      <c r="F145" s="19">
        <v>5561</v>
      </c>
      <c r="G145" s="19">
        <v>5269</v>
      </c>
      <c r="H145" s="19">
        <v>65741</v>
      </c>
      <c r="I145" s="19">
        <v>82413</v>
      </c>
      <c r="J145" s="19">
        <v>58156</v>
      </c>
      <c r="K145" s="21">
        <v>127568</v>
      </c>
      <c r="L145" s="19">
        <v>16916</v>
      </c>
      <c r="M145" s="19">
        <v>4374</v>
      </c>
      <c r="N145" s="19">
        <v>4726</v>
      </c>
      <c r="O145" s="19">
        <v>10823</v>
      </c>
      <c r="P145" s="19">
        <v>40658</v>
      </c>
      <c r="Q145" s="21">
        <v>22054</v>
      </c>
      <c r="R145" s="19">
        <v>9116</v>
      </c>
      <c r="S145" s="19">
        <v>7724</v>
      </c>
      <c r="T145" s="19">
        <v>61789</v>
      </c>
      <c r="U145" s="19">
        <v>317389</v>
      </c>
      <c r="V145" s="19">
        <v>3567</v>
      </c>
      <c r="X145" s="27">
        <f t="shared" si="86"/>
        <v>9.0137170304713692</v>
      </c>
      <c r="Y145" s="27">
        <f t="shared" si="87"/>
        <v>9.2536871764795485</v>
      </c>
      <c r="Z145" s="27">
        <f t="shared" si="88"/>
        <v>12.242558854100583</v>
      </c>
      <c r="AA145" s="27">
        <f t="shared" si="89"/>
        <v>10.451233167901064</v>
      </c>
      <c r="AB145" s="27">
        <f t="shared" si="90"/>
        <v>8.6235332271875631</v>
      </c>
      <c r="AC145" s="27">
        <f t="shared" si="91"/>
        <v>8.5695958702092856</v>
      </c>
      <c r="AD145" s="27">
        <f t="shared" si="92"/>
        <v>11.093478058541519</v>
      </c>
      <c r="AE145" s="27">
        <f t="shared" si="93"/>
        <v>11.319498470443952</v>
      </c>
      <c r="AF145" s="27">
        <f t="shared" si="94"/>
        <v>10.970884334051316</v>
      </c>
      <c r="AG145" s="27">
        <f t="shared" si="95"/>
        <v>11.756404834742277</v>
      </c>
      <c r="AH145" s="27">
        <f t="shared" si="96"/>
        <v>9.73601519859238</v>
      </c>
      <c r="AI145" s="27">
        <f t="shared" si="97"/>
        <v>8.3834332012367128</v>
      </c>
      <c r="AJ145" s="27">
        <f t="shared" si="98"/>
        <v>8.4608344577468539</v>
      </c>
      <c r="AK145" s="27">
        <f t="shared" si="99"/>
        <v>9.2894287782951466</v>
      </c>
      <c r="AL145" s="27">
        <f t="shared" si="100"/>
        <v>10.61295089758101</v>
      </c>
      <c r="AM145" s="27">
        <f t="shared" si="101"/>
        <v>10.001249270318624</v>
      </c>
      <c r="AN145" s="27">
        <f t="shared" si="102"/>
        <v>9.1177863903655751</v>
      </c>
      <c r="AO145" s="27">
        <f t="shared" si="103"/>
        <v>8.9520876435484045</v>
      </c>
      <c r="AP145" s="27">
        <f t="shared" si="104"/>
        <v>11.031480634075546</v>
      </c>
      <c r="AQ145" s="27">
        <f t="shared" si="105"/>
        <v>12.667883429889141</v>
      </c>
      <c r="AR145" s="27">
        <f t="shared" si="106"/>
        <v>8.1794801853588908</v>
      </c>
      <c r="AT145" s="29">
        <f t="shared" si="107"/>
        <v>-7.3010468076439849E-4</v>
      </c>
      <c r="AU145" s="29">
        <f t="shared" si="108"/>
        <v>5.7471265949615713E-4</v>
      </c>
      <c r="AV145" s="29">
        <f t="shared" si="109"/>
        <v>9.6544222299428384E-3</v>
      </c>
      <c r="AW145" s="29">
        <f t="shared" si="110"/>
        <v>1.1632434072195608E-2</v>
      </c>
      <c r="AX145" s="29">
        <f t="shared" si="111"/>
        <v>2.881327403095213E-3</v>
      </c>
      <c r="AY145" s="29">
        <f t="shared" si="112"/>
        <v>9.4939720413300677E-4</v>
      </c>
      <c r="AZ145" s="29">
        <f t="shared" si="113"/>
        <v>4.894757449143583E-3</v>
      </c>
      <c r="BA145" s="29">
        <f t="shared" si="114"/>
        <v>-1.0920010930881574E-4</v>
      </c>
      <c r="BB145" s="29">
        <f t="shared" si="115"/>
        <v>8.5979347813847085E-5</v>
      </c>
      <c r="BC145" s="29">
        <f t="shared" si="116"/>
        <v>1.1137518112480649E-3</v>
      </c>
      <c r="BD145" s="29">
        <f t="shared" si="117"/>
        <v>1.656609064223602E-3</v>
      </c>
      <c r="BE145" s="29">
        <f t="shared" si="118"/>
        <v>9.4177794968040018E-3</v>
      </c>
      <c r="BF145" s="29">
        <f t="shared" si="119"/>
        <v>3.1789790468135237E-3</v>
      </c>
      <c r="BG145" s="29">
        <f t="shared" si="120"/>
        <v>1.3868986551113238E-3</v>
      </c>
      <c r="BH145" s="29">
        <f t="shared" si="121"/>
        <v>8.1197794897214237E-4</v>
      </c>
      <c r="BI145" s="29">
        <f t="shared" si="122"/>
        <v>1.0117207930449013E-2</v>
      </c>
      <c r="BJ145" s="29">
        <f t="shared" si="123"/>
        <v>1.3172339994635962E-3</v>
      </c>
      <c r="BK145" s="29">
        <f t="shared" si="124"/>
        <v>3.3718097047135132E-3</v>
      </c>
      <c r="BL145" s="29">
        <f t="shared" si="125"/>
        <v>2.6901776182643999E-3</v>
      </c>
      <c r="BM145" s="29">
        <f t="shared" si="126"/>
        <v>9.7420277495992025E-3</v>
      </c>
      <c r="BN145" s="29">
        <f t="shared" si="127"/>
        <v>7.3157332469868663E-3</v>
      </c>
    </row>
  </sheetData>
  <phoneticPr fontId="2" type="noConversion"/>
  <pageMargins left="0.74803149606299213" right="0.74803149606299213" top="0.35433070866141736" bottom="0.39370078740157483" header="0.35433070866141736" footer="0.51181102362204722"/>
  <pageSetup scale="70" orientation="portrait" r:id="rId1"/>
  <headerFooter alignWithMargins="0"/>
  <rowBreaks count="2" manualBreakCount="2">
    <brk id="6" max="16383" man="1"/>
    <brk id="77" max="183" man="1"/>
  </rowBreaks>
  <colBreaks count="14" manualBreakCount="14">
    <brk id="22" max="1048575" man="1"/>
    <brk id="34" max="1048575" man="1"/>
    <brk id="56" max="1048575" man="1"/>
    <brk id="67" max="1048575" man="1"/>
    <brk id="76" max="1048575" man="1"/>
    <brk id="85" max="1048575" man="1"/>
    <brk id="94" max="1048575" man="1"/>
    <brk id="104" max="1048575" man="1"/>
    <brk id="114" max="1048575" man="1"/>
    <brk id="125" max="1048575" man="1"/>
    <brk id="136" max="1048575" man="1"/>
    <brk id="148" max="1048575" man="1"/>
    <brk id="161" max="1048575" man="1"/>
    <brk id="18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J148"/>
  <sheetViews>
    <sheetView zoomScale="85" zoomScaleNormal="85" zoomScaleSheetLayoutView="85" workbookViewId="0">
      <pane xSplit="1" ySplit="1" topLeftCell="B105" activePane="bottomRight" state="frozen"/>
      <selection activeCell="B4" sqref="B4"/>
      <selection pane="topRight" activeCell="B4" sqref="B4"/>
      <selection pane="bottomLeft" activeCell="B4" sqref="B4"/>
      <selection pane="bottomRight" sqref="A1:V145"/>
    </sheetView>
  </sheetViews>
  <sheetFormatPr defaultRowHeight="15.75" x14ac:dyDescent="0.25"/>
  <cols>
    <col min="1" max="1" width="12.7109375" style="8" customWidth="1"/>
    <col min="2" max="2" width="10.85546875" style="8" bestFit="1" customWidth="1"/>
    <col min="3" max="3" width="10.7109375" style="8" bestFit="1" customWidth="1"/>
    <col min="4" max="4" width="9.7109375" style="8" bestFit="1" customWidth="1"/>
    <col min="5" max="11" width="10.7109375" style="8" bestFit="1" customWidth="1"/>
    <col min="12" max="12" width="13.5703125" style="8" bestFit="1" customWidth="1"/>
    <col min="13" max="13" width="9.85546875" style="8" customWidth="1"/>
    <col min="14" max="14" width="10.7109375" style="8" bestFit="1" customWidth="1"/>
    <col min="15" max="15" width="10.140625" style="8" customWidth="1"/>
    <col min="16" max="16" width="10.7109375" style="8" bestFit="1" customWidth="1"/>
    <col min="17" max="17" width="9.7109375" style="8" bestFit="1" customWidth="1"/>
    <col min="18" max="18" width="10.7109375" style="8" bestFit="1" customWidth="1"/>
    <col min="19" max="19" width="12.7109375" style="8" bestFit="1" customWidth="1"/>
    <col min="20" max="22" width="10.7109375" style="8" bestFit="1" customWidth="1"/>
    <col min="23" max="23" width="12" style="8" customWidth="1"/>
    <col min="24" max="25" width="8.7109375" style="8" customWidth="1"/>
    <col min="26" max="28" width="9.140625" style="8"/>
    <col min="29" max="29" width="12" style="8" customWidth="1"/>
    <col min="30" max="30" width="10.42578125" style="8" bestFit="1" customWidth="1"/>
    <col min="31" max="33" width="9.140625" style="8"/>
    <col min="34" max="34" width="13.140625" style="8" customWidth="1"/>
    <col min="35" max="35" width="9" style="8" bestFit="1" customWidth="1"/>
    <col min="36" max="36" width="9.7109375" style="8" bestFit="1" customWidth="1"/>
    <col min="37" max="37" width="9.5703125" style="8" customWidth="1"/>
    <col min="38" max="38" width="9.7109375" style="8" bestFit="1" customWidth="1"/>
    <col min="39" max="39" width="8.7109375" style="8" bestFit="1" customWidth="1"/>
    <col min="40" max="40" width="10.5703125" style="8" bestFit="1" customWidth="1"/>
    <col min="41" max="41" width="12.5703125" style="8" bestFit="1" customWidth="1"/>
    <col min="42" max="42" width="12.28515625" style="8" customWidth="1"/>
    <col min="43" max="43" width="8.7109375" style="8" customWidth="1"/>
    <col min="44" max="44" width="9" style="8" bestFit="1" customWidth="1"/>
    <col min="45" max="45" width="10.85546875" style="8" customWidth="1"/>
    <col min="46" max="46" width="10.140625" style="8" customWidth="1"/>
    <col min="47" max="47" width="15.7109375" style="8" bestFit="1" customWidth="1"/>
    <col min="48" max="48" width="13.42578125" style="8" customWidth="1"/>
    <col min="49" max="49" width="11.28515625" style="8" bestFit="1" customWidth="1"/>
    <col min="50" max="50" width="10.140625" style="8" bestFit="1" customWidth="1"/>
    <col min="51" max="51" width="15.140625" style="8" bestFit="1" customWidth="1"/>
    <col min="52" max="52" width="9.85546875" style="8" bestFit="1" customWidth="1"/>
    <col min="53" max="53" width="11.85546875" style="8" bestFit="1" customWidth="1"/>
    <col min="54" max="55" width="9.140625" style="8"/>
    <col min="56" max="56" width="9.42578125" style="8" bestFit="1" customWidth="1"/>
    <col min="57" max="57" width="13" style="8" bestFit="1" customWidth="1"/>
    <col min="58" max="58" width="12" style="8" bestFit="1" customWidth="1"/>
    <col min="59" max="59" width="7.5703125" style="8" bestFit="1" customWidth="1"/>
    <col min="60" max="60" width="10.42578125" style="8" bestFit="1" customWidth="1"/>
    <col min="61" max="61" width="10.5703125" style="8" customWidth="1"/>
    <col min="62" max="62" width="9.28515625" style="8" bestFit="1" customWidth="1"/>
    <col min="63" max="63" width="11.140625" style="8" bestFit="1" customWidth="1"/>
    <col min="64" max="64" width="10.85546875" style="8" customWidth="1"/>
    <col min="65" max="65" width="9" style="8" bestFit="1" customWidth="1"/>
    <col min="66" max="66" width="12.28515625" style="8" bestFit="1" customWidth="1"/>
    <col min="67" max="67" width="11.28515625" style="8" bestFit="1" customWidth="1"/>
    <col min="68" max="68" width="11.140625" style="8" bestFit="1" customWidth="1"/>
    <col min="69" max="69" width="9.140625" style="8"/>
    <col min="70" max="70" width="7.5703125" style="8" bestFit="1" customWidth="1"/>
    <col min="71" max="71" width="11.28515625" style="8" bestFit="1" customWidth="1"/>
    <col min="72" max="72" width="9" style="8" bestFit="1" customWidth="1"/>
    <col min="73" max="73" width="8" style="8" bestFit="1" customWidth="1"/>
    <col min="74" max="74" width="9.140625" style="8"/>
    <col min="75" max="75" width="11.5703125" style="8" bestFit="1" customWidth="1"/>
    <col min="76" max="76" width="15.42578125" style="8" bestFit="1" customWidth="1"/>
    <col min="77" max="77" width="8.42578125" style="8" bestFit="1" customWidth="1"/>
    <col min="78" max="78" width="11.140625" style="8" bestFit="1" customWidth="1"/>
    <col min="79" max="79" width="7.5703125" style="8" bestFit="1" customWidth="1"/>
    <col min="80" max="80" width="14.85546875" style="8" bestFit="1" customWidth="1"/>
    <col min="81" max="81" width="9.85546875" style="8" bestFit="1" customWidth="1"/>
    <col min="82" max="82" width="11.28515625" style="8" bestFit="1" customWidth="1"/>
    <col min="83" max="83" width="12.28515625" style="8" bestFit="1" customWidth="1"/>
    <col min="84" max="84" width="7" style="8" bestFit="1" customWidth="1"/>
    <col min="85" max="85" width="11.28515625" style="8" bestFit="1" customWidth="1"/>
    <col min="86" max="86" width="9.85546875" style="8" bestFit="1" customWidth="1"/>
    <col min="87" max="87" width="11.5703125" style="8" bestFit="1" customWidth="1"/>
    <col min="88" max="88" width="9.85546875" style="8" bestFit="1" customWidth="1"/>
    <col min="89" max="89" width="10.85546875" style="8" bestFit="1" customWidth="1"/>
    <col min="90" max="90" width="8.42578125" style="8" bestFit="1" customWidth="1"/>
    <col min="91" max="91" width="9.85546875" style="8" customWidth="1"/>
    <col min="92" max="92" width="13.140625" style="8" customWidth="1"/>
    <col min="93" max="93" width="11.5703125" style="7" customWidth="1"/>
    <col min="94" max="94" width="13.28515625" style="8" bestFit="1" customWidth="1"/>
    <col min="95" max="96" width="10.42578125" style="8" bestFit="1" customWidth="1"/>
    <col min="97" max="97" width="11.140625" style="8" bestFit="1" customWidth="1"/>
    <col min="98" max="98" width="9.140625" style="8"/>
    <col min="99" max="99" width="12.28515625" style="8" bestFit="1" customWidth="1"/>
    <col min="100" max="100" width="8.7109375" style="8" bestFit="1" customWidth="1"/>
    <col min="101" max="101" width="9.85546875" style="8" bestFit="1" customWidth="1"/>
    <col min="102" max="102" width="8" style="8" bestFit="1" customWidth="1"/>
    <col min="103" max="103" width="13.28515625" style="8" bestFit="1" customWidth="1"/>
    <col min="104" max="104" width="8" style="8" bestFit="1" customWidth="1"/>
    <col min="105" max="105" width="11.140625" style="8" bestFit="1" customWidth="1"/>
    <col min="106" max="106" width="10.42578125" style="8" bestFit="1" customWidth="1"/>
    <col min="107" max="107" width="8" style="8" bestFit="1" customWidth="1"/>
    <col min="108" max="108" width="10.42578125" style="8" bestFit="1" customWidth="1"/>
    <col min="109" max="109" width="11.5703125" style="8" bestFit="1" customWidth="1"/>
    <col min="110" max="110" width="9.140625" style="8"/>
    <col min="111" max="112" width="13.42578125" style="8" bestFit="1" customWidth="1"/>
    <col min="113" max="113" width="11.85546875" style="8" bestFit="1" customWidth="1"/>
    <col min="114" max="114" width="7.28515625" style="8" bestFit="1" customWidth="1"/>
    <col min="115" max="115" width="11.140625" style="8" bestFit="1" customWidth="1"/>
    <col min="116" max="116" width="9" style="8" bestFit="1" customWidth="1"/>
    <col min="117" max="117" width="9.7109375" style="8" bestFit="1" customWidth="1"/>
    <col min="118" max="118" width="14" style="8" bestFit="1" customWidth="1"/>
    <col min="119" max="119" width="13.28515625" style="8" bestFit="1" customWidth="1"/>
    <col min="120" max="120" width="9.140625" style="8"/>
    <col min="121" max="122" width="8" style="8" bestFit="1" customWidth="1"/>
    <col min="123" max="123" width="7.7109375" style="8" bestFit="1" customWidth="1"/>
    <col min="124" max="124" width="8.42578125" style="8" bestFit="1" customWidth="1"/>
    <col min="125" max="125" width="8" style="8" bestFit="1" customWidth="1"/>
    <col min="126" max="126" width="10.140625" style="8" bestFit="1" customWidth="1"/>
    <col min="127" max="127" width="7.5703125" style="8" bestFit="1" customWidth="1"/>
    <col min="128" max="128" width="7" style="8" bestFit="1" customWidth="1"/>
    <col min="129" max="129" width="9.42578125" style="8" bestFit="1" customWidth="1"/>
    <col min="130" max="130" width="8" style="8" bestFit="1" customWidth="1"/>
    <col min="131" max="131" width="9" style="8" bestFit="1" customWidth="1"/>
    <col min="132" max="132" width="6.85546875" style="8" bestFit="1" customWidth="1"/>
    <col min="133" max="133" width="8" style="8" bestFit="1" customWidth="1"/>
    <col min="134" max="134" width="10.140625" style="8" customWidth="1"/>
    <col min="135" max="135" width="13.28515625" style="8" bestFit="1" customWidth="1"/>
    <col min="136" max="136" width="13.42578125" style="8" bestFit="1" customWidth="1"/>
    <col min="137" max="137" width="8" style="8" bestFit="1" customWidth="1"/>
    <col min="138" max="138" width="8.7109375" style="8" bestFit="1" customWidth="1"/>
    <col min="139" max="139" width="7.5703125" style="8" bestFit="1" customWidth="1"/>
    <col min="140" max="140" width="11.5703125" style="8" bestFit="1" customWidth="1"/>
    <col min="141" max="141" width="10.28515625" style="8" customWidth="1"/>
    <col min="142" max="142" width="9.140625" style="8"/>
    <col min="143" max="143" width="12.28515625" style="8" bestFit="1" customWidth="1"/>
    <col min="144" max="144" width="7.85546875" style="8" customWidth="1"/>
    <col min="145" max="145" width="10.42578125" style="8" customWidth="1"/>
    <col min="146" max="146" width="7.5703125" style="8" bestFit="1" customWidth="1"/>
    <col min="147" max="147" width="10.140625" style="8" bestFit="1" customWidth="1"/>
    <col min="148" max="148" width="8.42578125" style="8" bestFit="1" customWidth="1"/>
    <col min="149" max="149" width="11.7109375" style="8" customWidth="1"/>
    <col min="150" max="150" width="9.140625" style="8"/>
    <col min="151" max="151" width="8.7109375" style="8" bestFit="1" customWidth="1"/>
    <col min="152" max="152" width="11.5703125" style="8" customWidth="1"/>
    <col min="153" max="153" width="10.85546875" style="8" bestFit="1" customWidth="1"/>
    <col min="154" max="154" width="8.28515625" style="8" bestFit="1" customWidth="1"/>
    <col min="155" max="155" width="9.140625" style="8"/>
    <col min="156" max="156" width="8" style="8" bestFit="1" customWidth="1"/>
    <col min="157" max="158" width="8.42578125" style="8" bestFit="1" customWidth="1"/>
    <col min="159" max="159" width="8" style="8" bestFit="1" customWidth="1"/>
    <col min="160" max="160" width="9.85546875" style="8" bestFit="1" customWidth="1"/>
    <col min="161" max="161" width="8" style="8" bestFit="1" customWidth="1"/>
    <col min="162" max="162" width="6.85546875" style="8" bestFit="1" customWidth="1"/>
    <col min="163" max="163" width="14" style="8" bestFit="1" customWidth="1"/>
    <col min="164" max="164" width="8" style="8" bestFit="1" customWidth="1"/>
    <col min="165" max="165" width="7.5703125" style="8" bestFit="1" customWidth="1"/>
    <col min="166" max="166" width="12" style="8" bestFit="1" customWidth="1"/>
    <col min="167" max="167" width="10.85546875" style="8" bestFit="1" customWidth="1"/>
    <col min="168" max="168" width="11.140625" style="8" bestFit="1" customWidth="1"/>
    <col min="169" max="169" width="14.42578125" style="8" bestFit="1" customWidth="1"/>
    <col min="170" max="170" width="9.7109375" style="8" bestFit="1" customWidth="1"/>
    <col min="171" max="171" width="7.7109375" style="8" bestFit="1" customWidth="1"/>
    <col min="172" max="172" width="8.7109375" style="8" bestFit="1" customWidth="1"/>
    <col min="173" max="173" width="9.85546875" style="8" bestFit="1" customWidth="1"/>
    <col min="174" max="174" width="9.42578125" style="8" bestFit="1" customWidth="1"/>
    <col min="175" max="175" width="10.140625" style="8" customWidth="1"/>
    <col min="176" max="176" width="9.42578125" style="8" bestFit="1" customWidth="1"/>
    <col min="177" max="177" width="12" style="8" bestFit="1" customWidth="1"/>
    <col min="178" max="178" width="8.85546875" style="8" bestFit="1" customWidth="1"/>
    <col min="179" max="179" width="9.7109375" style="8" bestFit="1" customWidth="1"/>
    <col min="180" max="180" width="12.28515625" style="8" bestFit="1" customWidth="1"/>
    <col min="181" max="181" width="10.5703125" style="8" bestFit="1" customWidth="1"/>
    <col min="182" max="182" width="11.140625" style="8" bestFit="1" customWidth="1"/>
    <col min="183" max="183" width="10.42578125" style="8" bestFit="1" customWidth="1"/>
    <col min="184" max="184" width="8.5703125" style="8" customWidth="1"/>
    <col min="185" max="185" width="8.7109375" style="8" bestFit="1" customWidth="1"/>
    <col min="186" max="186" width="10.7109375" style="8" bestFit="1" customWidth="1"/>
    <col min="187" max="187" width="8.7109375" style="8" bestFit="1" customWidth="1"/>
    <col min="188" max="188" width="10.85546875" style="8" bestFit="1" customWidth="1"/>
    <col min="189" max="189" width="11.85546875" style="8" customWidth="1"/>
    <col min="190" max="190" width="12.7109375" style="8" bestFit="1" customWidth="1"/>
    <col min="191" max="191" width="7.7109375" style="8" customWidth="1"/>
    <col min="192" max="192" width="16.28515625" style="8" bestFit="1" customWidth="1"/>
    <col min="193" max="16384" width="9.140625" style="8"/>
  </cols>
  <sheetData>
    <row r="1" spans="1:192" s="4" customFormat="1" ht="47.1" customHeight="1" x14ac:dyDescent="0.25">
      <c r="A1" s="1" t="s">
        <v>21</v>
      </c>
      <c r="B1" s="2" t="s">
        <v>4</v>
      </c>
      <c r="C1" s="2" t="s">
        <v>5</v>
      </c>
      <c r="D1" s="2" t="s">
        <v>15</v>
      </c>
      <c r="E1" s="2" t="s">
        <v>2</v>
      </c>
      <c r="F1" s="2" t="s">
        <v>6</v>
      </c>
      <c r="G1" s="2" t="s">
        <v>7</v>
      </c>
      <c r="H1" s="2" t="s">
        <v>0</v>
      </c>
      <c r="I1" s="2" t="s">
        <v>8</v>
      </c>
      <c r="J1" s="2" t="s">
        <v>9</v>
      </c>
      <c r="K1" s="2" t="s">
        <v>16</v>
      </c>
      <c r="L1" s="2" t="s">
        <v>10</v>
      </c>
      <c r="M1" s="2" t="s">
        <v>20</v>
      </c>
      <c r="N1" s="2" t="s">
        <v>11</v>
      </c>
      <c r="O1" s="2" t="s">
        <v>1</v>
      </c>
      <c r="P1" s="2" t="s">
        <v>14</v>
      </c>
      <c r="Q1" s="2" t="s">
        <v>22</v>
      </c>
      <c r="R1" s="2" t="s">
        <v>12</v>
      </c>
      <c r="S1" s="2" t="s">
        <v>13</v>
      </c>
      <c r="T1" s="2" t="s">
        <v>18</v>
      </c>
      <c r="U1" s="2" t="s">
        <v>19</v>
      </c>
      <c r="V1" s="2" t="s">
        <v>23</v>
      </c>
      <c r="W1" s="3"/>
      <c r="X1" s="30" t="s">
        <v>4</v>
      </c>
      <c r="Y1" s="30" t="s">
        <v>5</v>
      </c>
      <c r="Z1" s="30" t="s">
        <v>15</v>
      </c>
      <c r="AA1" s="30" t="s">
        <v>2</v>
      </c>
      <c r="AB1" s="30" t="s">
        <v>6</v>
      </c>
      <c r="AC1" s="30" t="s">
        <v>7</v>
      </c>
      <c r="AD1" s="30" t="s">
        <v>0</v>
      </c>
      <c r="AE1" s="30" t="s">
        <v>8</v>
      </c>
      <c r="AF1" s="30" t="s">
        <v>9</v>
      </c>
      <c r="AG1" s="30" t="s">
        <v>16</v>
      </c>
      <c r="AH1" s="30" t="s">
        <v>10</v>
      </c>
      <c r="AI1" s="30" t="s">
        <v>20</v>
      </c>
      <c r="AJ1" s="30" t="s">
        <v>11</v>
      </c>
      <c r="AK1" s="30" t="s">
        <v>1</v>
      </c>
      <c r="AL1" s="30" t="s">
        <v>14</v>
      </c>
      <c r="AM1" s="30" t="s">
        <v>22</v>
      </c>
      <c r="AN1" s="30" t="s">
        <v>12</v>
      </c>
      <c r="AO1" s="30" t="s">
        <v>13</v>
      </c>
      <c r="AP1" s="30" t="s">
        <v>18</v>
      </c>
      <c r="AQ1" s="30" t="s">
        <v>19</v>
      </c>
      <c r="AR1" s="30" t="s">
        <v>27</v>
      </c>
      <c r="AS1" s="2"/>
      <c r="AT1" s="34" t="s">
        <v>4</v>
      </c>
      <c r="AU1" s="34" t="s">
        <v>5</v>
      </c>
      <c r="AV1" s="34" t="s">
        <v>15</v>
      </c>
      <c r="AW1" s="34" t="s">
        <v>2</v>
      </c>
      <c r="AX1" s="34" t="s">
        <v>6</v>
      </c>
      <c r="AY1" s="34" t="s">
        <v>7</v>
      </c>
      <c r="AZ1" s="34" t="s">
        <v>0</v>
      </c>
      <c r="BA1" s="34" t="s">
        <v>8</v>
      </c>
      <c r="BB1" s="34" t="s">
        <v>9</v>
      </c>
      <c r="BC1" s="34" t="s">
        <v>16</v>
      </c>
      <c r="BD1" s="34" t="s">
        <v>10</v>
      </c>
      <c r="BE1" s="34" t="s">
        <v>20</v>
      </c>
      <c r="BF1" s="34" t="s">
        <v>11</v>
      </c>
      <c r="BG1" s="34" t="s">
        <v>1</v>
      </c>
      <c r="BH1" s="34" t="s">
        <v>14</v>
      </c>
      <c r="BI1" s="34" t="s">
        <v>22</v>
      </c>
      <c r="BJ1" s="34" t="s">
        <v>12</v>
      </c>
      <c r="BK1" s="34" t="s">
        <v>13</v>
      </c>
      <c r="BL1" s="34" t="s">
        <v>18</v>
      </c>
      <c r="BM1" s="34" t="s">
        <v>19</v>
      </c>
      <c r="BN1" s="34" t="s">
        <v>27</v>
      </c>
      <c r="BO1" s="3"/>
      <c r="BP1" s="2"/>
      <c r="BR1" s="2"/>
      <c r="BS1" s="2"/>
      <c r="BT1" s="2"/>
      <c r="BU1" s="2"/>
      <c r="BW1" s="2"/>
      <c r="BX1" s="3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3"/>
      <c r="CO1" s="3"/>
      <c r="CP1" s="3"/>
      <c r="CQ1" s="2"/>
      <c r="CR1" s="2"/>
      <c r="CS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G1" s="3"/>
      <c r="DH1" s="2"/>
      <c r="DI1" s="2"/>
      <c r="DJ1" s="2"/>
      <c r="DK1" s="2"/>
      <c r="DL1" s="2"/>
      <c r="DM1" s="2"/>
      <c r="DN1" s="2"/>
      <c r="DO1" s="3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  <c r="EF1" s="3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3"/>
      <c r="GI1" s="5"/>
      <c r="GJ1" s="6"/>
    </row>
    <row r="2" spans="1:192" s="32" customFormat="1" x14ac:dyDescent="0.25">
      <c r="A2" s="31">
        <v>1870</v>
      </c>
      <c r="B2" s="32">
        <v>1862.5904867256638</v>
      </c>
      <c r="C2" s="32">
        <v>2691.5227629513347</v>
      </c>
      <c r="D2" s="32">
        <v>712.97335919158922</v>
      </c>
      <c r="E2" s="32">
        <v>1694.5252578682901</v>
      </c>
      <c r="F2" s="32">
        <v>2003.1779661016951</v>
      </c>
      <c r="G2" s="32">
        <v>1139.6807297605474</v>
      </c>
      <c r="H2" s="32">
        <v>1875.6506503642038</v>
      </c>
      <c r="I2" s="32">
        <v>1839.0795034539012</v>
      </c>
      <c r="J2" s="32">
        <v>1499.3545611015491</v>
      </c>
      <c r="K2" s="32">
        <v>737.37549728489705</v>
      </c>
      <c r="L2" s="32">
        <v>2756.786703601108</v>
      </c>
      <c r="M2" s="32">
        <v>3099.6563573883163</v>
      </c>
      <c r="N2" s="32">
        <v>1360.1435315023057</v>
      </c>
      <c r="O2" s="32">
        <v>975.0404437254449</v>
      </c>
      <c r="P2" s="32">
        <v>1207.0859823467688</v>
      </c>
      <c r="Q2" s="32">
        <v>851.39985642498209</v>
      </c>
      <c r="R2" s="32">
        <v>1359.0297790585973</v>
      </c>
      <c r="S2" s="32">
        <v>2102.0715630885124</v>
      </c>
      <c r="T2" s="32">
        <v>3190.4340127388537</v>
      </c>
      <c r="U2" s="32">
        <v>2444.6436654277486</v>
      </c>
      <c r="V2" s="32">
        <v>2180.7580174927111</v>
      </c>
      <c r="W2" s="31"/>
      <c r="X2" s="35">
        <f>LN(B2)</f>
        <v>7.5297235325504426</v>
      </c>
      <c r="Y2" s="35">
        <f t="shared" ref="Y2:AR2" si="0">LN(C2)</f>
        <v>7.8978623953129485</v>
      </c>
      <c r="Z2" s="35">
        <f t="shared" si="0"/>
        <v>6.5694440553285567</v>
      </c>
      <c r="AA2" s="35">
        <f t="shared" si="0"/>
        <v>7.4351578967302263</v>
      </c>
      <c r="AB2" s="35">
        <f t="shared" si="0"/>
        <v>7.602490181495094</v>
      </c>
      <c r="AC2" s="35">
        <f t="shared" si="0"/>
        <v>7.038503440550409</v>
      </c>
      <c r="AD2" s="35">
        <f t="shared" si="0"/>
        <v>7.536710891736818</v>
      </c>
      <c r="AE2" s="35">
        <f t="shared" si="0"/>
        <v>7.5170204555643041</v>
      </c>
      <c r="AF2" s="35">
        <f t="shared" si="0"/>
        <v>7.3127900018889092</v>
      </c>
      <c r="AG2" s="35">
        <f t="shared" si="0"/>
        <v>6.6030972567219228</v>
      </c>
      <c r="AH2" s="35">
        <f t="shared" si="0"/>
        <v>7.9218210426341713</v>
      </c>
      <c r="AI2" s="35">
        <f t="shared" si="0"/>
        <v>8.039046531873268</v>
      </c>
      <c r="AJ2" s="35">
        <f t="shared" si="0"/>
        <v>7.2153455110307112</v>
      </c>
      <c r="AK2" s="35">
        <f t="shared" si="0"/>
        <v>6.8824789508815911</v>
      </c>
      <c r="AL2" s="35">
        <f t="shared" si="0"/>
        <v>7.0959644549702547</v>
      </c>
      <c r="AM2" s="35">
        <f t="shared" si="0"/>
        <v>6.7468818847600023</v>
      </c>
      <c r="AN2" s="35">
        <f t="shared" si="0"/>
        <v>7.2145263263898016</v>
      </c>
      <c r="AO2" s="35">
        <f t="shared" si="0"/>
        <v>7.6506785960945312</v>
      </c>
      <c r="AP2" s="35">
        <f t="shared" si="0"/>
        <v>8.0679122406744739</v>
      </c>
      <c r="AQ2" s="35">
        <f t="shared" si="0"/>
        <v>7.8016546511765004</v>
      </c>
      <c r="AR2" s="35">
        <f t="shared" si="0"/>
        <v>7.6874278097906741</v>
      </c>
      <c r="AS2" s="36"/>
      <c r="AT2" s="36"/>
      <c r="AU2" s="36"/>
      <c r="AV2" s="37"/>
      <c r="AW2" s="36"/>
      <c r="AX2" s="36"/>
      <c r="AY2" s="37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1"/>
      <c r="BX2" s="31"/>
      <c r="CN2" s="31"/>
      <c r="CP2" s="31"/>
      <c r="DG2" s="31"/>
      <c r="DO2" s="31"/>
      <c r="EE2" s="31"/>
      <c r="EF2" s="31"/>
      <c r="GH2" s="31"/>
      <c r="GJ2" s="33"/>
    </row>
    <row r="3" spans="1:192" x14ac:dyDescent="0.25">
      <c r="A3" s="7">
        <v>1871</v>
      </c>
      <c r="B3" s="8">
        <v>1979.0957913195969</v>
      </c>
      <c r="C3" s="8">
        <v>2682.4648627603656</v>
      </c>
      <c r="D3" s="8">
        <v>716.83366733466937</v>
      </c>
      <c r="E3" s="8">
        <v>1754.5267034990795</v>
      </c>
      <c r="F3" s="8">
        <v>1993.037309511298</v>
      </c>
      <c r="G3" s="8">
        <v>1126.8393057110864</v>
      </c>
      <c r="H3" s="8">
        <v>1899.4074898624476</v>
      </c>
      <c r="I3" s="8">
        <v>1816.5618410381182</v>
      </c>
      <c r="J3" s="8">
        <v>1506.3356528852128</v>
      </c>
      <c r="K3" s="8">
        <v>742.00531055183558</v>
      </c>
      <c r="L3" s="8">
        <v>2734.3234323432343</v>
      </c>
      <c r="M3" s="8">
        <v>3154.9901960784314</v>
      </c>
      <c r="N3" s="8">
        <v>1376.0883423777652</v>
      </c>
      <c r="O3" s="8">
        <v>932.91982540776473</v>
      </c>
      <c r="P3" s="8">
        <v>1298.0686431295362</v>
      </c>
      <c r="Q3" s="8">
        <v>826.95035460992904</v>
      </c>
      <c r="R3" s="8">
        <v>1406.1156235069279</v>
      </c>
      <c r="S3" s="8">
        <v>2225.373134328358</v>
      </c>
      <c r="T3" s="8">
        <v>3331.8750197254221</v>
      </c>
      <c r="U3" s="8">
        <v>2502.846853861502</v>
      </c>
      <c r="V3" s="8">
        <v>2177.9661016949153</v>
      </c>
      <c r="W3" s="7"/>
      <c r="X3" s="35">
        <f t="shared" ref="X3:X66" si="1">LN(B3)</f>
        <v>7.5903953483318913</v>
      </c>
      <c r="Y3" s="35">
        <f t="shared" ref="Y3:Y66" si="2">LN(C3)</f>
        <v>7.8944913757276822</v>
      </c>
      <c r="Z3" s="35">
        <f t="shared" ref="Z3:Z66" si="3">LN(D3)</f>
        <v>6.5748438294955909</v>
      </c>
      <c r="AA3" s="35">
        <f t="shared" ref="AA3:AA66" si="4">LN(E3)</f>
        <v>7.469954414912622</v>
      </c>
      <c r="AB3" s="35">
        <f t="shared" ref="AB3:AB66" si="5">LN(F3)</f>
        <v>7.59741504031419</v>
      </c>
      <c r="AC3" s="35">
        <f t="shared" ref="AC3:AC66" si="6">LN(G3)</f>
        <v>7.0271719179915317</v>
      </c>
      <c r="AD3" s="35">
        <f t="shared" ref="AD3:AD66" si="7">LN(H3)</f>
        <v>7.5492972690791902</v>
      </c>
      <c r="AE3" s="35">
        <f t="shared" ref="AE3:AE66" si="8">LN(I3)</f>
        <v>7.5047008951434933</v>
      </c>
      <c r="AF3" s="35">
        <f t="shared" ref="AF3:AF66" si="9">LN(J3)</f>
        <v>7.3174352606082467</v>
      </c>
      <c r="AG3" s="35">
        <f t="shared" ref="AG3:AG66" si="10">LN(K3)</f>
        <v>6.6093564002197143</v>
      </c>
      <c r="AH3" s="35">
        <f t="shared" ref="AH3:AH66" si="11">LN(L3)</f>
        <v>7.9136393103393852</v>
      </c>
      <c r="AI3" s="35">
        <f t="shared" ref="AI3:AI66" si="12">LN(M3)</f>
        <v>8.0567406675468511</v>
      </c>
      <c r="AJ3" s="35">
        <f t="shared" ref="AJ3:AJ66" si="13">LN(N3)</f>
        <v>7.2270002187418312</v>
      </c>
      <c r="AK3" s="35">
        <f t="shared" ref="AK3:AK66" si="14">LN(O3)</f>
        <v>6.8383192651161373</v>
      </c>
      <c r="AL3" s="35">
        <f t="shared" ref="AL3:AL66" si="15">LN(P3)</f>
        <v>7.1686327796327154</v>
      </c>
      <c r="AM3" s="35">
        <f t="shared" ref="AM3:AM66" si="16">LN(Q3)</f>
        <v>6.717744662520361</v>
      </c>
      <c r="AN3" s="35">
        <f t="shared" ref="AN3:AN66" si="17">LN(R3)</f>
        <v>7.24858630476961</v>
      </c>
      <c r="AO3" s="35">
        <f t="shared" ref="AO3:AO66" si="18">LN(S3)</f>
        <v>7.7076798813618632</v>
      </c>
      <c r="AP3" s="35">
        <f t="shared" ref="AP3:AP66" si="19">LN(T3)</f>
        <v>8.1112904934972416</v>
      </c>
      <c r="AQ3" s="35">
        <f t="shared" ref="AQ3:AQ66" si="20">LN(U3)</f>
        <v>7.8251841045265342</v>
      </c>
      <c r="AR3" s="35">
        <f t="shared" ref="AR3:AR66" si="21">LN(V3)</f>
        <v>7.6861467394116918</v>
      </c>
      <c r="AS3" s="38"/>
      <c r="AT3" s="38">
        <f>X3-X2</f>
        <v>6.0671815781448757E-2</v>
      </c>
      <c r="AU3" s="38">
        <f t="shared" ref="AU3:BN3" si="22">Y3-Y2</f>
        <v>-3.3710195852663105E-3</v>
      </c>
      <c r="AV3" s="38">
        <f t="shared" si="22"/>
        <v>5.3997741670341881E-3</v>
      </c>
      <c r="AW3" s="38">
        <f t="shared" si="22"/>
        <v>3.4796518182395708E-2</v>
      </c>
      <c r="AX3" s="38">
        <f t="shared" si="22"/>
        <v>-5.0751411809040192E-3</v>
      </c>
      <c r="AY3" s="38">
        <f t="shared" si="22"/>
        <v>-1.1331522558877261E-2</v>
      </c>
      <c r="AZ3" s="38">
        <f t="shared" si="22"/>
        <v>1.2586377342372224E-2</v>
      </c>
      <c r="BA3" s="38">
        <f t="shared" si="22"/>
        <v>-1.2319560420810838E-2</v>
      </c>
      <c r="BB3" s="38">
        <f t="shared" si="22"/>
        <v>4.6452587193375194E-3</v>
      </c>
      <c r="BC3" s="38">
        <f t="shared" si="22"/>
        <v>6.2591434977914417E-3</v>
      </c>
      <c r="BD3" s="38">
        <f t="shared" si="22"/>
        <v>-8.1817322947861371E-3</v>
      </c>
      <c r="BE3" s="38">
        <f t="shared" si="22"/>
        <v>1.7694135673583133E-2</v>
      </c>
      <c r="BF3" s="38">
        <f t="shared" si="22"/>
        <v>1.1654707711119983E-2</v>
      </c>
      <c r="BG3" s="38">
        <f t="shared" si="22"/>
        <v>-4.4159685765453816E-2</v>
      </c>
      <c r="BH3" s="38">
        <f t="shared" si="22"/>
        <v>7.2668324662460648E-2</v>
      </c>
      <c r="BI3" s="38">
        <f t="shared" si="22"/>
        <v>-2.9137222239641325E-2</v>
      </c>
      <c r="BJ3" s="38">
        <f t="shared" si="22"/>
        <v>3.4059978379808342E-2</v>
      </c>
      <c r="BK3" s="38">
        <f t="shared" si="22"/>
        <v>5.7001285267332058E-2</v>
      </c>
      <c r="BL3" s="38">
        <f t="shared" si="22"/>
        <v>4.3378252822767749E-2</v>
      </c>
      <c r="BM3" s="38">
        <f t="shared" si="22"/>
        <v>2.3529453350033869E-2</v>
      </c>
      <c r="BN3" s="38">
        <f t="shared" si="22"/>
        <v>-1.2810703789822853E-3</v>
      </c>
      <c r="BO3" s="7"/>
      <c r="BX3" s="7"/>
      <c r="CN3" s="7"/>
      <c r="CO3" s="8"/>
      <c r="CP3" s="7"/>
      <c r="DG3" s="7"/>
      <c r="DO3" s="7"/>
      <c r="EE3" s="7"/>
      <c r="EF3" s="7"/>
      <c r="GH3" s="7"/>
      <c r="GJ3" s="9"/>
    </row>
    <row r="4" spans="1:192" x14ac:dyDescent="0.25">
      <c r="A4" s="7">
        <v>1872</v>
      </c>
      <c r="B4" s="8">
        <v>1976.3223284100782</v>
      </c>
      <c r="C4" s="8">
        <v>2823.6469679412903</v>
      </c>
      <c r="D4" s="8">
        <v>720.66489623291045</v>
      </c>
      <c r="E4" s="8">
        <v>1705.1999999999996</v>
      </c>
      <c r="F4" s="8">
        <v>2086.9708029197081</v>
      </c>
      <c r="G4" s="8">
        <v>1145.0324354040683</v>
      </c>
      <c r="H4" s="8">
        <v>2078.4266567584068</v>
      </c>
      <c r="I4" s="8">
        <v>1931.375777884155</v>
      </c>
      <c r="J4" s="8">
        <v>1475.1321845171008</v>
      </c>
      <c r="K4" s="8">
        <v>746.00533578129034</v>
      </c>
      <c r="L4" s="8">
        <v>2770.6171490988531</v>
      </c>
      <c r="M4" s="8">
        <v>3522.796875</v>
      </c>
      <c r="N4" s="8">
        <v>1457.3647632904274</v>
      </c>
      <c r="O4" s="8">
        <v>954.32747202557664</v>
      </c>
      <c r="P4" s="8">
        <v>1473.1228930432119</v>
      </c>
      <c r="Q4" s="8">
        <v>784.65869106263199</v>
      </c>
      <c r="R4" s="8">
        <v>1444.9964513839602</v>
      </c>
      <c r="S4" s="8">
        <v>2107.5268817204301</v>
      </c>
      <c r="T4" s="8">
        <v>3319.1654012674912</v>
      </c>
      <c r="U4" s="8">
        <v>2540.9388646288212</v>
      </c>
      <c r="V4" s="8">
        <v>2631.868131868132</v>
      </c>
      <c r="W4" s="7"/>
      <c r="X4" s="35">
        <f t="shared" si="1"/>
        <v>7.5889929866699406</v>
      </c>
      <c r="Y4" s="35">
        <f t="shared" si="2"/>
        <v>7.945784579446328</v>
      </c>
      <c r="Z4" s="35">
        <f t="shared" si="3"/>
        <v>6.5801742528669402</v>
      </c>
      <c r="AA4" s="35">
        <f t="shared" si="4"/>
        <v>7.4414376848910546</v>
      </c>
      <c r="AB4" s="35">
        <f t="shared" si="5"/>
        <v>7.6434689170031582</v>
      </c>
      <c r="AC4" s="35">
        <f t="shared" si="6"/>
        <v>7.0431882434509285</v>
      </c>
      <c r="AD4" s="35">
        <f t="shared" si="7"/>
        <v>7.6393664714491791</v>
      </c>
      <c r="AE4" s="35">
        <f t="shared" si="8"/>
        <v>7.5659878662323443</v>
      </c>
      <c r="AF4" s="35">
        <f t="shared" si="9"/>
        <v>7.2965028813803539</v>
      </c>
      <c r="AG4" s="35">
        <f t="shared" si="10"/>
        <v>6.6147327527000188</v>
      </c>
      <c r="AH4" s="35">
        <f t="shared" si="11"/>
        <v>7.9268253718743162</v>
      </c>
      <c r="AI4" s="35">
        <f t="shared" si="12"/>
        <v>8.1670105198524503</v>
      </c>
      <c r="AJ4" s="35">
        <f t="shared" si="13"/>
        <v>7.284385127154974</v>
      </c>
      <c r="AK4" s="35">
        <f t="shared" si="14"/>
        <v>6.8610068746286546</v>
      </c>
      <c r="AL4" s="35">
        <f t="shared" si="15"/>
        <v>7.2951398434259609</v>
      </c>
      <c r="AM4" s="35">
        <f t="shared" si="16"/>
        <v>6.6652488347792556</v>
      </c>
      <c r="AN4" s="35">
        <f t="shared" si="17"/>
        <v>7.2758621447538703</v>
      </c>
      <c r="AO4" s="35">
        <f t="shared" si="18"/>
        <v>7.6532704450593982</v>
      </c>
      <c r="AP4" s="35">
        <f t="shared" si="19"/>
        <v>8.1074686451475948</v>
      </c>
      <c r="AQ4" s="35">
        <f t="shared" si="20"/>
        <v>7.8402889234592292</v>
      </c>
      <c r="AR4" s="35">
        <f t="shared" si="21"/>
        <v>7.8754491893162566</v>
      </c>
      <c r="AS4" s="38"/>
      <c r="AT4" s="38">
        <f t="shared" ref="AT4:AT67" si="23">X4-X3</f>
        <v>-1.4023616619507351E-3</v>
      </c>
      <c r="AU4" s="38">
        <f t="shared" ref="AU4:AU67" si="24">Y4-Y3</f>
        <v>5.1293203718645763E-2</v>
      </c>
      <c r="AV4" s="38">
        <f t="shared" ref="AV4:AV67" si="25">Z4-Z3</f>
        <v>5.3304233713493687E-3</v>
      </c>
      <c r="AW4" s="38">
        <f t="shared" ref="AW4:AW67" si="26">AA4-AA3</f>
        <v>-2.8516730021567405E-2</v>
      </c>
      <c r="AX4" s="38">
        <f t="shared" ref="AX4:AX67" si="27">AB4-AB3</f>
        <v>4.6053876688968209E-2</v>
      </c>
      <c r="AY4" s="38">
        <f t="shared" ref="AY4:AY67" si="28">AC4-AC3</f>
        <v>1.6016325459396796E-2</v>
      </c>
      <c r="AZ4" s="38">
        <f t="shared" ref="AZ4:AZ67" si="29">AD4-AD3</f>
        <v>9.0069202369988943E-2</v>
      </c>
      <c r="BA4" s="38">
        <f t="shared" ref="BA4:BA67" si="30">AE4-AE3</f>
        <v>6.1286971088851061E-2</v>
      </c>
      <c r="BB4" s="38">
        <f t="shared" ref="BB4:BB67" si="31">AF4-AF3</f>
        <v>-2.0932379227892817E-2</v>
      </c>
      <c r="BC4" s="38">
        <f t="shared" ref="BC4:BC67" si="32">AG4-AG3</f>
        <v>5.376352480304547E-3</v>
      </c>
      <c r="BD4" s="38">
        <f t="shared" ref="BD4:BD67" si="33">AH4-AH3</f>
        <v>1.3186061534931071E-2</v>
      </c>
      <c r="BE4" s="38">
        <f t="shared" ref="BE4:BE67" si="34">AI4-AI3</f>
        <v>0.11026985230559916</v>
      </c>
      <c r="BF4" s="38">
        <f t="shared" ref="BF4:BF67" si="35">AJ4-AJ3</f>
        <v>5.738490841314281E-2</v>
      </c>
      <c r="BG4" s="38">
        <f t="shared" ref="BG4:BG67" si="36">AK4-AK3</f>
        <v>2.2687609512517248E-2</v>
      </c>
      <c r="BH4" s="38">
        <f t="shared" ref="BH4:BH67" si="37">AL4-AL3</f>
        <v>0.1265070637932455</v>
      </c>
      <c r="BI4" s="38">
        <f t="shared" ref="BI4:BI67" si="38">AM4-AM3</f>
        <v>-5.2495827741105394E-2</v>
      </c>
      <c r="BJ4" s="38">
        <f t="shared" ref="BJ4:BJ67" si="39">AN4-AN3</f>
        <v>2.7275839984260308E-2</v>
      </c>
      <c r="BK4" s="38">
        <f t="shared" ref="BK4:BK67" si="40">AO4-AO3</f>
        <v>-5.4409436302464975E-2</v>
      </c>
      <c r="BL4" s="38">
        <f t="shared" ref="BL4:BL67" si="41">AP4-AP3</f>
        <v>-3.8218483496468281E-3</v>
      </c>
      <c r="BM4" s="38">
        <f t="shared" ref="BM4:BM67" si="42">AQ4-AQ3</f>
        <v>1.5104818932694997E-2</v>
      </c>
      <c r="BN4" s="38">
        <f t="shared" ref="BN4:BN67" si="43">AR4-AR3</f>
        <v>0.1893024499045648</v>
      </c>
      <c r="BO4" s="7"/>
      <c r="BX4" s="7"/>
      <c r="CN4" s="7"/>
      <c r="CO4" s="8"/>
      <c r="CP4" s="7"/>
      <c r="DG4" s="7"/>
      <c r="DO4" s="7"/>
      <c r="EE4" s="7"/>
      <c r="EF4" s="7"/>
      <c r="GH4" s="7"/>
      <c r="GJ4" s="9"/>
    </row>
    <row r="5" spans="1:192" x14ac:dyDescent="0.25">
      <c r="A5" s="7">
        <v>1873</v>
      </c>
      <c r="B5" s="8">
        <v>1913.0281962978909</v>
      </c>
      <c r="C5" s="8">
        <v>2820.0584403142366</v>
      </c>
      <c r="D5" s="8">
        <v>724.46418227457048</v>
      </c>
      <c r="E5" s="8">
        <v>1841.8787725082427</v>
      </c>
      <c r="F5" s="8">
        <v>2056.5736434108526</v>
      </c>
      <c r="G5" s="8">
        <v>1193.3974011911205</v>
      </c>
      <c r="H5" s="8">
        <v>1922.0961279594583</v>
      </c>
      <c r="I5" s="8">
        <v>1998.6726641177502</v>
      </c>
      <c r="J5" s="8">
        <v>1524.4356006058065</v>
      </c>
      <c r="K5" s="8">
        <v>751.01226119190187</v>
      </c>
      <c r="L5" s="8">
        <v>2853.4059945504086</v>
      </c>
      <c r="M5" s="8">
        <v>3830.9910447761199</v>
      </c>
      <c r="N5" s="8">
        <v>1481.6110639927563</v>
      </c>
      <c r="O5" s="8">
        <v>988.19523269012484</v>
      </c>
      <c r="P5" s="8">
        <v>1597.6056682140238</v>
      </c>
      <c r="Q5" s="8">
        <v>788.33391547327983</v>
      </c>
      <c r="R5" s="8">
        <v>1451.0996724379972</v>
      </c>
      <c r="S5" s="8">
        <v>2152.4861878453039</v>
      </c>
      <c r="T5" s="8">
        <v>3364.6976411722662</v>
      </c>
      <c r="U5" s="8">
        <v>2604.2525594107565</v>
      </c>
      <c r="V5" s="8">
        <v>2601.0638297872338</v>
      </c>
      <c r="W5" s="7"/>
      <c r="X5" s="35">
        <f t="shared" si="1"/>
        <v>7.5564427086405122</v>
      </c>
      <c r="Y5" s="35">
        <f t="shared" si="2"/>
        <v>7.9445128872331168</v>
      </c>
      <c r="Z5" s="35">
        <f t="shared" si="3"/>
        <v>6.585432322684361</v>
      </c>
      <c r="AA5" s="35">
        <f t="shared" si="4"/>
        <v>7.5185414016789309</v>
      </c>
      <c r="AB5" s="35">
        <f t="shared" si="5"/>
        <v>7.6287965971002363</v>
      </c>
      <c r="AC5" s="35">
        <f t="shared" si="6"/>
        <v>7.0845594774344631</v>
      </c>
      <c r="AD5" s="35">
        <f t="shared" si="7"/>
        <v>7.5611716028266169</v>
      </c>
      <c r="AE5" s="35">
        <f t="shared" si="8"/>
        <v>7.6002385712759022</v>
      </c>
      <c r="AF5" s="35">
        <f t="shared" si="9"/>
        <v>7.3293795225749525</v>
      </c>
      <c r="AG5" s="35">
        <f t="shared" si="10"/>
        <v>6.6214219781180788</v>
      </c>
      <c r="AH5" s="35">
        <f t="shared" si="11"/>
        <v>7.9562686455232567</v>
      </c>
      <c r="AI5" s="35">
        <f t="shared" si="12"/>
        <v>8.2508788071296895</v>
      </c>
      <c r="AJ5" s="35">
        <f t="shared" si="13"/>
        <v>7.3008853314617355</v>
      </c>
      <c r="AK5" s="35">
        <f t="shared" si="14"/>
        <v>6.8958802821641543</v>
      </c>
      <c r="AL5" s="35">
        <f t="shared" si="15"/>
        <v>7.37626133005101</v>
      </c>
      <c r="AM5" s="35">
        <f t="shared" si="16"/>
        <v>6.6699217507015574</v>
      </c>
      <c r="AN5" s="35">
        <f t="shared" si="17"/>
        <v>7.2800769427634382</v>
      </c>
      <c r="AO5" s="35">
        <f t="shared" si="18"/>
        <v>7.6743788194846916</v>
      </c>
      <c r="AP5" s="35">
        <f t="shared" si="19"/>
        <v>8.1210933840067252</v>
      </c>
      <c r="AQ5" s="35">
        <f t="shared" si="20"/>
        <v>7.8649009876463563</v>
      </c>
      <c r="AR5" s="35">
        <f t="shared" si="21"/>
        <v>7.8636758056270599</v>
      </c>
      <c r="AS5" s="38"/>
      <c r="AT5" s="38">
        <f t="shared" si="23"/>
        <v>-3.2550278029428448E-2</v>
      </c>
      <c r="AU5" s="38">
        <f t="shared" si="24"/>
        <v>-1.2716922132112174E-3</v>
      </c>
      <c r="AV5" s="38">
        <f t="shared" si="25"/>
        <v>5.2580698174207186E-3</v>
      </c>
      <c r="AW5" s="38">
        <f t="shared" si="26"/>
        <v>7.7103716787876309E-2</v>
      </c>
      <c r="AX5" s="38">
        <f t="shared" si="27"/>
        <v>-1.4672319902921949E-2</v>
      </c>
      <c r="AY5" s="38">
        <f t="shared" si="28"/>
        <v>4.1371233983534594E-2</v>
      </c>
      <c r="AZ5" s="38">
        <f t="shared" si="29"/>
        <v>-7.8194868622562197E-2</v>
      </c>
      <c r="BA5" s="38">
        <f t="shared" si="30"/>
        <v>3.4250705043557872E-2</v>
      </c>
      <c r="BB5" s="38">
        <f t="shared" si="31"/>
        <v>3.2876641194598655E-2</v>
      </c>
      <c r="BC5" s="38">
        <f t="shared" si="32"/>
        <v>6.6892254180599409E-3</v>
      </c>
      <c r="BD5" s="38">
        <f t="shared" si="33"/>
        <v>2.9443273648940504E-2</v>
      </c>
      <c r="BE5" s="38">
        <f t="shared" si="34"/>
        <v>8.3868287277239162E-2</v>
      </c>
      <c r="BF5" s="38">
        <f t="shared" si="35"/>
        <v>1.6500204306761468E-2</v>
      </c>
      <c r="BG5" s="38">
        <f t="shared" si="36"/>
        <v>3.4873407535499723E-2</v>
      </c>
      <c r="BH5" s="38">
        <f t="shared" si="37"/>
        <v>8.1121486625049144E-2</v>
      </c>
      <c r="BI5" s="38">
        <f t="shared" si="38"/>
        <v>4.6729159223017902E-3</v>
      </c>
      <c r="BJ5" s="38">
        <f t="shared" si="39"/>
        <v>4.2147980095679216E-3</v>
      </c>
      <c r="BK5" s="38">
        <f t="shared" si="40"/>
        <v>2.1108374425293341E-2</v>
      </c>
      <c r="BL5" s="38">
        <f t="shared" si="41"/>
        <v>1.3624738859130403E-2</v>
      </c>
      <c r="BM5" s="38">
        <f t="shared" si="42"/>
        <v>2.4612064187127025E-2</v>
      </c>
      <c r="BN5" s="38">
        <f t="shared" si="43"/>
        <v>-1.177338368919667E-2</v>
      </c>
      <c r="BO5" s="7"/>
      <c r="BX5" s="7"/>
      <c r="CN5" s="7"/>
      <c r="CO5" s="8"/>
      <c r="CP5" s="7"/>
      <c r="DG5" s="7"/>
      <c r="DO5" s="7"/>
      <c r="EE5" s="7"/>
      <c r="EF5" s="7"/>
      <c r="GH5" s="7"/>
      <c r="GJ5" s="9"/>
    </row>
    <row r="6" spans="1:192" x14ac:dyDescent="0.25">
      <c r="A6" s="7">
        <v>1874</v>
      </c>
      <c r="B6" s="8">
        <v>1980.929180887372</v>
      </c>
      <c r="C6" s="8">
        <v>2889.7719064816574</v>
      </c>
      <c r="D6" s="8">
        <v>728.39272175890824</v>
      </c>
      <c r="E6" s="8">
        <v>1853.715852442672</v>
      </c>
      <c r="F6" s="8">
        <v>2096.2998976458548</v>
      </c>
      <c r="G6" s="8">
        <v>1204.1201281366791</v>
      </c>
      <c r="H6" s="8">
        <v>2157.2324676690146</v>
      </c>
      <c r="I6" s="8">
        <v>2123.9600494437577</v>
      </c>
      <c r="J6" s="8">
        <v>1513.0826590735483</v>
      </c>
      <c r="K6" s="8">
        <v>756.17993472399598</v>
      </c>
      <c r="L6" s="8">
        <v>2727.1028037383176</v>
      </c>
      <c r="M6" s="8">
        <v>3843.4986376021793</v>
      </c>
      <c r="N6" s="8">
        <v>1523.7481552187326</v>
      </c>
      <c r="O6" s="8">
        <v>966.37327916948766</v>
      </c>
      <c r="P6" s="8">
        <v>1458.8836812952707</v>
      </c>
      <c r="Q6" s="8">
        <v>774.69670710571927</v>
      </c>
      <c r="R6" s="8">
        <v>1478.935185185185</v>
      </c>
      <c r="S6" s="8">
        <v>2396.6337358214414</v>
      </c>
      <c r="T6" s="8">
        <v>3386.444109412018</v>
      </c>
      <c r="U6" s="8">
        <v>2527.2550438794897</v>
      </c>
      <c r="V6" s="8">
        <v>2315.2454780361754</v>
      </c>
      <c r="W6" s="7"/>
      <c r="X6" s="35">
        <f t="shared" si="1"/>
        <v>7.5913212968860719</v>
      </c>
      <c r="Y6" s="35">
        <f t="shared" si="2"/>
        <v>7.9689328528988765</v>
      </c>
      <c r="Z6" s="35">
        <f t="shared" si="3"/>
        <v>6.5908403557097754</v>
      </c>
      <c r="AA6" s="35">
        <f t="shared" si="4"/>
        <v>7.5249474724828396</v>
      </c>
      <c r="AB6" s="35">
        <f t="shared" si="5"/>
        <v>7.6479291161437395</v>
      </c>
      <c r="AC6" s="35">
        <f t="shared" si="6"/>
        <v>7.0935043950915517</v>
      </c>
      <c r="AD6" s="35">
        <f t="shared" si="7"/>
        <v>7.6765814141884032</v>
      </c>
      <c r="AE6" s="35">
        <f t="shared" si="8"/>
        <v>7.6610375730718276</v>
      </c>
      <c r="AF6" s="35">
        <f t="shared" si="9"/>
        <v>7.3219043448628387</v>
      </c>
      <c r="AG6" s="35">
        <f t="shared" si="10"/>
        <v>6.6282793567540841</v>
      </c>
      <c r="AH6" s="35">
        <f t="shared" si="11"/>
        <v>7.9109950806089158</v>
      </c>
      <c r="AI6" s="35">
        <f t="shared" si="12"/>
        <v>8.254138334321107</v>
      </c>
      <c r="AJ6" s="35">
        <f t="shared" si="13"/>
        <v>7.3289284701097497</v>
      </c>
      <c r="AK6" s="35">
        <f t="shared" si="14"/>
        <v>6.8735501769322758</v>
      </c>
      <c r="AL6" s="35">
        <f t="shared" si="15"/>
        <v>7.2854268203927459</v>
      </c>
      <c r="AM6" s="35">
        <f t="shared" si="16"/>
        <v>6.6524716070876062</v>
      </c>
      <c r="AN6" s="35">
        <f t="shared" si="17"/>
        <v>7.2990776383463238</v>
      </c>
      <c r="AO6" s="35">
        <f t="shared" si="18"/>
        <v>7.7818204216833662</v>
      </c>
      <c r="AP6" s="35">
        <f t="shared" si="19"/>
        <v>8.1275357145801923</v>
      </c>
      <c r="AQ6" s="35">
        <f t="shared" si="20"/>
        <v>7.8348890298297773</v>
      </c>
      <c r="AR6" s="35">
        <f t="shared" si="21"/>
        <v>7.7472709989272852</v>
      </c>
      <c r="AS6" s="38"/>
      <c r="AT6" s="38">
        <f t="shared" si="23"/>
        <v>3.4878588245559783E-2</v>
      </c>
      <c r="AU6" s="38">
        <f t="shared" si="24"/>
        <v>2.4419965665759769E-2</v>
      </c>
      <c r="AV6" s="38">
        <f t="shared" si="25"/>
        <v>5.4080330254144826E-3</v>
      </c>
      <c r="AW6" s="38">
        <f t="shared" si="26"/>
        <v>6.4060708039086478E-3</v>
      </c>
      <c r="AX6" s="38">
        <f t="shared" si="27"/>
        <v>1.9132519043503216E-2</v>
      </c>
      <c r="AY6" s="38">
        <f t="shared" si="28"/>
        <v>8.9449176570886024E-3</v>
      </c>
      <c r="AZ6" s="38">
        <f t="shared" si="29"/>
        <v>0.1154098113617863</v>
      </c>
      <c r="BA6" s="38">
        <f t="shared" si="30"/>
        <v>6.0799001795925456E-2</v>
      </c>
      <c r="BB6" s="38">
        <f t="shared" si="31"/>
        <v>-7.4751777121138119E-3</v>
      </c>
      <c r="BC6" s="38">
        <f t="shared" si="32"/>
        <v>6.857378636005329E-3</v>
      </c>
      <c r="BD6" s="38">
        <f t="shared" si="33"/>
        <v>-4.527356491434098E-2</v>
      </c>
      <c r="BE6" s="38">
        <f t="shared" si="34"/>
        <v>3.2595271914175328E-3</v>
      </c>
      <c r="BF6" s="38">
        <f t="shared" si="35"/>
        <v>2.8043138648014221E-2</v>
      </c>
      <c r="BG6" s="38">
        <f t="shared" si="36"/>
        <v>-2.2330105231878505E-2</v>
      </c>
      <c r="BH6" s="38">
        <f t="shared" si="37"/>
        <v>-9.0834509658264118E-2</v>
      </c>
      <c r="BI6" s="38">
        <f t="shared" si="38"/>
        <v>-1.7450143613951141E-2</v>
      </c>
      <c r="BJ6" s="38">
        <f t="shared" si="39"/>
        <v>1.9000695582885641E-2</v>
      </c>
      <c r="BK6" s="38">
        <f t="shared" si="40"/>
        <v>0.1074416021986746</v>
      </c>
      <c r="BL6" s="38">
        <f t="shared" si="41"/>
        <v>6.4423305734671032E-3</v>
      </c>
      <c r="BM6" s="38">
        <f t="shared" si="42"/>
        <v>-3.0011957816578949E-2</v>
      </c>
      <c r="BN6" s="38">
        <f t="shared" si="43"/>
        <v>-0.11640480669977471</v>
      </c>
      <c r="BO6" s="7"/>
      <c r="BX6" s="7"/>
      <c r="CN6" s="7"/>
      <c r="CO6" s="8"/>
      <c r="CP6" s="7"/>
      <c r="DG6" s="7"/>
      <c r="DO6" s="7"/>
      <c r="EE6" s="7"/>
      <c r="EF6" s="7"/>
      <c r="GH6" s="7"/>
      <c r="GJ6" s="9"/>
    </row>
    <row r="7" spans="1:192" x14ac:dyDescent="0.25">
      <c r="A7" s="7">
        <v>1875</v>
      </c>
      <c r="B7" s="8">
        <v>1973.2553911205073</v>
      </c>
      <c r="C7" s="8">
        <v>2860.7850273430136</v>
      </c>
      <c r="D7" s="8">
        <v>732.34719508791511</v>
      </c>
      <c r="E7" s="8">
        <v>1783.9665929746991</v>
      </c>
      <c r="F7" s="8">
        <v>2111.6016218955906</v>
      </c>
      <c r="G7" s="8">
        <v>1211.1848341232228</v>
      </c>
      <c r="H7" s="8">
        <v>2219.0691766306481</v>
      </c>
      <c r="I7" s="8">
        <v>2112.351712839572</v>
      </c>
      <c r="J7" s="8">
        <v>1549.5933965600302</v>
      </c>
      <c r="K7" s="8">
        <v>809.85438537080938</v>
      </c>
      <c r="L7" s="8">
        <v>2879.6198521647307</v>
      </c>
      <c r="M7" s="8">
        <v>3687.8793103448279</v>
      </c>
      <c r="N7" s="8">
        <v>1551.2199482841377</v>
      </c>
      <c r="O7" s="8">
        <v>959.39883355764925</v>
      </c>
      <c r="P7" s="8">
        <v>1496.3304421665555</v>
      </c>
      <c r="Q7" s="8">
        <v>780.60522696011003</v>
      </c>
      <c r="R7" s="8">
        <v>1453.0032095369097</v>
      </c>
      <c r="S7" s="8">
        <v>2645.4545454545455</v>
      </c>
      <c r="T7" s="8">
        <v>3433.6683821066422</v>
      </c>
      <c r="U7" s="8">
        <v>2598.5854790584594</v>
      </c>
      <c r="V7" s="8">
        <v>1942.3558897243108</v>
      </c>
      <c r="W7" s="7"/>
      <c r="X7" s="35">
        <f t="shared" si="1"/>
        <v>7.5874399406868989</v>
      </c>
      <c r="Y7" s="35">
        <f t="shared" si="2"/>
        <v>7.9588513512347294</v>
      </c>
      <c r="Z7" s="35">
        <f t="shared" si="3"/>
        <v>6.596254711741163</v>
      </c>
      <c r="AA7" s="35">
        <f t="shared" si="4"/>
        <v>7.4865945870535793</v>
      </c>
      <c r="AB7" s="35">
        <f t="shared" si="5"/>
        <v>7.6552020010376252</v>
      </c>
      <c r="AC7" s="35">
        <f t="shared" si="6"/>
        <v>7.0993543612402128</v>
      </c>
      <c r="AD7" s="35">
        <f t="shared" si="7"/>
        <v>7.7048430971337618</v>
      </c>
      <c r="AE7" s="35">
        <f t="shared" si="8"/>
        <v>7.6555571616620091</v>
      </c>
      <c r="AF7" s="35">
        <f t="shared" si="9"/>
        <v>7.3457478507001435</v>
      </c>
      <c r="AG7" s="35">
        <f t="shared" si="10"/>
        <v>6.6968544603585656</v>
      </c>
      <c r="AH7" s="35">
        <f t="shared" si="11"/>
        <v>7.9654135686416474</v>
      </c>
      <c r="AI7" s="35">
        <f t="shared" si="12"/>
        <v>8.2128068591802812</v>
      </c>
      <c r="AJ7" s="35">
        <f t="shared" si="13"/>
        <v>7.3467969637504327</v>
      </c>
      <c r="AK7" s="35">
        <f t="shared" si="14"/>
        <v>6.8663068732632313</v>
      </c>
      <c r="AL7" s="35">
        <f t="shared" si="15"/>
        <v>7.3107710179443606</v>
      </c>
      <c r="AM7" s="35">
        <f t="shared" si="16"/>
        <v>6.6600695508041756</v>
      </c>
      <c r="AN7" s="35">
        <f t="shared" si="17"/>
        <v>7.2813878724714289</v>
      </c>
      <c r="AO7" s="35">
        <f t="shared" si="18"/>
        <v>7.8805981803612131</v>
      </c>
      <c r="AP7" s="35">
        <f t="shared" si="19"/>
        <v>8.1413844678096652</v>
      </c>
      <c r="AQ7" s="35">
        <f t="shared" si="20"/>
        <v>7.8627225294465921</v>
      </c>
      <c r="AR7" s="35">
        <f t="shared" si="21"/>
        <v>7.5716568914456204</v>
      </c>
      <c r="AS7" s="38"/>
      <c r="AT7" s="38">
        <f t="shared" si="23"/>
        <v>-3.8813561991730694E-3</v>
      </c>
      <c r="AU7" s="38">
        <f t="shared" si="24"/>
        <v>-1.0081501664147119E-2</v>
      </c>
      <c r="AV7" s="38">
        <f t="shared" si="25"/>
        <v>5.4143560313875128E-3</v>
      </c>
      <c r="AW7" s="38">
        <f t="shared" si="26"/>
        <v>-3.8352885429260297E-2</v>
      </c>
      <c r="AX7" s="38">
        <f t="shared" si="27"/>
        <v>7.2728848938856672E-3</v>
      </c>
      <c r="AY7" s="38">
        <f t="shared" si="28"/>
        <v>5.8499661486610677E-3</v>
      </c>
      <c r="AZ7" s="38">
        <f t="shared" si="29"/>
        <v>2.8261682945358579E-2</v>
      </c>
      <c r="BA7" s="38">
        <f t="shared" si="30"/>
        <v>-5.4804114098185863E-3</v>
      </c>
      <c r="BB7" s="38">
        <f t="shared" si="31"/>
        <v>2.3843505837304768E-2</v>
      </c>
      <c r="BC7" s="38">
        <f t="shared" si="32"/>
        <v>6.8575103604481491E-2</v>
      </c>
      <c r="BD7" s="38">
        <f t="shared" si="33"/>
        <v>5.4418488032731638E-2</v>
      </c>
      <c r="BE7" s="38">
        <f t="shared" si="34"/>
        <v>-4.1331475140825802E-2</v>
      </c>
      <c r="BF7" s="38">
        <f t="shared" si="35"/>
        <v>1.7868493640682992E-2</v>
      </c>
      <c r="BG7" s="38">
        <f t="shared" si="36"/>
        <v>-7.2433036690444652E-3</v>
      </c>
      <c r="BH7" s="38">
        <f t="shared" si="37"/>
        <v>2.5344197551614656E-2</v>
      </c>
      <c r="BI7" s="38">
        <f t="shared" si="38"/>
        <v>7.5979437165694108E-3</v>
      </c>
      <c r="BJ7" s="38">
        <f t="shared" si="39"/>
        <v>-1.7689765874894903E-2</v>
      </c>
      <c r="BK7" s="38">
        <f t="shared" si="40"/>
        <v>9.8777758677846883E-2</v>
      </c>
      <c r="BL7" s="38">
        <f t="shared" si="41"/>
        <v>1.3848753229472877E-2</v>
      </c>
      <c r="BM7" s="38">
        <f t="shared" si="42"/>
        <v>2.7833499616814805E-2</v>
      </c>
      <c r="BN7" s="38">
        <f t="shared" si="43"/>
        <v>-0.17561410748166484</v>
      </c>
      <c r="BO7" s="7"/>
      <c r="BX7" s="7"/>
      <c r="CN7" s="7"/>
      <c r="CO7" s="8"/>
      <c r="CP7" s="7"/>
      <c r="DG7" s="7"/>
      <c r="DO7" s="7"/>
      <c r="EE7" s="7"/>
      <c r="EF7" s="7"/>
      <c r="GH7" s="7"/>
      <c r="GJ7" s="9"/>
    </row>
    <row r="8" spans="1:192" x14ac:dyDescent="0.25">
      <c r="A8" s="7">
        <v>1876</v>
      </c>
      <c r="B8" s="8">
        <v>2000.1167225481979</v>
      </c>
      <c r="C8" s="8">
        <v>2874.6164639850326</v>
      </c>
      <c r="D8" s="8">
        <v>736.18847593827047</v>
      </c>
      <c r="E8" s="8">
        <v>1640.9166666666663</v>
      </c>
      <c r="F8" s="8">
        <v>2130.3309929789366</v>
      </c>
      <c r="G8" s="8">
        <v>1259.2427385892117</v>
      </c>
      <c r="H8" s="8">
        <v>2028.2194645554457</v>
      </c>
      <c r="I8" s="8">
        <v>2070.6703622472346</v>
      </c>
      <c r="J8" s="8">
        <v>1506.0717787351145</v>
      </c>
      <c r="K8" s="8">
        <v>784.56024416879006</v>
      </c>
      <c r="L8" s="8">
        <v>2889.8747390396661</v>
      </c>
      <c r="M8" s="8">
        <v>3623.1152073732715</v>
      </c>
      <c r="N8" s="8">
        <v>1572.4498425015311</v>
      </c>
      <c r="O8" s="8">
        <v>931.53434433541486</v>
      </c>
      <c r="P8" s="8">
        <v>1519.2505288606831</v>
      </c>
      <c r="Q8" s="8">
        <v>788.73720136518773</v>
      </c>
      <c r="R8" s="8">
        <v>1539.0376758965047</v>
      </c>
      <c r="S8" s="8">
        <v>2568.280346820809</v>
      </c>
      <c r="T8" s="8">
        <v>3430.1604216867477</v>
      </c>
      <c r="U8" s="8">
        <v>2570.3545271890594</v>
      </c>
      <c r="V8" s="8">
        <v>2104.6228710462287</v>
      </c>
      <c r="W8" s="7"/>
      <c r="X8" s="35">
        <f t="shared" si="1"/>
        <v>7.6009608191132285</v>
      </c>
      <c r="Y8" s="35">
        <f t="shared" si="2"/>
        <v>7.9636745405010751</v>
      </c>
      <c r="Z8" s="35">
        <f t="shared" si="3"/>
        <v>6.6014861673834888</v>
      </c>
      <c r="AA8" s="35">
        <f t="shared" si="4"/>
        <v>7.4030103077571692</v>
      </c>
      <c r="AB8" s="35">
        <f t="shared" si="5"/>
        <v>7.6640326423955587</v>
      </c>
      <c r="AC8" s="35">
        <f t="shared" si="6"/>
        <v>7.1382658181522842</v>
      </c>
      <c r="AD8" s="35">
        <f t="shared" si="7"/>
        <v>7.614913576092424</v>
      </c>
      <c r="AE8" s="35">
        <f t="shared" si="8"/>
        <v>7.6356276803287058</v>
      </c>
      <c r="AF8" s="35">
        <f t="shared" si="9"/>
        <v>7.3172600690667551</v>
      </c>
      <c r="AG8" s="35">
        <f t="shared" si="10"/>
        <v>6.6651233623015012</v>
      </c>
      <c r="AH8" s="35">
        <f t="shared" si="11"/>
        <v>7.9689684372742988</v>
      </c>
      <c r="AI8" s="35">
        <f t="shared" si="12"/>
        <v>8.1950894892780681</v>
      </c>
      <c r="AJ8" s="35">
        <f t="shared" si="13"/>
        <v>7.3603900914054927</v>
      </c>
      <c r="AK8" s="35">
        <f t="shared" si="14"/>
        <v>6.8368330592872617</v>
      </c>
      <c r="AL8" s="35">
        <f t="shared" si="15"/>
        <v>7.3259724191218272</v>
      </c>
      <c r="AM8" s="35">
        <f t="shared" si="16"/>
        <v>6.670433187245405</v>
      </c>
      <c r="AN8" s="35">
        <f t="shared" si="17"/>
        <v>7.3389126143036902</v>
      </c>
      <c r="AO8" s="35">
        <f t="shared" si="18"/>
        <v>7.8509918281740596</v>
      </c>
      <c r="AP8" s="35">
        <f t="shared" si="19"/>
        <v>8.1403623092373589</v>
      </c>
      <c r="AQ8" s="35">
        <f t="shared" si="20"/>
        <v>7.8517991166978618</v>
      </c>
      <c r="AR8" s="35">
        <f t="shared" si="21"/>
        <v>7.6518915714177815</v>
      </c>
      <c r="AS8" s="38"/>
      <c r="AT8" s="38">
        <f t="shared" si="23"/>
        <v>1.3520878426329652E-2</v>
      </c>
      <c r="AU8" s="38">
        <f t="shared" si="24"/>
        <v>4.8231892663457288E-3</v>
      </c>
      <c r="AV8" s="38">
        <f t="shared" si="25"/>
        <v>5.2314556423258551E-3</v>
      </c>
      <c r="AW8" s="38">
        <f t="shared" si="26"/>
        <v>-8.3584279296410102E-2</v>
      </c>
      <c r="AX8" s="38">
        <f t="shared" si="27"/>
        <v>8.8306413579335441E-3</v>
      </c>
      <c r="AY8" s="38">
        <f t="shared" si="28"/>
        <v>3.8911456912071429E-2</v>
      </c>
      <c r="AZ8" s="38">
        <f t="shared" si="29"/>
        <v>-8.9929521041337779E-2</v>
      </c>
      <c r="BA8" s="38">
        <f t="shared" si="30"/>
        <v>-1.9929481333303301E-2</v>
      </c>
      <c r="BB8" s="38">
        <f t="shared" si="31"/>
        <v>-2.8487781633388387E-2</v>
      </c>
      <c r="BC8" s="38">
        <f t="shared" si="32"/>
        <v>-3.1731098057064422E-2</v>
      </c>
      <c r="BD8" s="38">
        <f t="shared" si="33"/>
        <v>3.5548686326514201E-3</v>
      </c>
      <c r="BE8" s="38">
        <f t="shared" si="34"/>
        <v>-1.7717369902213065E-2</v>
      </c>
      <c r="BF8" s="38">
        <f t="shared" si="35"/>
        <v>1.3593127655060044E-2</v>
      </c>
      <c r="BG8" s="38">
        <f t="shared" si="36"/>
        <v>-2.9473813975969598E-2</v>
      </c>
      <c r="BH8" s="38">
        <f t="shared" si="37"/>
        <v>1.52014011774666E-2</v>
      </c>
      <c r="BI8" s="38">
        <f t="shared" si="38"/>
        <v>1.0363636441229396E-2</v>
      </c>
      <c r="BJ8" s="38">
        <f t="shared" si="39"/>
        <v>5.7524741832261306E-2</v>
      </c>
      <c r="BK8" s="38">
        <f t="shared" si="40"/>
        <v>-2.9606352187153462E-2</v>
      </c>
      <c r="BL8" s="38">
        <f t="shared" si="41"/>
        <v>-1.0221585723062532E-3</v>
      </c>
      <c r="BM8" s="38">
        <f t="shared" si="42"/>
        <v>-1.0923412748730321E-2</v>
      </c>
      <c r="BN8" s="38">
        <f t="shared" si="43"/>
        <v>8.023467997216116E-2</v>
      </c>
      <c r="BO8" s="7"/>
      <c r="BX8" s="7"/>
      <c r="CN8" s="7"/>
      <c r="CO8" s="8"/>
      <c r="CP8" s="7"/>
      <c r="DG8" s="7"/>
      <c r="DO8" s="7"/>
      <c r="EE8" s="7"/>
      <c r="EF8" s="7"/>
      <c r="GH8" s="7"/>
      <c r="GJ8" s="9"/>
    </row>
    <row r="9" spans="1:192" x14ac:dyDescent="0.25">
      <c r="A9" s="7">
        <v>1877</v>
      </c>
      <c r="B9" s="8">
        <v>2050.4404984423672</v>
      </c>
      <c r="C9" s="8">
        <v>2884.4840563589173</v>
      </c>
      <c r="D9" s="8">
        <v>740.13983506633201</v>
      </c>
      <c r="E9" s="8">
        <v>1727.4407265774375</v>
      </c>
      <c r="F9" s="8">
        <v>2046.151560178306</v>
      </c>
      <c r="G9" s="8">
        <v>1211.2003065917222</v>
      </c>
      <c r="H9" s="8">
        <v>2127.4821650767317</v>
      </c>
      <c r="I9" s="8">
        <v>2032.6288242851026</v>
      </c>
      <c r="J9" s="8">
        <v>1493.4223179274436</v>
      </c>
      <c r="K9" s="8">
        <v>802.65422844133491</v>
      </c>
      <c r="L9" s="8">
        <v>2926.6031419005922</v>
      </c>
      <c r="M9" s="8">
        <v>3982.4666666666662</v>
      </c>
      <c r="N9" s="8">
        <v>1564.7486975085314</v>
      </c>
      <c r="O9" s="8">
        <v>969.18643316337841</v>
      </c>
      <c r="P9" s="8">
        <v>1668.4334156477744</v>
      </c>
      <c r="Q9" s="8">
        <v>793.02168021680222</v>
      </c>
      <c r="R9" s="8">
        <v>1505.0482387256002</v>
      </c>
      <c r="S9" s="8">
        <v>2302.9432878679108</v>
      </c>
      <c r="T9" s="8">
        <v>3425.1970455086971</v>
      </c>
      <c r="U9" s="8">
        <v>2595.3935552033809</v>
      </c>
      <c r="V9" s="8">
        <v>2122.6415094339623</v>
      </c>
      <c r="W9" s="7"/>
      <c r="X9" s="35">
        <f t="shared" si="1"/>
        <v>7.6258099263385954</v>
      </c>
      <c r="Y9" s="35">
        <f t="shared" si="2"/>
        <v>7.9671013263316652</v>
      </c>
      <c r="Z9" s="35">
        <f t="shared" si="3"/>
        <v>6.6068391346521862</v>
      </c>
      <c r="AA9" s="35">
        <f t="shared" si="4"/>
        <v>7.4543962433758502</v>
      </c>
      <c r="AB9" s="35">
        <f t="shared" si="5"/>
        <v>7.6237160201015381</v>
      </c>
      <c r="AC9" s="35">
        <f t="shared" si="6"/>
        <v>7.0993671358137025</v>
      </c>
      <c r="AD9" s="35">
        <f t="shared" si="7"/>
        <v>7.662694477369727</v>
      </c>
      <c r="AE9" s="35">
        <f t="shared" si="8"/>
        <v>7.6170852215954925</v>
      </c>
      <c r="AF9" s="35">
        <f t="shared" si="9"/>
        <v>7.3088256228634743</v>
      </c>
      <c r="AG9" s="35">
        <f t="shared" si="10"/>
        <v>6.6879240215126305</v>
      </c>
      <c r="AH9" s="35">
        <f t="shared" si="11"/>
        <v>7.9815976922245486</v>
      </c>
      <c r="AI9" s="35">
        <f t="shared" si="12"/>
        <v>8.289656671797303</v>
      </c>
      <c r="AJ9" s="35">
        <f t="shared" si="13"/>
        <v>7.3554805134085743</v>
      </c>
      <c r="AK9" s="35">
        <f t="shared" si="14"/>
        <v>6.87645699087017</v>
      </c>
      <c r="AL9" s="35">
        <f t="shared" si="15"/>
        <v>7.4196403906811845</v>
      </c>
      <c r="AM9" s="35">
        <f t="shared" si="16"/>
        <v>6.6758505607526848</v>
      </c>
      <c r="AN9" s="35">
        <f t="shared" si="17"/>
        <v>7.3165802289786805</v>
      </c>
      <c r="AO9" s="35">
        <f t="shared" si="18"/>
        <v>7.7419432741887366</v>
      </c>
      <c r="AP9" s="35">
        <f t="shared" si="19"/>
        <v>8.1389142805768362</v>
      </c>
      <c r="AQ9" s="35">
        <f t="shared" si="20"/>
        <v>7.8614934431388317</v>
      </c>
      <c r="AR9" s="35">
        <f t="shared" si="21"/>
        <v>7.66041658707449</v>
      </c>
      <c r="AS9" s="38"/>
      <c r="AT9" s="38">
        <f t="shared" si="23"/>
        <v>2.4849107225366929E-2</v>
      </c>
      <c r="AU9" s="38">
        <f t="shared" si="24"/>
        <v>3.4267858305900845E-3</v>
      </c>
      <c r="AV9" s="38">
        <f t="shared" si="25"/>
        <v>5.3529672686973839E-3</v>
      </c>
      <c r="AW9" s="38">
        <f t="shared" si="26"/>
        <v>5.1385935618680989E-2</v>
      </c>
      <c r="AX9" s="38">
        <f t="shared" si="27"/>
        <v>-4.0316622294020554E-2</v>
      </c>
      <c r="AY9" s="38">
        <f t="shared" si="28"/>
        <v>-3.8898682338581736E-2</v>
      </c>
      <c r="AZ9" s="38">
        <f t="shared" si="29"/>
        <v>4.7780901277302945E-2</v>
      </c>
      <c r="BA9" s="38">
        <f t="shared" si="30"/>
        <v>-1.8542458733213252E-2</v>
      </c>
      <c r="BB9" s="38">
        <f t="shared" si="31"/>
        <v>-8.434446203280821E-3</v>
      </c>
      <c r="BC9" s="38">
        <f t="shared" si="32"/>
        <v>2.2800659211129393E-2</v>
      </c>
      <c r="BD9" s="38">
        <f t="shared" si="33"/>
        <v>1.2629254950249802E-2</v>
      </c>
      <c r="BE9" s="38">
        <f t="shared" si="34"/>
        <v>9.4567182519234905E-2</v>
      </c>
      <c r="BF9" s="38">
        <f t="shared" si="35"/>
        <v>-4.9095779969183795E-3</v>
      </c>
      <c r="BG9" s="38">
        <f t="shared" si="36"/>
        <v>3.9623931582908334E-2</v>
      </c>
      <c r="BH9" s="38">
        <f t="shared" si="37"/>
        <v>9.3667971559357355E-2</v>
      </c>
      <c r="BI9" s="38">
        <f t="shared" si="38"/>
        <v>5.4173735072797768E-3</v>
      </c>
      <c r="BJ9" s="38">
        <f t="shared" si="39"/>
        <v>-2.2332385325009696E-2</v>
      </c>
      <c r="BK9" s="38">
        <f t="shared" si="40"/>
        <v>-0.10904855398532298</v>
      </c>
      <c r="BL9" s="38">
        <f t="shared" si="41"/>
        <v>-1.4480286605227377E-3</v>
      </c>
      <c r="BM9" s="38">
        <f t="shared" si="42"/>
        <v>9.6943264409699026E-3</v>
      </c>
      <c r="BN9" s="38">
        <f t="shared" si="43"/>
        <v>8.52501565670849E-3</v>
      </c>
      <c r="BO9" s="7"/>
      <c r="BX9" s="7"/>
      <c r="CN9" s="7"/>
      <c r="CO9" s="8"/>
      <c r="CP9" s="7"/>
      <c r="DG9" s="7"/>
      <c r="DO9" s="7"/>
      <c r="EE9" s="7"/>
      <c r="EF9" s="7"/>
      <c r="GH9" s="7"/>
      <c r="GJ9" s="9"/>
    </row>
    <row r="10" spans="1:192" x14ac:dyDescent="0.25">
      <c r="A10" s="7">
        <v>1878</v>
      </c>
      <c r="B10" s="8">
        <v>2100.3057442865966</v>
      </c>
      <c r="C10" s="8">
        <v>2942.2574421168688</v>
      </c>
      <c r="D10" s="8">
        <v>744.12670479542453</v>
      </c>
      <c r="E10" s="8">
        <v>1637.2016965127236</v>
      </c>
      <c r="F10" s="8">
        <v>2102.0851688693097</v>
      </c>
      <c r="G10" s="8">
        <v>1172.7665153807361</v>
      </c>
      <c r="H10" s="8">
        <v>2091.1263060134665</v>
      </c>
      <c r="I10" s="8">
        <v>2102.9982607060592</v>
      </c>
      <c r="J10" s="8">
        <v>1505.8995352925483</v>
      </c>
      <c r="K10" s="8">
        <v>793.74913947404661</v>
      </c>
      <c r="L10" s="8">
        <v>2991.1319770474697</v>
      </c>
      <c r="M10" s="8">
        <v>4270.7601713062095</v>
      </c>
      <c r="N10" s="8">
        <v>1489.8180253492276</v>
      </c>
      <c r="O10" s="8">
        <v>964.08109299250771</v>
      </c>
      <c r="P10" s="8">
        <v>1617.916891527253</v>
      </c>
      <c r="Q10" s="8">
        <v>717.64705882352939</v>
      </c>
      <c r="R10" s="8">
        <v>1452.0851818988465</v>
      </c>
      <c r="S10" s="8">
        <v>2331.4306100606491</v>
      </c>
      <c r="T10" s="8">
        <v>3402.5006483555339</v>
      </c>
      <c r="U10" s="8">
        <v>2645.9617054712376</v>
      </c>
      <c r="V10" s="8">
        <v>2247.1395881006865</v>
      </c>
      <c r="W10" s="7"/>
      <c r="X10" s="35">
        <f t="shared" si="1"/>
        <v>7.6498382056313794</v>
      </c>
      <c r="Y10" s="35">
        <f t="shared" si="2"/>
        <v>7.9869324031510782</v>
      </c>
      <c r="Z10" s="35">
        <f t="shared" si="3"/>
        <v>6.6122113224777159</v>
      </c>
      <c r="AA10" s="35">
        <f t="shared" si="4"/>
        <v>7.4007437808458585</v>
      </c>
      <c r="AB10" s="35">
        <f t="shared" si="5"/>
        <v>7.6506850686319101</v>
      </c>
      <c r="AC10" s="35">
        <f t="shared" si="6"/>
        <v>7.0671207797192874</v>
      </c>
      <c r="AD10" s="35">
        <f t="shared" si="7"/>
        <v>7.6454581022018946</v>
      </c>
      <c r="AE10" s="35">
        <f t="shared" si="8"/>
        <v>7.6511193486486535</v>
      </c>
      <c r="AF10" s="35">
        <f t="shared" si="9"/>
        <v>7.3171456965015507</v>
      </c>
      <c r="AG10" s="35">
        <f t="shared" si="10"/>
        <v>6.6767674660791281</v>
      </c>
      <c r="AH10" s="35">
        <f t="shared" si="11"/>
        <v>8.0034071823798083</v>
      </c>
      <c r="AI10" s="35">
        <f t="shared" si="12"/>
        <v>8.3595471164449382</v>
      </c>
      <c r="AJ10" s="35">
        <f t="shared" si="13"/>
        <v>7.306409260842849</v>
      </c>
      <c r="AK10" s="35">
        <f t="shared" si="14"/>
        <v>6.8711754124340647</v>
      </c>
      <c r="AL10" s="35">
        <f t="shared" si="15"/>
        <v>7.3888947313593203</v>
      </c>
      <c r="AM10" s="35">
        <f t="shared" si="16"/>
        <v>6.5759778866651315</v>
      </c>
      <c r="AN10" s="35">
        <f t="shared" si="17"/>
        <v>7.2807558588835963</v>
      </c>
      <c r="AO10" s="35">
        <f t="shared" si="18"/>
        <v>7.7542373538756708</v>
      </c>
      <c r="AP10" s="35">
        <f t="shared" si="19"/>
        <v>8.1322659250782952</v>
      </c>
      <c r="AQ10" s="35">
        <f t="shared" si="20"/>
        <v>7.8807898719591503</v>
      </c>
      <c r="AR10" s="35">
        <f t="shared" si="21"/>
        <v>7.7174133922410126</v>
      </c>
      <c r="AS10" s="38"/>
      <c r="AT10" s="38">
        <f t="shared" si="23"/>
        <v>2.4028279292783949E-2</v>
      </c>
      <c r="AU10" s="38">
        <f t="shared" si="24"/>
        <v>1.9831076819412985E-2</v>
      </c>
      <c r="AV10" s="38">
        <f t="shared" si="25"/>
        <v>5.3721878255297284E-3</v>
      </c>
      <c r="AW10" s="38">
        <f t="shared" si="26"/>
        <v>-5.3652462529991674E-2</v>
      </c>
      <c r="AX10" s="38">
        <f t="shared" si="27"/>
        <v>2.6969048530371964E-2</v>
      </c>
      <c r="AY10" s="38">
        <f t="shared" si="28"/>
        <v>-3.2246356094415063E-2</v>
      </c>
      <c r="AZ10" s="38">
        <f t="shared" si="29"/>
        <v>-1.7236375167832385E-2</v>
      </c>
      <c r="BA10" s="38">
        <f t="shared" si="30"/>
        <v>3.4034127053161001E-2</v>
      </c>
      <c r="BB10" s="38">
        <f t="shared" si="31"/>
        <v>8.3200736380764084E-3</v>
      </c>
      <c r="BC10" s="38">
        <f t="shared" si="32"/>
        <v>-1.1156555433502469E-2</v>
      </c>
      <c r="BD10" s="38">
        <f t="shared" si="33"/>
        <v>2.1809490155259681E-2</v>
      </c>
      <c r="BE10" s="38">
        <f t="shared" si="34"/>
        <v>6.9890444647635164E-2</v>
      </c>
      <c r="BF10" s="38">
        <f t="shared" si="35"/>
        <v>-4.907125256572531E-2</v>
      </c>
      <c r="BG10" s="38">
        <f t="shared" si="36"/>
        <v>-5.2815784361053275E-3</v>
      </c>
      <c r="BH10" s="38">
        <f t="shared" si="37"/>
        <v>-3.0745659321864238E-2</v>
      </c>
      <c r="BI10" s="38">
        <f t="shared" si="38"/>
        <v>-9.9872674087553293E-2</v>
      </c>
      <c r="BJ10" s="38">
        <f t="shared" si="39"/>
        <v>-3.5824370095084213E-2</v>
      </c>
      <c r="BK10" s="38">
        <f t="shared" si="40"/>
        <v>1.229407968693419E-2</v>
      </c>
      <c r="BL10" s="38">
        <f t="shared" si="41"/>
        <v>-6.6483554985410365E-3</v>
      </c>
      <c r="BM10" s="38">
        <f t="shared" si="42"/>
        <v>1.9296428820318567E-2</v>
      </c>
      <c r="BN10" s="38">
        <f t="shared" si="43"/>
        <v>5.6996805166522613E-2</v>
      </c>
      <c r="BO10" s="7"/>
      <c r="BX10" s="7"/>
      <c r="CN10" s="7"/>
      <c r="CO10" s="8"/>
      <c r="CP10" s="7"/>
      <c r="DG10" s="7"/>
      <c r="DO10" s="7"/>
      <c r="EE10" s="7"/>
      <c r="EF10" s="7"/>
      <c r="GH10" s="7"/>
      <c r="GJ10" s="9"/>
    </row>
    <row r="11" spans="1:192" x14ac:dyDescent="0.25">
      <c r="A11" s="7">
        <v>1879</v>
      </c>
      <c r="B11" s="8">
        <v>2067.9387630128599</v>
      </c>
      <c r="C11" s="8">
        <v>2944.9198834668609</v>
      </c>
      <c r="D11" s="8">
        <v>748.14302988426334</v>
      </c>
      <c r="E11" s="8">
        <v>1765.2337662337663</v>
      </c>
      <c r="F11" s="8">
        <v>2148.5465116279074</v>
      </c>
      <c r="G11" s="8">
        <v>1167.4041708043694</v>
      </c>
      <c r="H11" s="8">
        <v>1953.3067927728805</v>
      </c>
      <c r="I11" s="8">
        <v>2028.6671002508592</v>
      </c>
      <c r="J11" s="8">
        <v>1514.394934440719</v>
      </c>
      <c r="K11" s="8">
        <v>835.40771945181507</v>
      </c>
      <c r="L11" s="8">
        <v>2778.2237832413448</v>
      </c>
      <c r="M11" s="8">
        <v>3569.2408906882588</v>
      </c>
      <c r="N11" s="8">
        <v>1483.2470630994219</v>
      </c>
      <c r="O11" s="8">
        <v>959.08991467950125</v>
      </c>
      <c r="P11" s="8">
        <v>1520.2767175572517</v>
      </c>
      <c r="Q11" s="8">
        <v>769.51300867244834</v>
      </c>
      <c r="R11" s="8">
        <v>1522.0636663007683</v>
      </c>
      <c r="S11" s="8">
        <v>2310.1736972704712</v>
      </c>
      <c r="T11" s="8">
        <v>3352.5074626865676</v>
      </c>
      <c r="U11" s="8">
        <v>2909.4331983805669</v>
      </c>
      <c r="V11" s="8">
        <v>1948.8888888888889</v>
      </c>
      <c r="W11" s="7"/>
      <c r="X11" s="35">
        <f t="shared" si="1"/>
        <v>7.6343076234939753</v>
      </c>
      <c r="Y11" s="35">
        <f t="shared" si="2"/>
        <v>7.98783689145991</v>
      </c>
      <c r="Z11" s="35">
        <f t="shared" si="3"/>
        <v>6.617594176117759</v>
      </c>
      <c r="AA11" s="35">
        <f t="shared" si="4"/>
        <v>7.4760384060554967</v>
      </c>
      <c r="AB11" s="35">
        <f t="shared" si="5"/>
        <v>7.6725468513995798</v>
      </c>
      <c r="AC11" s="35">
        <f t="shared" si="6"/>
        <v>7.0625379054927668</v>
      </c>
      <c r="AD11" s="35">
        <f t="shared" si="7"/>
        <v>7.5772790064930025</v>
      </c>
      <c r="AE11" s="35">
        <f t="shared" si="8"/>
        <v>7.6151342555174359</v>
      </c>
      <c r="AF11" s="35">
        <f t="shared" si="9"/>
        <v>7.3227712549613093</v>
      </c>
      <c r="AG11" s="35">
        <f t="shared" si="10"/>
        <v>6.7279198924463044</v>
      </c>
      <c r="AH11" s="35">
        <f t="shared" si="11"/>
        <v>7.9295670755923098</v>
      </c>
      <c r="AI11" s="35">
        <f t="shared" si="12"/>
        <v>8.1801082165019654</v>
      </c>
      <c r="AJ11" s="35">
        <f t="shared" si="13"/>
        <v>7.30198892509258</v>
      </c>
      <c r="AK11" s="35">
        <f t="shared" si="14"/>
        <v>6.8659848292782444</v>
      </c>
      <c r="AL11" s="35">
        <f t="shared" si="15"/>
        <v>7.3266476482955527</v>
      </c>
      <c r="AM11" s="35">
        <f t="shared" si="16"/>
        <v>6.6457578584933481</v>
      </c>
      <c r="AN11" s="35">
        <f t="shared" si="17"/>
        <v>7.327822368230569</v>
      </c>
      <c r="AO11" s="35">
        <f t="shared" si="18"/>
        <v>7.7450779943125214</v>
      </c>
      <c r="AP11" s="35">
        <f t="shared" si="19"/>
        <v>8.1174638411597897</v>
      </c>
      <c r="AQ11" s="35">
        <f t="shared" si="20"/>
        <v>7.975713564005189</v>
      </c>
      <c r="AR11" s="35">
        <f t="shared" si="21"/>
        <v>7.5750146885899543</v>
      </c>
      <c r="AS11" s="38"/>
      <c r="AT11" s="38">
        <f t="shared" si="23"/>
        <v>-1.5530582137404103E-2</v>
      </c>
      <c r="AU11" s="38">
        <f t="shared" si="24"/>
        <v>9.0448830883183007E-4</v>
      </c>
      <c r="AV11" s="38">
        <f t="shared" si="25"/>
        <v>5.3828536400430949E-3</v>
      </c>
      <c r="AW11" s="38">
        <f t="shared" si="26"/>
        <v>7.5294625209638255E-2</v>
      </c>
      <c r="AX11" s="38">
        <f t="shared" si="27"/>
        <v>2.1861782767669702E-2</v>
      </c>
      <c r="AY11" s="38">
        <f t="shared" si="28"/>
        <v>-4.5828742265205946E-3</v>
      </c>
      <c r="AZ11" s="38">
        <f t="shared" si="29"/>
        <v>-6.8179095708892135E-2</v>
      </c>
      <c r="BA11" s="38">
        <f t="shared" si="30"/>
        <v>-3.598509313121756E-2</v>
      </c>
      <c r="BB11" s="38">
        <f t="shared" si="31"/>
        <v>5.6255584597586505E-3</v>
      </c>
      <c r="BC11" s="38">
        <f t="shared" si="32"/>
        <v>5.1152426367176318E-2</v>
      </c>
      <c r="BD11" s="38">
        <f t="shared" si="33"/>
        <v>-7.3840106787498527E-2</v>
      </c>
      <c r="BE11" s="38">
        <f t="shared" si="34"/>
        <v>-0.1794388999429728</v>
      </c>
      <c r="BF11" s="38">
        <f t="shared" si="35"/>
        <v>-4.420335750269011E-3</v>
      </c>
      <c r="BG11" s="38">
        <f t="shared" si="36"/>
        <v>-5.1905831558203275E-3</v>
      </c>
      <c r="BH11" s="38">
        <f t="shared" si="37"/>
        <v>-6.2247083063767583E-2</v>
      </c>
      <c r="BI11" s="38">
        <f t="shared" si="38"/>
        <v>6.9779971828216603E-2</v>
      </c>
      <c r="BJ11" s="38">
        <f t="shared" si="39"/>
        <v>4.7066509346972651E-2</v>
      </c>
      <c r="BK11" s="38">
        <f t="shared" si="40"/>
        <v>-9.159359563149394E-3</v>
      </c>
      <c r="BL11" s="38">
        <f t="shared" si="41"/>
        <v>-1.480208391850546E-2</v>
      </c>
      <c r="BM11" s="38">
        <f t="shared" si="42"/>
        <v>9.4923692046038788E-2</v>
      </c>
      <c r="BN11" s="38">
        <f t="shared" si="43"/>
        <v>-0.14239870365105833</v>
      </c>
      <c r="BO11" s="7"/>
      <c r="BX11" s="7"/>
      <c r="CN11" s="7"/>
      <c r="CO11" s="8"/>
      <c r="CP11" s="7"/>
      <c r="DG11" s="7"/>
      <c r="DO11" s="7"/>
      <c r="EE11" s="7"/>
      <c r="EF11" s="7"/>
      <c r="GH11" s="7"/>
      <c r="GJ11" s="9"/>
    </row>
    <row r="12" spans="1:192" x14ac:dyDescent="0.25">
      <c r="A12" s="7">
        <v>1880</v>
      </c>
      <c r="B12" s="8">
        <v>2078.8378870673951</v>
      </c>
      <c r="C12" s="8">
        <v>3064.8213318895505</v>
      </c>
      <c r="D12" s="8">
        <v>752.16211633033743</v>
      </c>
      <c r="E12" s="8">
        <v>1815.8868613138688</v>
      </c>
      <c r="F12" s="8">
        <v>2181.4656415185009</v>
      </c>
      <c r="G12" s="8">
        <v>1154.8265754763067</v>
      </c>
      <c r="H12" s="8">
        <v>2120.430195927775</v>
      </c>
      <c r="I12" s="8">
        <v>1991.406436781609</v>
      </c>
      <c r="J12" s="8">
        <v>1580.8785695051738</v>
      </c>
      <c r="K12" s="8">
        <v>863.39554975955662</v>
      </c>
      <c r="L12" s="8">
        <v>3045.5107593371258</v>
      </c>
      <c r="M12" s="8">
        <v>3746.5326923076927</v>
      </c>
      <c r="N12" s="8">
        <v>1517.2859445182387</v>
      </c>
      <c r="O12" s="8">
        <v>947.28850325379608</v>
      </c>
      <c r="P12" s="8">
        <v>1646.005101132926</v>
      </c>
      <c r="Q12" s="8">
        <v>830.5196954650778</v>
      </c>
      <c r="R12" s="8">
        <v>1519.9037620297463</v>
      </c>
      <c r="S12" s="8">
        <v>2449.8062698133144</v>
      </c>
      <c r="T12" s="8">
        <v>3477.3199318372181</v>
      </c>
      <c r="U12" s="8">
        <v>3183.9549724523363</v>
      </c>
      <c r="V12" s="8">
        <v>2081.8965517241377</v>
      </c>
      <c r="W12" s="7"/>
      <c r="X12" s="35">
        <f t="shared" si="1"/>
        <v>7.6395643084191365</v>
      </c>
      <c r="Y12" s="35">
        <f t="shared" si="2"/>
        <v>8.0277445536498533</v>
      </c>
      <c r="Z12" s="35">
        <f t="shared" si="3"/>
        <v>6.6229518809422743</v>
      </c>
      <c r="AA12" s="35">
        <f t="shared" si="4"/>
        <v>7.5043292561818298</v>
      </c>
      <c r="AB12" s="35">
        <f t="shared" si="5"/>
        <v>7.6877522425054137</v>
      </c>
      <c r="AC12" s="35">
        <f t="shared" si="6"/>
        <v>7.0517054605793241</v>
      </c>
      <c r="AD12" s="35">
        <f t="shared" si="7"/>
        <v>7.6593742696874916</v>
      </c>
      <c r="AE12" s="35">
        <f t="shared" si="8"/>
        <v>7.5965964202384102</v>
      </c>
      <c r="AF12" s="35">
        <f t="shared" si="9"/>
        <v>7.3657360281276452</v>
      </c>
      <c r="AG12" s="35">
        <f t="shared" si="10"/>
        <v>6.7608729287874505</v>
      </c>
      <c r="AH12" s="35">
        <f t="shared" si="11"/>
        <v>8.021423903134238</v>
      </c>
      <c r="AI12" s="35">
        <f t="shared" si="12"/>
        <v>8.228586075859365</v>
      </c>
      <c r="AJ12" s="35">
        <f t="shared" si="13"/>
        <v>7.3246784550059445</v>
      </c>
      <c r="AK12" s="35">
        <f t="shared" si="14"/>
        <v>6.8536036964770037</v>
      </c>
      <c r="AL12" s="35">
        <f t="shared" si="15"/>
        <v>7.4061064803409167</v>
      </c>
      <c r="AM12" s="35">
        <f t="shared" si="16"/>
        <v>6.7220516439618878</v>
      </c>
      <c r="AN12" s="35">
        <f t="shared" si="17"/>
        <v>7.3264022973817635</v>
      </c>
      <c r="AO12" s="35">
        <f t="shared" si="18"/>
        <v>7.8037642268667087</v>
      </c>
      <c r="AP12" s="35">
        <f t="shared" si="19"/>
        <v>8.1540171415330427</v>
      </c>
      <c r="AQ12" s="35">
        <f t="shared" si="20"/>
        <v>8.0658794050465428</v>
      </c>
      <c r="AR12" s="35">
        <f t="shared" si="21"/>
        <v>7.6410345609684001</v>
      </c>
      <c r="AS12" s="38"/>
      <c r="AT12" s="38">
        <f t="shared" si="23"/>
        <v>5.2566849251611814E-3</v>
      </c>
      <c r="AU12" s="38">
        <f t="shared" si="24"/>
        <v>3.9907662189943238E-2</v>
      </c>
      <c r="AV12" s="38">
        <f t="shared" si="25"/>
        <v>5.3577048245152525E-3</v>
      </c>
      <c r="AW12" s="38">
        <f t="shared" si="26"/>
        <v>2.8290850126333034E-2</v>
      </c>
      <c r="AX12" s="38">
        <f t="shared" si="27"/>
        <v>1.5205391105833854E-2</v>
      </c>
      <c r="AY12" s="38">
        <f t="shared" si="28"/>
        <v>-1.0832444913442707E-2</v>
      </c>
      <c r="AZ12" s="38">
        <f t="shared" si="29"/>
        <v>8.2095263194489121E-2</v>
      </c>
      <c r="BA12" s="38">
        <f t="shared" si="30"/>
        <v>-1.8537835279025749E-2</v>
      </c>
      <c r="BB12" s="38">
        <f t="shared" si="31"/>
        <v>4.2964773166335846E-2</v>
      </c>
      <c r="BC12" s="38">
        <f t="shared" si="32"/>
        <v>3.2953036341146102E-2</v>
      </c>
      <c r="BD12" s="38">
        <f t="shared" si="33"/>
        <v>9.1856827541928254E-2</v>
      </c>
      <c r="BE12" s="38">
        <f t="shared" si="34"/>
        <v>4.8477859357399566E-2</v>
      </c>
      <c r="BF12" s="38">
        <f t="shared" si="35"/>
        <v>2.2689529913364481E-2</v>
      </c>
      <c r="BG12" s="38">
        <f t="shared" si="36"/>
        <v>-1.2381132801240646E-2</v>
      </c>
      <c r="BH12" s="38">
        <f t="shared" si="37"/>
        <v>7.945883204536397E-2</v>
      </c>
      <c r="BI12" s="38">
        <f t="shared" si="38"/>
        <v>7.629378546853971E-2</v>
      </c>
      <c r="BJ12" s="38">
        <f t="shared" si="39"/>
        <v>-1.4200708488054659E-3</v>
      </c>
      <c r="BK12" s="38">
        <f t="shared" si="40"/>
        <v>5.8686232554187256E-2</v>
      </c>
      <c r="BL12" s="38">
        <f t="shared" si="41"/>
        <v>3.6553300373252995E-2</v>
      </c>
      <c r="BM12" s="38">
        <f t="shared" si="42"/>
        <v>9.0165841041353723E-2</v>
      </c>
      <c r="BN12" s="38">
        <f t="shared" si="43"/>
        <v>6.6019872378445754E-2</v>
      </c>
      <c r="BO12" s="7"/>
      <c r="BX12" s="7"/>
      <c r="CN12" s="7"/>
      <c r="CO12" s="8"/>
      <c r="CP12" s="7"/>
      <c r="DG12" s="7"/>
      <c r="DO12" s="7"/>
      <c r="EE12" s="7"/>
      <c r="EF12" s="7"/>
      <c r="GH12" s="7"/>
      <c r="GJ12" s="9"/>
    </row>
    <row r="13" spans="1:192" x14ac:dyDescent="0.25">
      <c r="A13" s="7">
        <v>1881</v>
      </c>
      <c r="B13" s="8">
        <v>2145.1667001003011</v>
      </c>
      <c r="C13" s="8">
        <v>3069.6760613628262</v>
      </c>
      <c r="D13" s="8">
        <v>756.22138992925511</v>
      </c>
      <c r="E13" s="8">
        <v>2039.5776230060658</v>
      </c>
      <c r="F13" s="8">
        <v>2182.917658257973</v>
      </c>
      <c r="G13" s="8">
        <v>1110.0579150579151</v>
      </c>
      <c r="H13" s="8">
        <v>2193.6402490367686</v>
      </c>
      <c r="I13" s="8">
        <v>2025.2850525931501</v>
      </c>
      <c r="J13" s="8">
        <v>1467.4024200968333</v>
      </c>
      <c r="K13" s="8">
        <v>829.3004957965079</v>
      </c>
      <c r="L13" s="8">
        <v>3074.2829124785485</v>
      </c>
      <c r="M13" s="8">
        <v>3764.6215213358073</v>
      </c>
      <c r="N13" s="8">
        <v>1528.3978946908999</v>
      </c>
      <c r="O13" s="8">
        <v>970.32896151365298</v>
      </c>
      <c r="P13" s="8">
        <v>1679.07498082709</v>
      </c>
      <c r="Q13" s="8">
        <v>886.66228646517743</v>
      </c>
      <c r="R13" s="8">
        <v>1564.9890590809628</v>
      </c>
      <c r="S13" s="8">
        <v>2480.8973010865752</v>
      </c>
      <c r="T13" s="8">
        <v>3568.4267926148564</v>
      </c>
      <c r="U13" s="8">
        <v>3215.4494327735151</v>
      </c>
      <c r="V13" s="8">
        <v>1931.5352697095436</v>
      </c>
      <c r="W13" s="7"/>
      <c r="X13" s="35">
        <f t="shared" si="1"/>
        <v>7.6709725440068874</v>
      </c>
      <c r="Y13" s="35">
        <f t="shared" si="2"/>
        <v>8.0293273175424904</v>
      </c>
      <c r="Z13" s="35">
        <f t="shared" si="3"/>
        <v>6.6283341771309168</v>
      </c>
      <c r="AA13" s="35">
        <f t="shared" si="4"/>
        <v>7.6204980178549135</v>
      </c>
      <c r="AB13" s="35">
        <f t="shared" si="5"/>
        <v>7.6884176363048624</v>
      </c>
      <c r="AC13" s="35">
        <f t="shared" si="6"/>
        <v>7.012167468673125</v>
      </c>
      <c r="AD13" s="35">
        <f t="shared" si="7"/>
        <v>7.6933176570335791</v>
      </c>
      <c r="AE13" s="35">
        <f t="shared" si="8"/>
        <v>7.6134657363466021</v>
      </c>
      <c r="AF13" s="35">
        <f t="shared" si="9"/>
        <v>7.2912490555199359</v>
      </c>
      <c r="AG13" s="35">
        <f t="shared" si="10"/>
        <v>6.7205825693063801</v>
      </c>
      <c r="AH13" s="35">
        <f t="shared" si="11"/>
        <v>8.0308269538514896</v>
      </c>
      <c r="AI13" s="35">
        <f t="shared" si="12"/>
        <v>8.2334026096393451</v>
      </c>
      <c r="AJ13" s="35">
        <f t="shared" si="13"/>
        <v>7.3319753381122963</v>
      </c>
      <c r="AK13" s="35">
        <f t="shared" si="14"/>
        <v>6.877635149585041</v>
      </c>
      <c r="AL13" s="35">
        <f t="shared" si="15"/>
        <v>7.4259983141072565</v>
      </c>
      <c r="AM13" s="35">
        <f t="shared" si="16"/>
        <v>6.7874641730185656</v>
      </c>
      <c r="AN13" s="35">
        <f t="shared" si="17"/>
        <v>7.3556341119472366</v>
      </c>
      <c r="AO13" s="35">
        <f t="shared" si="18"/>
        <v>7.8163755886740454</v>
      </c>
      <c r="AP13" s="35">
        <f t="shared" si="19"/>
        <v>8.179880103310639</v>
      </c>
      <c r="AQ13" s="35">
        <f t="shared" si="20"/>
        <v>8.07572241936621</v>
      </c>
      <c r="AR13" s="35">
        <f t="shared" si="21"/>
        <v>7.5660704422086038</v>
      </c>
      <c r="AS13" s="38"/>
      <c r="AT13" s="38">
        <f t="shared" si="23"/>
        <v>3.1408235587750966E-2</v>
      </c>
      <c r="AU13" s="38">
        <f t="shared" si="24"/>
        <v>1.5827638926371179E-3</v>
      </c>
      <c r="AV13" s="38">
        <f t="shared" si="25"/>
        <v>5.3822961886424991E-3</v>
      </c>
      <c r="AW13" s="38">
        <f t="shared" si="26"/>
        <v>0.11616876167308376</v>
      </c>
      <c r="AX13" s="38">
        <f t="shared" si="27"/>
        <v>6.6539379944874355E-4</v>
      </c>
      <c r="AY13" s="38">
        <f t="shared" si="28"/>
        <v>-3.953799190619911E-2</v>
      </c>
      <c r="AZ13" s="38">
        <f t="shared" si="29"/>
        <v>3.3943387346087484E-2</v>
      </c>
      <c r="BA13" s="38">
        <f t="shared" si="30"/>
        <v>1.6869316108191867E-2</v>
      </c>
      <c r="BB13" s="38">
        <f t="shared" si="31"/>
        <v>-7.4486972607709312E-2</v>
      </c>
      <c r="BC13" s="38">
        <f t="shared" si="32"/>
        <v>-4.0290359481070404E-2</v>
      </c>
      <c r="BD13" s="38">
        <f t="shared" si="33"/>
        <v>9.4030507172515598E-3</v>
      </c>
      <c r="BE13" s="38">
        <f t="shared" si="34"/>
        <v>4.8165337799801478E-3</v>
      </c>
      <c r="BF13" s="38">
        <f t="shared" si="35"/>
        <v>7.2968831063517925E-3</v>
      </c>
      <c r="BG13" s="38">
        <f t="shared" si="36"/>
        <v>2.4031453108037226E-2</v>
      </c>
      <c r="BH13" s="38">
        <f t="shared" si="37"/>
        <v>1.989183376633985E-2</v>
      </c>
      <c r="BI13" s="38">
        <f t="shared" si="38"/>
        <v>6.5412529056677826E-2</v>
      </c>
      <c r="BJ13" s="38">
        <f t="shared" si="39"/>
        <v>2.923181456547308E-2</v>
      </c>
      <c r="BK13" s="38">
        <f t="shared" si="40"/>
        <v>1.2611361807336685E-2</v>
      </c>
      <c r="BL13" s="38">
        <f t="shared" si="41"/>
        <v>2.5862961777596283E-2</v>
      </c>
      <c r="BM13" s="38">
        <f t="shared" si="42"/>
        <v>9.8430143196672759E-3</v>
      </c>
      <c r="BN13" s="38">
        <f t="shared" si="43"/>
        <v>-7.496411875979625E-2</v>
      </c>
      <c r="BO13" s="7"/>
      <c r="BX13" s="7"/>
      <c r="CN13" s="7"/>
      <c r="CO13" s="8"/>
      <c r="CP13" s="7"/>
      <c r="DG13" s="7"/>
      <c r="DO13" s="7"/>
      <c r="EE13" s="7"/>
      <c r="EF13" s="7"/>
      <c r="GH13" s="7"/>
      <c r="GJ13" s="9"/>
    </row>
    <row r="14" spans="1:192" x14ac:dyDescent="0.25">
      <c r="A14" s="7">
        <v>1882</v>
      </c>
      <c r="B14" s="8">
        <v>2139.9620278330017</v>
      </c>
      <c r="C14" s="8">
        <v>3136.056760091662</v>
      </c>
      <c r="D14" s="8">
        <v>760.29411764705878</v>
      </c>
      <c r="E14" s="8">
        <v>2109.0721741061516</v>
      </c>
      <c r="F14" s="8">
        <v>2240.4198113207549</v>
      </c>
      <c r="G14" s="8">
        <v>1202.8860819828408</v>
      </c>
      <c r="H14" s="8">
        <v>2288.3455016905205</v>
      </c>
      <c r="I14" s="8">
        <v>2044.4813202756623</v>
      </c>
      <c r="J14" s="8">
        <v>1583.861717486308</v>
      </c>
      <c r="K14" s="8">
        <v>844.17597690704019</v>
      </c>
      <c r="L14" s="8">
        <v>3117.4334140435835</v>
      </c>
      <c r="M14" s="8">
        <v>3645.6756756756758</v>
      </c>
      <c r="N14" s="8">
        <v>1527.9439629741146</v>
      </c>
      <c r="O14" s="8">
        <v>992.32573012150931</v>
      </c>
      <c r="P14" s="8">
        <v>1691.6622660329754</v>
      </c>
      <c r="Q14" s="8">
        <v>935.24243410348197</v>
      </c>
      <c r="R14" s="8">
        <v>1548.951048951049</v>
      </c>
      <c r="S14" s="8">
        <v>2399.5808592385611</v>
      </c>
      <c r="T14" s="8">
        <v>3643.0403340339717</v>
      </c>
      <c r="U14" s="8">
        <v>3337.9599072170781</v>
      </c>
      <c r="V14" s="8">
        <v>2079.6812749003984</v>
      </c>
      <c r="W14" s="7"/>
      <c r="X14" s="35">
        <f t="shared" si="1"/>
        <v>7.6685433638551999</v>
      </c>
      <c r="Y14" s="35">
        <f t="shared" si="2"/>
        <v>8.0507214808255299</v>
      </c>
      <c r="Z14" s="35">
        <f t="shared" si="3"/>
        <v>6.6337053553204139</v>
      </c>
      <c r="AA14" s="35">
        <f t="shared" si="4"/>
        <v>7.6540034018496659</v>
      </c>
      <c r="AB14" s="35">
        <f t="shared" si="5"/>
        <v>7.714418543057139</v>
      </c>
      <c r="AC14" s="35">
        <f t="shared" si="6"/>
        <v>7.0924790165472222</v>
      </c>
      <c r="AD14" s="35">
        <f t="shared" si="7"/>
        <v>7.7355843470830514</v>
      </c>
      <c r="AE14" s="35">
        <f t="shared" si="8"/>
        <v>7.6228994031895478</v>
      </c>
      <c r="AF14" s="35">
        <f t="shared" si="9"/>
        <v>7.3676212689968175</v>
      </c>
      <c r="AG14" s="35">
        <f t="shared" si="10"/>
        <v>6.7383609763064953</v>
      </c>
      <c r="AH14" s="35">
        <f t="shared" si="11"/>
        <v>8.044765318558996</v>
      </c>
      <c r="AI14" s="35">
        <f t="shared" si="12"/>
        <v>8.2012969978195009</v>
      </c>
      <c r="AJ14" s="35">
        <f t="shared" si="13"/>
        <v>7.331678295607718</v>
      </c>
      <c r="AK14" s="35">
        <f t="shared" si="14"/>
        <v>6.9000514103648465</v>
      </c>
      <c r="AL14" s="35">
        <f t="shared" si="15"/>
        <v>7.4334669138786778</v>
      </c>
      <c r="AM14" s="35">
        <f t="shared" si="16"/>
        <v>6.8408057834906231</v>
      </c>
      <c r="AN14" s="35">
        <f t="shared" si="17"/>
        <v>7.3453332382074201</v>
      </c>
      <c r="AO14" s="35">
        <f t="shared" si="18"/>
        <v>7.7830493591004171</v>
      </c>
      <c r="AP14" s="35">
        <f t="shared" si="19"/>
        <v>8.2005738686008485</v>
      </c>
      <c r="AQ14" s="35">
        <f t="shared" si="20"/>
        <v>8.1131150931301974</v>
      </c>
      <c r="AR14" s="35">
        <f t="shared" si="21"/>
        <v>7.6399699277329916</v>
      </c>
      <c r="AS14" s="38"/>
      <c r="AT14" s="38">
        <f t="shared" si="23"/>
        <v>-2.4291801516875822E-3</v>
      </c>
      <c r="AU14" s="38">
        <f t="shared" si="24"/>
        <v>2.1394163283039447E-2</v>
      </c>
      <c r="AV14" s="38">
        <f t="shared" si="25"/>
        <v>5.3711781894971722E-3</v>
      </c>
      <c r="AW14" s="38">
        <f t="shared" si="26"/>
        <v>3.3505383994752336E-2</v>
      </c>
      <c r="AX14" s="38">
        <f t="shared" si="27"/>
        <v>2.600090675227662E-2</v>
      </c>
      <c r="AY14" s="38">
        <f t="shared" si="28"/>
        <v>8.0311547874097222E-2</v>
      </c>
      <c r="AZ14" s="38">
        <f t="shared" si="29"/>
        <v>4.2266690049472366E-2</v>
      </c>
      <c r="BA14" s="38">
        <f t="shared" si="30"/>
        <v>9.433666842945776E-3</v>
      </c>
      <c r="BB14" s="38">
        <f t="shared" si="31"/>
        <v>7.6372213476881612E-2</v>
      </c>
      <c r="BC14" s="38">
        <f t="shared" si="32"/>
        <v>1.7778407000115237E-2</v>
      </c>
      <c r="BD14" s="38">
        <f t="shared" si="33"/>
        <v>1.3938364707506423E-2</v>
      </c>
      <c r="BE14" s="38">
        <f t="shared" si="34"/>
        <v>-3.2105611819844171E-2</v>
      </c>
      <c r="BF14" s="38">
        <f t="shared" si="35"/>
        <v>-2.9704250457829318E-4</v>
      </c>
      <c r="BG14" s="38">
        <f t="shared" si="36"/>
        <v>2.2416260779805519E-2</v>
      </c>
      <c r="BH14" s="38">
        <f t="shared" si="37"/>
        <v>7.4685997714212249E-3</v>
      </c>
      <c r="BI14" s="38">
        <f t="shared" si="38"/>
        <v>5.3341610472057432E-2</v>
      </c>
      <c r="BJ14" s="38">
        <f t="shared" si="39"/>
        <v>-1.0300873739816474E-2</v>
      </c>
      <c r="BK14" s="38">
        <f t="shared" si="40"/>
        <v>-3.3326229573628297E-2</v>
      </c>
      <c r="BL14" s="38">
        <f t="shared" si="41"/>
        <v>2.0693765290209498E-2</v>
      </c>
      <c r="BM14" s="38">
        <f t="shared" si="42"/>
        <v>3.7392673763987361E-2</v>
      </c>
      <c r="BN14" s="38">
        <f t="shared" si="43"/>
        <v>7.3899485524387742E-2</v>
      </c>
      <c r="BO14" s="7"/>
      <c r="BX14" s="7"/>
      <c r="CN14" s="7"/>
      <c r="CO14" s="8"/>
      <c r="CP14" s="7"/>
      <c r="DG14" s="7"/>
      <c r="DO14" s="7"/>
      <c r="EE14" s="7"/>
      <c r="EF14" s="7"/>
      <c r="GH14" s="7"/>
      <c r="GJ14" s="9"/>
    </row>
    <row r="15" spans="1:192" x14ac:dyDescent="0.25">
      <c r="A15" s="7">
        <v>1883</v>
      </c>
      <c r="B15" s="8">
        <v>2208.7838423645321</v>
      </c>
      <c r="C15" s="8">
        <v>3144.5341463414634</v>
      </c>
      <c r="D15" s="8">
        <v>764.31435445068166</v>
      </c>
      <c r="E15" s="8">
        <v>2090.3657894736843</v>
      </c>
      <c r="F15" s="8">
        <v>2299.0500701918577</v>
      </c>
      <c r="G15" s="8">
        <v>1229.807511737089</v>
      </c>
      <c r="H15" s="8">
        <v>2287.8401145115522</v>
      </c>
      <c r="I15" s="8">
        <v>2143.2783533015045</v>
      </c>
      <c r="J15" s="8">
        <v>1568.0119107325816</v>
      </c>
      <c r="K15" s="8">
        <v>837.20807075146956</v>
      </c>
      <c r="L15" s="8">
        <v>3305.2631578947371</v>
      </c>
      <c r="M15" s="8">
        <v>3494.7857142857142</v>
      </c>
      <c r="N15" s="8">
        <v>1523.0130631685254</v>
      </c>
      <c r="O15" s="8">
        <v>1008.0304311073543</v>
      </c>
      <c r="P15" s="8">
        <v>1720.3548085901027</v>
      </c>
      <c r="Q15" s="8">
        <v>941.42259414225941</v>
      </c>
      <c r="R15" s="8">
        <v>1658.0265737312131</v>
      </c>
      <c r="S15" s="8">
        <v>2396.3117606123869</v>
      </c>
      <c r="T15" s="8">
        <v>3643.3102961918194</v>
      </c>
      <c r="U15" s="8">
        <v>3338.5870265692033</v>
      </c>
      <c r="V15" s="8">
        <v>2396.5517241379312</v>
      </c>
      <c r="W15" s="7"/>
      <c r="X15" s="35">
        <f t="shared" si="1"/>
        <v>7.700197345469908</v>
      </c>
      <c r="Y15" s="35">
        <f t="shared" si="2"/>
        <v>8.0534210329932794</v>
      </c>
      <c r="Z15" s="35">
        <f t="shared" si="3"/>
        <v>6.6389791632456809</v>
      </c>
      <c r="AA15" s="35">
        <f t="shared" si="4"/>
        <v>7.6450943485317682</v>
      </c>
      <c r="AB15" s="35">
        <f t="shared" si="5"/>
        <v>7.7402513036438352</v>
      </c>
      <c r="AC15" s="35">
        <f t="shared" si="6"/>
        <v>7.1146129415972261</v>
      </c>
      <c r="AD15" s="35">
        <f t="shared" si="7"/>
        <v>7.7353634700367913</v>
      </c>
      <c r="AE15" s="35">
        <f t="shared" si="8"/>
        <v>7.6700918765867252</v>
      </c>
      <c r="AF15" s="35">
        <f t="shared" si="9"/>
        <v>7.3575637970119754</v>
      </c>
      <c r="AG15" s="35">
        <f t="shared" si="10"/>
        <v>6.7300726306967471</v>
      </c>
      <c r="AH15" s="35">
        <f t="shared" si="11"/>
        <v>8.10327137328985</v>
      </c>
      <c r="AI15" s="35">
        <f t="shared" si="12"/>
        <v>8.159027340709768</v>
      </c>
      <c r="AJ15" s="35">
        <f t="shared" si="13"/>
        <v>7.3284459301193916</v>
      </c>
      <c r="AK15" s="35">
        <f t="shared" si="14"/>
        <v>6.9157536377662465</v>
      </c>
      <c r="AL15" s="35">
        <f t="shared" si="15"/>
        <v>7.4502858325978796</v>
      </c>
      <c r="AM15" s="35">
        <f t="shared" si="16"/>
        <v>6.8473921292550468</v>
      </c>
      <c r="AN15" s="35">
        <f t="shared" si="17"/>
        <v>7.413383363148955</v>
      </c>
      <c r="AO15" s="35">
        <f t="shared" si="18"/>
        <v>7.7816860678878648</v>
      </c>
      <c r="AP15" s="35">
        <f t="shared" si="19"/>
        <v>8.2006479693878322</v>
      </c>
      <c r="AQ15" s="35">
        <f t="shared" si="20"/>
        <v>8.1133029505242042</v>
      </c>
      <c r="AR15" s="35">
        <f t="shared" si="21"/>
        <v>7.7817862015664092</v>
      </c>
      <c r="AS15" s="38"/>
      <c r="AT15" s="38">
        <f t="shared" si="23"/>
        <v>3.1653981614708115E-2</v>
      </c>
      <c r="AU15" s="38">
        <f t="shared" si="24"/>
        <v>2.6995521677495304E-3</v>
      </c>
      <c r="AV15" s="38">
        <f t="shared" si="25"/>
        <v>5.2738079252669934E-3</v>
      </c>
      <c r="AW15" s="38">
        <f t="shared" si="26"/>
        <v>-8.9090533178977083E-3</v>
      </c>
      <c r="AX15" s="38">
        <f t="shared" si="27"/>
        <v>2.5832760586696146E-2</v>
      </c>
      <c r="AY15" s="38">
        <f t="shared" si="28"/>
        <v>2.2133925050003889E-2</v>
      </c>
      <c r="AZ15" s="38">
        <f t="shared" si="29"/>
        <v>-2.2087704626017057E-4</v>
      </c>
      <c r="BA15" s="38">
        <f t="shared" si="30"/>
        <v>4.7192473397177359E-2</v>
      </c>
      <c r="BB15" s="38">
        <f t="shared" si="31"/>
        <v>-1.0057471984842081E-2</v>
      </c>
      <c r="BC15" s="38">
        <f t="shared" si="32"/>
        <v>-8.2883456097482267E-3</v>
      </c>
      <c r="BD15" s="38">
        <f t="shared" si="33"/>
        <v>5.8506054730854018E-2</v>
      </c>
      <c r="BE15" s="38">
        <f t="shared" si="34"/>
        <v>-4.2269657109732961E-2</v>
      </c>
      <c r="BF15" s="38">
        <f t="shared" si="35"/>
        <v>-3.2323654883263941E-3</v>
      </c>
      <c r="BG15" s="38">
        <f t="shared" si="36"/>
        <v>1.5702227401400037E-2</v>
      </c>
      <c r="BH15" s="38">
        <f t="shared" si="37"/>
        <v>1.6818918719201825E-2</v>
      </c>
      <c r="BI15" s="38">
        <f t="shared" si="38"/>
        <v>6.58634576442374E-3</v>
      </c>
      <c r="BJ15" s="38">
        <f t="shared" si="39"/>
        <v>6.805012494153484E-2</v>
      </c>
      <c r="BK15" s="38">
        <f t="shared" si="40"/>
        <v>-1.3632912125522978E-3</v>
      </c>
      <c r="BL15" s="38">
        <f t="shared" si="41"/>
        <v>7.4100786983777311E-5</v>
      </c>
      <c r="BM15" s="38">
        <f t="shared" si="42"/>
        <v>1.8785739400684065E-4</v>
      </c>
      <c r="BN15" s="38">
        <f t="shared" si="43"/>
        <v>0.14181627383341766</v>
      </c>
      <c r="BO15" s="7"/>
      <c r="BX15" s="7"/>
      <c r="CN15" s="7"/>
      <c r="CO15" s="8"/>
      <c r="CP15" s="7"/>
      <c r="DG15" s="7"/>
      <c r="DO15" s="7"/>
      <c r="EE15" s="7"/>
      <c r="EF15" s="7"/>
      <c r="GH15" s="7"/>
      <c r="GJ15" s="9"/>
    </row>
    <row r="16" spans="1:192" x14ac:dyDescent="0.25">
      <c r="A16" s="7">
        <v>1884</v>
      </c>
      <c r="B16" s="8">
        <v>2248.4751025190394</v>
      </c>
      <c r="C16" s="8">
        <v>3136.1048734286201</v>
      </c>
      <c r="D16" s="8">
        <v>768.40116507911512</v>
      </c>
      <c r="E16" s="8">
        <v>2230.9335066060212</v>
      </c>
      <c r="F16" s="8">
        <v>2285.3749999999995</v>
      </c>
      <c r="G16" s="8">
        <v>1219.3424214417744</v>
      </c>
      <c r="H16" s="8">
        <v>2253.2539806707205</v>
      </c>
      <c r="I16" s="8">
        <v>2178.4275855908168</v>
      </c>
      <c r="J16" s="8">
        <v>1566.0972086474992</v>
      </c>
      <c r="K16" s="8">
        <v>835.70192458964812</v>
      </c>
      <c r="L16" s="8">
        <v>3328.2063416942738</v>
      </c>
      <c r="M16" s="8">
        <v>3702.5468227424749</v>
      </c>
      <c r="N16" s="8">
        <v>1542.1306983337479</v>
      </c>
      <c r="O16" s="8">
        <v>1033.7314058244292</v>
      </c>
      <c r="P16" s="8">
        <v>1715.6703424260011</v>
      </c>
      <c r="Q16" s="8">
        <v>904.58015267175574</v>
      </c>
      <c r="R16" s="8">
        <v>1625</v>
      </c>
      <c r="S16" s="8">
        <v>2657.1923743500865</v>
      </c>
      <c r="T16" s="8">
        <v>3621.6540141081632</v>
      </c>
      <c r="U16" s="8">
        <v>3320.2806007734507</v>
      </c>
      <c r="V16" s="8">
        <v>2324.1252302025782</v>
      </c>
      <c r="W16" s="7"/>
      <c r="X16" s="35">
        <f t="shared" si="1"/>
        <v>7.7180075332204101</v>
      </c>
      <c r="Y16" s="35">
        <f t="shared" si="2"/>
        <v>8.0507368226932208</v>
      </c>
      <c r="Z16" s="35">
        <f t="shared" si="3"/>
        <v>6.6443119471336409</v>
      </c>
      <c r="AA16" s="35">
        <f t="shared" si="4"/>
        <v>7.7101753896880716</v>
      </c>
      <c r="AB16" s="35">
        <f t="shared" si="5"/>
        <v>7.734285403648669</v>
      </c>
      <c r="AC16" s="35">
        <f t="shared" si="6"/>
        <v>7.106066993597004</v>
      </c>
      <c r="AD16" s="35">
        <f t="shared" si="7"/>
        <v>7.7201306640701395</v>
      </c>
      <c r="AE16" s="35">
        <f t="shared" si="8"/>
        <v>7.6863586045142309</v>
      </c>
      <c r="AF16" s="35">
        <f t="shared" si="9"/>
        <v>7.3563419491117541</v>
      </c>
      <c r="AG16" s="35">
        <f t="shared" si="10"/>
        <v>6.7282719999718896</v>
      </c>
      <c r="AH16" s="35">
        <f t="shared" si="11"/>
        <v>8.1101888017300929</v>
      </c>
      <c r="AI16" s="35">
        <f t="shared" si="12"/>
        <v>8.2167761923124907</v>
      </c>
      <c r="AJ16" s="35">
        <f t="shared" si="13"/>
        <v>7.3409203095027387</v>
      </c>
      <c r="AK16" s="35">
        <f t="shared" si="14"/>
        <v>6.9409302590655431</v>
      </c>
      <c r="AL16" s="35">
        <f t="shared" si="15"/>
        <v>7.4475591534494185</v>
      </c>
      <c r="AM16" s="35">
        <f t="shared" si="16"/>
        <v>6.8074709163561717</v>
      </c>
      <c r="AN16" s="35">
        <f t="shared" si="17"/>
        <v>7.3932630947638378</v>
      </c>
      <c r="AO16" s="35">
        <f t="shared" si="18"/>
        <v>7.8850253459804378</v>
      </c>
      <c r="AP16" s="35">
        <f t="shared" si="19"/>
        <v>8.1946861104428699</v>
      </c>
      <c r="AQ16" s="35">
        <f t="shared" si="20"/>
        <v>8.1078045766443196</v>
      </c>
      <c r="AR16" s="35">
        <f t="shared" si="21"/>
        <v>7.7510990021493598</v>
      </c>
      <c r="AS16" s="38"/>
      <c r="AT16" s="38">
        <f t="shared" si="23"/>
        <v>1.7810187750502138E-2</v>
      </c>
      <c r="AU16" s="38">
        <f t="shared" si="24"/>
        <v>-2.6842103000586093E-3</v>
      </c>
      <c r="AV16" s="38">
        <f t="shared" si="25"/>
        <v>5.3327838879599909E-3</v>
      </c>
      <c r="AW16" s="38">
        <f t="shared" si="26"/>
        <v>6.5081041156303421E-2</v>
      </c>
      <c r="AX16" s="38">
        <f t="shared" si="27"/>
        <v>-5.9658999951661684E-3</v>
      </c>
      <c r="AY16" s="38">
        <f t="shared" si="28"/>
        <v>-8.5459480002221255E-3</v>
      </c>
      <c r="AZ16" s="38">
        <f t="shared" si="29"/>
        <v>-1.5232805966651775E-2</v>
      </c>
      <c r="BA16" s="38">
        <f t="shared" si="30"/>
        <v>1.626672792750572E-2</v>
      </c>
      <c r="BB16" s="38">
        <f t="shared" si="31"/>
        <v>-1.2218479002212845E-3</v>
      </c>
      <c r="BC16" s="38">
        <f t="shared" si="32"/>
        <v>-1.8006307248574771E-3</v>
      </c>
      <c r="BD16" s="38">
        <f t="shared" si="33"/>
        <v>6.9174284402429009E-3</v>
      </c>
      <c r="BE16" s="38">
        <f t="shared" si="34"/>
        <v>5.7748851602722695E-2</v>
      </c>
      <c r="BF16" s="38">
        <f t="shared" si="35"/>
        <v>1.2474379383347056E-2</v>
      </c>
      <c r="BG16" s="38">
        <f t="shared" si="36"/>
        <v>2.5176621299296542E-2</v>
      </c>
      <c r="BH16" s="38">
        <f t="shared" si="37"/>
        <v>-2.7266791484610309E-3</v>
      </c>
      <c r="BI16" s="38">
        <f t="shared" si="38"/>
        <v>-3.9921212898875069E-2</v>
      </c>
      <c r="BJ16" s="38">
        <f t="shared" si="39"/>
        <v>-2.0120268385117157E-2</v>
      </c>
      <c r="BK16" s="38">
        <f t="shared" si="40"/>
        <v>0.10333927809257304</v>
      </c>
      <c r="BL16" s="38">
        <f t="shared" si="41"/>
        <v>-5.9618589449623727E-3</v>
      </c>
      <c r="BM16" s="38">
        <f t="shared" si="42"/>
        <v>-5.4983738798846105E-3</v>
      </c>
      <c r="BN16" s="38">
        <f t="shared" si="43"/>
        <v>-3.0687199417049449E-2</v>
      </c>
      <c r="BO16" s="7"/>
      <c r="BX16" s="7"/>
      <c r="CN16" s="7"/>
      <c r="CO16" s="8"/>
      <c r="CP16" s="7"/>
      <c r="DG16" s="7"/>
      <c r="DO16" s="7"/>
      <c r="EE16" s="7"/>
      <c r="EF16" s="7"/>
      <c r="GH16" s="7"/>
      <c r="GJ16" s="9"/>
    </row>
    <row r="17" spans="1:192" x14ac:dyDescent="0.25">
      <c r="A17" s="7">
        <v>1885</v>
      </c>
      <c r="B17" s="8">
        <v>2215.2706155632986</v>
      </c>
      <c r="C17" s="8">
        <v>3137.8131381892445</v>
      </c>
      <c r="D17" s="8">
        <v>772.58326249903405</v>
      </c>
      <c r="E17" s="8">
        <v>2072.8101157308188</v>
      </c>
      <c r="F17" s="8">
        <v>2274.2086001829825</v>
      </c>
      <c r="G17" s="8">
        <v>1231.2287015945328</v>
      </c>
      <c r="H17" s="8">
        <v>2207.354667404928</v>
      </c>
      <c r="I17" s="8">
        <v>2216.2357377340077</v>
      </c>
      <c r="J17" s="8">
        <v>1584.068294851241</v>
      </c>
      <c r="K17" s="8">
        <v>860.12439170375001</v>
      </c>
      <c r="L17" s="8">
        <v>3362.4883068288123</v>
      </c>
      <c r="M17" s="8">
        <v>3587.2328990228016</v>
      </c>
      <c r="N17" s="8">
        <v>1544.3454429248457</v>
      </c>
      <c r="O17" s="8">
        <v>1051.7133956386292</v>
      </c>
      <c r="P17" s="8">
        <v>1661.0286901806846</v>
      </c>
      <c r="Q17" s="8">
        <v>842.27129337539429</v>
      </c>
      <c r="R17" s="8">
        <v>1674.9571183533446</v>
      </c>
      <c r="S17" s="8">
        <v>2854.9723756906078</v>
      </c>
      <c r="T17" s="8">
        <v>3573.6807996668053</v>
      </c>
      <c r="U17" s="8">
        <v>3269.9590358480282</v>
      </c>
      <c r="V17" s="8">
        <v>2569.1489361702129</v>
      </c>
      <c r="W17" s="7"/>
      <c r="X17" s="35">
        <f t="shared" si="1"/>
        <v>7.7031298490858013</v>
      </c>
      <c r="Y17" s="35">
        <f t="shared" si="2"/>
        <v>8.0512813834604078</v>
      </c>
      <c r="Z17" s="35">
        <f t="shared" si="3"/>
        <v>6.6497397861339822</v>
      </c>
      <c r="AA17" s="35">
        <f t="shared" si="4"/>
        <v>7.6366605094612039</v>
      </c>
      <c r="AB17" s="35">
        <f t="shared" si="5"/>
        <v>7.7293874028134884</v>
      </c>
      <c r="AC17" s="35">
        <f t="shared" si="6"/>
        <v>7.1157678941393492</v>
      </c>
      <c r="AD17" s="35">
        <f t="shared" si="7"/>
        <v>7.6995500944806849</v>
      </c>
      <c r="AE17" s="35">
        <f t="shared" si="8"/>
        <v>7.7035654220531065</v>
      </c>
      <c r="AF17" s="35">
        <f t="shared" si="9"/>
        <v>7.3677516868813173</v>
      </c>
      <c r="AG17" s="35">
        <f t="shared" si="10"/>
        <v>6.7570770203039663</v>
      </c>
      <c r="AH17" s="35">
        <f t="shared" si="11"/>
        <v>8.1204365463810184</v>
      </c>
      <c r="AI17" s="35">
        <f t="shared" si="12"/>
        <v>8.1851364040620354</v>
      </c>
      <c r="AJ17" s="35">
        <f t="shared" si="13"/>
        <v>7.3423554380246241</v>
      </c>
      <c r="AK17" s="35">
        <f t="shared" si="14"/>
        <v>6.9581759185739234</v>
      </c>
      <c r="AL17" s="35">
        <f t="shared" si="15"/>
        <v>7.4151923823001749</v>
      </c>
      <c r="AM17" s="35">
        <f t="shared" si="16"/>
        <v>6.7361021635051062</v>
      </c>
      <c r="AN17" s="35">
        <f t="shared" si="17"/>
        <v>7.4235428429483781</v>
      </c>
      <c r="AO17" s="35">
        <f t="shared" si="18"/>
        <v>7.9568174462781887</v>
      </c>
      <c r="AP17" s="35">
        <f t="shared" si="19"/>
        <v>8.181351379942031</v>
      </c>
      <c r="AQ17" s="35">
        <f t="shared" si="20"/>
        <v>8.0925327365492326</v>
      </c>
      <c r="AR17" s="35">
        <f t="shared" si="21"/>
        <v>7.8513299698047607</v>
      </c>
      <c r="AS17" s="38"/>
      <c r="AT17" s="38">
        <f t="shared" si="23"/>
        <v>-1.4877684134608771E-2</v>
      </c>
      <c r="AU17" s="38">
        <f t="shared" si="24"/>
        <v>5.4456076718700785E-4</v>
      </c>
      <c r="AV17" s="38">
        <f t="shared" si="25"/>
        <v>5.4278390003412724E-3</v>
      </c>
      <c r="AW17" s="38">
        <f t="shared" si="26"/>
        <v>-7.3514880226867696E-2</v>
      </c>
      <c r="AX17" s="38">
        <f t="shared" si="27"/>
        <v>-4.8980008351806603E-3</v>
      </c>
      <c r="AY17" s="38">
        <f t="shared" si="28"/>
        <v>9.7009005423451811E-3</v>
      </c>
      <c r="AZ17" s="38">
        <f t="shared" si="29"/>
        <v>-2.0580569589454534E-2</v>
      </c>
      <c r="BA17" s="38">
        <f t="shared" si="30"/>
        <v>1.7206817538875541E-2</v>
      </c>
      <c r="BB17" s="38">
        <f t="shared" si="31"/>
        <v>1.1409737769563222E-2</v>
      </c>
      <c r="BC17" s="38">
        <f t="shared" si="32"/>
        <v>2.8805020332076658E-2</v>
      </c>
      <c r="BD17" s="38">
        <f t="shared" si="33"/>
        <v>1.0247744650925483E-2</v>
      </c>
      <c r="BE17" s="38">
        <f t="shared" si="34"/>
        <v>-3.1639788250455325E-2</v>
      </c>
      <c r="BF17" s="38">
        <f t="shared" si="35"/>
        <v>1.4351285218854315E-3</v>
      </c>
      <c r="BG17" s="38">
        <f t="shared" si="36"/>
        <v>1.7245659508380307E-2</v>
      </c>
      <c r="BH17" s="38">
        <f t="shared" si="37"/>
        <v>-3.2366771149243689E-2</v>
      </c>
      <c r="BI17" s="38">
        <f t="shared" si="38"/>
        <v>-7.1368752851065587E-2</v>
      </c>
      <c r="BJ17" s="38">
        <f t="shared" si="39"/>
        <v>3.0279748184540267E-2</v>
      </c>
      <c r="BK17" s="38">
        <f t="shared" si="40"/>
        <v>7.1792100297750849E-2</v>
      </c>
      <c r="BL17" s="38">
        <f t="shared" si="41"/>
        <v>-1.3334730500838887E-2</v>
      </c>
      <c r="BM17" s="38">
        <f t="shared" si="42"/>
        <v>-1.5271840095087086E-2</v>
      </c>
      <c r="BN17" s="38">
        <f t="shared" si="43"/>
        <v>0.10023096765540096</v>
      </c>
      <c r="BO17" s="7"/>
      <c r="BX17" s="7"/>
      <c r="CN17" s="7"/>
      <c r="CO17" s="8"/>
      <c r="CP17" s="7"/>
      <c r="DG17" s="7"/>
      <c r="DO17" s="7"/>
      <c r="EE17" s="7"/>
      <c r="EF17" s="7"/>
      <c r="GH17" s="7"/>
      <c r="GJ17" s="9"/>
    </row>
    <row r="18" spans="1:192" x14ac:dyDescent="0.25">
      <c r="A18" s="7">
        <v>1886</v>
      </c>
      <c r="B18" s="8">
        <v>2267.7099002302375</v>
      </c>
      <c r="C18" s="8">
        <v>3153.2723433012334</v>
      </c>
      <c r="D18" s="8">
        <v>776.7579458393385</v>
      </c>
      <c r="E18" s="8">
        <v>2075.2451708766716</v>
      </c>
      <c r="F18" s="8">
        <v>2336.1093538183463</v>
      </c>
      <c r="G18" s="8">
        <v>1275.501798561151</v>
      </c>
      <c r="H18" s="8">
        <v>2236.6830498268855</v>
      </c>
      <c r="I18" s="8">
        <v>2211.3782661246014</v>
      </c>
      <c r="J18" s="8">
        <v>1642.9100199237678</v>
      </c>
      <c r="K18" s="8">
        <v>916.44658484801414</v>
      </c>
      <c r="L18" s="8">
        <v>3373.5552473416551</v>
      </c>
      <c r="M18" s="8">
        <v>3601.5814696485627</v>
      </c>
      <c r="N18" s="8">
        <v>1541.7423288280897</v>
      </c>
      <c r="O18" s="8">
        <v>1100.0617665225448</v>
      </c>
      <c r="P18" s="8">
        <v>1616.5461017338384</v>
      </c>
      <c r="Q18" s="8">
        <v>810.26925485284903</v>
      </c>
      <c r="R18" s="8">
        <v>1665.1063829787233</v>
      </c>
      <c r="S18" s="8">
        <v>2955.9683522531823</v>
      </c>
      <c r="T18" s="8">
        <v>3600.0241235921026</v>
      </c>
      <c r="U18" s="8">
        <v>3294.0650574238362</v>
      </c>
      <c r="V18" s="8">
        <v>2608.1771720613287</v>
      </c>
      <c r="W18" s="7"/>
      <c r="X18" s="35">
        <f t="shared" si="1"/>
        <v>7.7265257467150725</v>
      </c>
      <c r="Y18" s="35">
        <f t="shared" si="2"/>
        <v>8.0561960317429548</v>
      </c>
      <c r="Z18" s="35">
        <f t="shared" si="3"/>
        <v>6.6551287778176658</v>
      </c>
      <c r="AA18" s="35">
        <f t="shared" si="4"/>
        <v>7.6378345803244487</v>
      </c>
      <c r="AB18" s="35">
        <f t="shared" si="5"/>
        <v>7.7562421552746876</v>
      </c>
      <c r="AC18" s="35">
        <f t="shared" si="6"/>
        <v>7.1510949476640953</v>
      </c>
      <c r="AD18" s="35">
        <f t="shared" si="7"/>
        <v>7.7127492660816195</v>
      </c>
      <c r="AE18" s="35">
        <f t="shared" si="8"/>
        <v>7.7013712499531959</v>
      </c>
      <c r="AF18" s="35">
        <f t="shared" si="9"/>
        <v>7.4042243508186232</v>
      </c>
      <c r="AG18" s="35">
        <f t="shared" si="10"/>
        <v>6.8205037839097562</v>
      </c>
      <c r="AH18" s="35">
        <f t="shared" si="11"/>
        <v>8.123722436794699</v>
      </c>
      <c r="AI18" s="35">
        <f t="shared" si="12"/>
        <v>8.1891283251060702</v>
      </c>
      <c r="AJ18" s="35">
        <f t="shared" si="13"/>
        <v>7.3406684382328837</v>
      </c>
      <c r="AK18" s="35">
        <f t="shared" si="14"/>
        <v>7.0031216085941637</v>
      </c>
      <c r="AL18" s="35">
        <f t="shared" si="15"/>
        <v>7.388047116235362</v>
      </c>
      <c r="AM18" s="35">
        <f t="shared" si="16"/>
        <v>6.6973666058279706</v>
      </c>
      <c r="AN18" s="35">
        <f t="shared" si="17"/>
        <v>7.4176442940543446</v>
      </c>
      <c r="AO18" s="35">
        <f t="shared" si="18"/>
        <v>7.9915815757364843</v>
      </c>
      <c r="AP18" s="35">
        <f t="shared" si="19"/>
        <v>8.1886958254195559</v>
      </c>
      <c r="AQ18" s="35">
        <f t="shared" si="20"/>
        <v>8.0998776608230116</v>
      </c>
      <c r="AR18" s="35">
        <f t="shared" si="21"/>
        <v>7.8664068548117241</v>
      </c>
      <c r="AS18" s="38"/>
      <c r="AT18" s="38">
        <f t="shared" si="23"/>
        <v>2.339589762927119E-2</v>
      </c>
      <c r="AU18" s="38">
        <f t="shared" si="24"/>
        <v>4.9146482825470628E-3</v>
      </c>
      <c r="AV18" s="38">
        <f t="shared" si="25"/>
        <v>5.3889916836835638E-3</v>
      </c>
      <c r="AW18" s="38">
        <f t="shared" si="26"/>
        <v>1.174070863244836E-3</v>
      </c>
      <c r="AX18" s="38">
        <f t="shared" si="27"/>
        <v>2.6854752461199283E-2</v>
      </c>
      <c r="AY18" s="38">
        <f t="shared" si="28"/>
        <v>3.5327053524746077E-2</v>
      </c>
      <c r="AZ18" s="38">
        <f t="shared" si="29"/>
        <v>1.3199171600934534E-2</v>
      </c>
      <c r="BA18" s="38">
        <f t="shared" si="30"/>
        <v>-2.194172099910574E-3</v>
      </c>
      <c r="BB18" s="38">
        <f t="shared" si="31"/>
        <v>3.647266393730586E-2</v>
      </c>
      <c r="BC18" s="38">
        <f t="shared" si="32"/>
        <v>6.3426763605789915E-2</v>
      </c>
      <c r="BD18" s="38">
        <f t="shared" si="33"/>
        <v>3.2858904136805478E-3</v>
      </c>
      <c r="BE18" s="38">
        <f t="shared" si="34"/>
        <v>3.9919210440348962E-3</v>
      </c>
      <c r="BF18" s="38">
        <f t="shared" si="35"/>
        <v>-1.6869997917403623E-3</v>
      </c>
      <c r="BG18" s="38">
        <f t="shared" si="36"/>
        <v>4.4945690020240292E-2</v>
      </c>
      <c r="BH18" s="38">
        <f t="shared" si="37"/>
        <v>-2.7145266064812823E-2</v>
      </c>
      <c r="BI18" s="38">
        <f t="shared" si="38"/>
        <v>-3.8735557677135546E-2</v>
      </c>
      <c r="BJ18" s="38">
        <f t="shared" si="39"/>
        <v>-5.8985488940335173E-3</v>
      </c>
      <c r="BK18" s="38">
        <f t="shared" si="40"/>
        <v>3.4764129458295656E-2</v>
      </c>
      <c r="BL18" s="38">
        <f t="shared" si="41"/>
        <v>7.3444454775248857E-3</v>
      </c>
      <c r="BM18" s="38">
        <f t="shared" si="42"/>
        <v>7.3449242737790854E-3</v>
      </c>
      <c r="BN18" s="38">
        <f t="shared" si="43"/>
        <v>1.5076885006963359E-2</v>
      </c>
      <c r="BO18" s="7"/>
      <c r="BX18" s="7"/>
      <c r="CN18" s="7"/>
      <c r="CO18" s="8"/>
      <c r="CP18" s="7"/>
      <c r="DG18" s="7"/>
      <c r="DO18" s="7"/>
      <c r="EE18" s="7"/>
      <c r="EF18" s="7"/>
      <c r="GH18" s="7"/>
      <c r="GJ18" s="9"/>
    </row>
    <row r="19" spans="1:192" x14ac:dyDescent="0.25">
      <c r="A19" s="7">
        <v>1887</v>
      </c>
      <c r="B19" s="8">
        <v>2404.4300932090546</v>
      </c>
      <c r="C19" s="8">
        <v>3249.8914793693393</v>
      </c>
      <c r="D19" s="8">
        <v>780.86373790022333</v>
      </c>
      <c r="E19" s="8">
        <v>2119.8999999999996</v>
      </c>
      <c r="F19" s="8">
        <v>2394.5149754135</v>
      </c>
      <c r="G19" s="8">
        <v>1275.5374059318283</v>
      </c>
      <c r="H19" s="8">
        <v>2249.4339040838331</v>
      </c>
      <c r="I19" s="8">
        <v>2275.2421034325343</v>
      </c>
      <c r="J19" s="8">
        <v>1677.677042775716</v>
      </c>
      <c r="K19" s="8">
        <v>951.5257551587506</v>
      </c>
      <c r="L19" s="8">
        <v>3466.879853814527</v>
      </c>
      <c r="M19" s="8">
        <v>3604.0921874999999</v>
      </c>
      <c r="N19" s="8">
        <v>1551.8184715563962</v>
      </c>
      <c r="O19" s="8">
        <v>1113.9007960808328</v>
      </c>
      <c r="P19" s="8">
        <v>1585.393707531548</v>
      </c>
      <c r="Q19" s="8">
        <v>945.04812170133505</v>
      </c>
      <c r="R19" s="8">
        <v>1650.0211595429539</v>
      </c>
      <c r="S19" s="8">
        <v>2931.4599040438657</v>
      </c>
      <c r="T19" s="8">
        <v>3713.150718618504</v>
      </c>
      <c r="U19" s="8">
        <v>3368.2546090701117</v>
      </c>
      <c r="V19" s="8">
        <v>2267.2131147540981</v>
      </c>
      <c r="W19" s="7"/>
      <c r="X19" s="35">
        <f t="shared" si="1"/>
        <v>7.7850681869779894</v>
      </c>
      <c r="Y19" s="35">
        <f t="shared" si="2"/>
        <v>8.0863768838030126</v>
      </c>
      <c r="Z19" s="35">
        <f t="shared" si="3"/>
        <v>6.6604006632992592</v>
      </c>
      <c r="AA19" s="35">
        <f t="shared" si="4"/>
        <v>7.6591241967422068</v>
      </c>
      <c r="AB19" s="35">
        <f t="shared" si="5"/>
        <v>7.7809359738510171</v>
      </c>
      <c r="AC19" s="35">
        <f t="shared" si="6"/>
        <v>7.1511228636370188</v>
      </c>
      <c r="AD19" s="35">
        <f t="shared" si="7"/>
        <v>7.7184338653573699</v>
      </c>
      <c r="AE19" s="35">
        <f t="shared" si="8"/>
        <v>7.7298417448141645</v>
      </c>
      <c r="AF19" s="35">
        <f t="shared" si="9"/>
        <v>7.4251654029345735</v>
      </c>
      <c r="AG19" s="35">
        <f t="shared" si="10"/>
        <v>6.8580667543244198</v>
      </c>
      <c r="AH19" s="35">
        <f t="shared" si="11"/>
        <v>8.1510102908631872</v>
      </c>
      <c r="AI19" s="35">
        <f t="shared" si="12"/>
        <v>8.1898251976186227</v>
      </c>
      <c r="AJ19" s="35">
        <f t="shared" si="13"/>
        <v>7.3471827296989654</v>
      </c>
      <c r="AK19" s="35">
        <f t="shared" si="14"/>
        <v>7.0156233645297945</v>
      </c>
      <c r="AL19" s="35">
        <f t="shared" si="15"/>
        <v>7.3685880513851805</v>
      </c>
      <c r="AM19" s="35">
        <f t="shared" si="16"/>
        <v>6.8512358486325144</v>
      </c>
      <c r="AN19" s="35">
        <f t="shared" si="17"/>
        <v>7.4085433907778269</v>
      </c>
      <c r="AO19" s="35">
        <f t="shared" si="18"/>
        <v>7.9832558386862598</v>
      </c>
      <c r="AP19" s="35">
        <f t="shared" si="19"/>
        <v>8.2196360454939636</v>
      </c>
      <c r="AQ19" s="35">
        <f t="shared" si="20"/>
        <v>8.1221499690221979</v>
      </c>
      <c r="AR19" s="35">
        <f t="shared" si="21"/>
        <v>7.7263066534795382</v>
      </c>
      <c r="AS19" s="38"/>
      <c r="AT19" s="38">
        <f t="shared" si="23"/>
        <v>5.8542440262916884E-2</v>
      </c>
      <c r="AU19" s="38">
        <f t="shared" si="24"/>
        <v>3.0180852060057717E-2</v>
      </c>
      <c r="AV19" s="38">
        <f t="shared" si="25"/>
        <v>5.271885481593408E-3</v>
      </c>
      <c r="AW19" s="38">
        <f t="shared" si="26"/>
        <v>2.1289616417758062E-2</v>
      </c>
      <c r="AX19" s="38">
        <f t="shared" si="27"/>
        <v>2.4693818576329463E-2</v>
      </c>
      <c r="AY19" s="38">
        <f t="shared" si="28"/>
        <v>2.7915972923509003E-5</v>
      </c>
      <c r="AZ19" s="38">
        <f t="shared" si="29"/>
        <v>5.6845992757503794E-3</v>
      </c>
      <c r="BA19" s="38">
        <f t="shared" si="30"/>
        <v>2.8470494860968643E-2</v>
      </c>
      <c r="BB19" s="38">
        <f t="shared" si="31"/>
        <v>2.094105211595032E-2</v>
      </c>
      <c r="BC19" s="38">
        <f t="shared" si="32"/>
        <v>3.756297041466361E-2</v>
      </c>
      <c r="BD19" s="38">
        <f t="shared" si="33"/>
        <v>2.7287854068488215E-2</v>
      </c>
      <c r="BE19" s="38">
        <f t="shared" si="34"/>
        <v>6.9687251255245997E-4</v>
      </c>
      <c r="BF19" s="38">
        <f t="shared" si="35"/>
        <v>6.5142914660816231E-3</v>
      </c>
      <c r="BG19" s="38">
        <f t="shared" si="36"/>
        <v>1.2501755935630854E-2</v>
      </c>
      <c r="BH19" s="38">
        <f t="shared" si="37"/>
        <v>-1.9459064850181562E-2</v>
      </c>
      <c r="BI19" s="38">
        <f t="shared" si="38"/>
        <v>0.15386924280454384</v>
      </c>
      <c r="BJ19" s="38">
        <f t="shared" si="39"/>
        <v>-9.1009032765176912E-3</v>
      </c>
      <c r="BK19" s="38">
        <f t="shared" si="40"/>
        <v>-8.3257370502245465E-3</v>
      </c>
      <c r="BL19" s="38">
        <f t="shared" si="41"/>
        <v>3.0940220074407776E-2</v>
      </c>
      <c r="BM19" s="38">
        <f t="shared" si="42"/>
        <v>2.2272308199186241E-2</v>
      </c>
      <c r="BN19" s="38">
        <f t="shared" si="43"/>
        <v>-0.14010020133218593</v>
      </c>
      <c r="BO19" s="7"/>
      <c r="BX19" s="7"/>
      <c r="CN19" s="7"/>
      <c r="CO19" s="8"/>
      <c r="CP19" s="7"/>
      <c r="DG19" s="7"/>
      <c r="DO19" s="7"/>
      <c r="EE19" s="7"/>
      <c r="EF19" s="7"/>
      <c r="GH19" s="7"/>
      <c r="GJ19" s="9"/>
    </row>
    <row r="20" spans="1:192" x14ac:dyDescent="0.25">
      <c r="A20" s="7">
        <v>1888</v>
      </c>
      <c r="B20" s="8">
        <v>2379.1510465774095</v>
      </c>
      <c r="C20" s="8">
        <v>3247.0852338937902</v>
      </c>
      <c r="D20" s="8">
        <v>785.04604589972223</v>
      </c>
      <c r="E20" s="8">
        <v>2248.9008934136709</v>
      </c>
      <c r="F20" s="8">
        <v>2388.8081524147096</v>
      </c>
      <c r="G20" s="8">
        <v>1302.287456445993</v>
      </c>
      <c r="H20" s="8">
        <v>2269.4038827655309</v>
      </c>
      <c r="I20" s="8">
        <v>2340.7836176887704</v>
      </c>
      <c r="J20" s="8">
        <v>1661.8145738981925</v>
      </c>
      <c r="K20" s="8">
        <v>899.59491477924121</v>
      </c>
      <c r="L20" s="8">
        <v>3543.9981949458484</v>
      </c>
      <c r="M20" s="8">
        <v>3554.1124807395995</v>
      </c>
      <c r="N20" s="8">
        <v>1618.5144698412748</v>
      </c>
      <c r="O20" s="8">
        <v>1117.5637393767706</v>
      </c>
      <c r="P20" s="8">
        <v>1641.4772727272725</v>
      </c>
      <c r="Q20" s="8">
        <v>921.18981907390378</v>
      </c>
      <c r="R20" s="8">
        <v>1726.0071714828096</v>
      </c>
      <c r="S20" s="8">
        <v>2989.7575964493003</v>
      </c>
      <c r="T20" s="8">
        <v>3849.0978010357635</v>
      </c>
      <c r="U20" s="8">
        <v>3281.6637028255286</v>
      </c>
      <c r="V20" s="8">
        <v>2718.1102362204724</v>
      </c>
      <c r="W20" s="7"/>
      <c r="X20" s="35">
        <f t="shared" si="1"/>
        <v>7.7744989999130949</v>
      </c>
      <c r="Y20" s="35">
        <f t="shared" si="2"/>
        <v>8.085513021802603</v>
      </c>
      <c r="Z20" s="35">
        <f t="shared" si="3"/>
        <v>6.6657423732592411</v>
      </c>
      <c r="AA20" s="35">
        <f t="shared" si="4"/>
        <v>7.7181968840313226</v>
      </c>
      <c r="AB20" s="35">
        <f t="shared" si="5"/>
        <v>7.7785498395448052</v>
      </c>
      <c r="AC20" s="35">
        <f t="shared" si="6"/>
        <v>7.1718775790805331</v>
      </c>
      <c r="AD20" s="35">
        <f t="shared" si="7"/>
        <v>7.7272724692770485</v>
      </c>
      <c r="AE20" s="35">
        <f t="shared" si="8"/>
        <v>7.7582410316463468</v>
      </c>
      <c r="AF20" s="35">
        <f t="shared" si="9"/>
        <v>7.4156654011395862</v>
      </c>
      <c r="AG20" s="35">
        <f t="shared" si="10"/>
        <v>6.8019445673115593</v>
      </c>
      <c r="AH20" s="35">
        <f t="shared" si="11"/>
        <v>8.1730108023980499</v>
      </c>
      <c r="AI20" s="35">
        <f t="shared" si="12"/>
        <v>8.1758606572682488</v>
      </c>
      <c r="AJ20" s="35">
        <f t="shared" si="13"/>
        <v>7.3892640136051577</v>
      </c>
      <c r="AK20" s="35">
        <f t="shared" si="14"/>
        <v>7.0189063623347696</v>
      </c>
      <c r="AL20" s="35">
        <f t="shared" si="15"/>
        <v>7.4033518914161744</v>
      </c>
      <c r="AM20" s="35">
        <f t="shared" si="16"/>
        <v>6.8256661160768433</v>
      </c>
      <c r="AN20" s="35">
        <f t="shared" si="17"/>
        <v>7.4535660266074002</v>
      </c>
      <c r="AO20" s="35">
        <f t="shared" si="18"/>
        <v>8.0029475916766284</v>
      </c>
      <c r="AP20" s="35">
        <f t="shared" si="19"/>
        <v>8.2555940624272246</v>
      </c>
      <c r="AQ20" s="35">
        <f t="shared" si="20"/>
        <v>8.0961057992535235</v>
      </c>
      <c r="AR20" s="35">
        <f t="shared" si="21"/>
        <v>7.9076921517328183</v>
      </c>
      <c r="AS20" s="38"/>
      <c r="AT20" s="38">
        <f t="shared" si="23"/>
        <v>-1.0569187064894514E-2</v>
      </c>
      <c r="AU20" s="38">
        <f t="shared" si="24"/>
        <v>-8.638620004095543E-4</v>
      </c>
      <c r="AV20" s="38">
        <f t="shared" si="25"/>
        <v>5.3417099599819551E-3</v>
      </c>
      <c r="AW20" s="38">
        <f t="shared" si="26"/>
        <v>5.9072687289115855E-2</v>
      </c>
      <c r="AX20" s="38">
        <f t="shared" si="27"/>
        <v>-2.3861343062119289E-3</v>
      </c>
      <c r="AY20" s="38">
        <f t="shared" si="28"/>
        <v>2.0754715443514371E-2</v>
      </c>
      <c r="AZ20" s="38">
        <f t="shared" si="29"/>
        <v>8.8386039196786115E-3</v>
      </c>
      <c r="BA20" s="38">
        <f t="shared" si="30"/>
        <v>2.8399286832182291E-2</v>
      </c>
      <c r="BB20" s="38">
        <f t="shared" si="31"/>
        <v>-9.5000017949873339E-3</v>
      </c>
      <c r="BC20" s="38">
        <f t="shared" si="32"/>
        <v>-5.6122187012860536E-2</v>
      </c>
      <c r="BD20" s="38">
        <f t="shared" si="33"/>
        <v>2.200051153486271E-2</v>
      </c>
      <c r="BE20" s="38">
        <f t="shared" si="34"/>
        <v>-1.3964540350373866E-2</v>
      </c>
      <c r="BF20" s="38">
        <f t="shared" si="35"/>
        <v>4.2081283906192368E-2</v>
      </c>
      <c r="BG20" s="38">
        <f t="shared" si="36"/>
        <v>3.2829978049750963E-3</v>
      </c>
      <c r="BH20" s="38">
        <f t="shared" si="37"/>
        <v>3.4763840030993975E-2</v>
      </c>
      <c r="BI20" s="38">
        <f t="shared" si="38"/>
        <v>-2.5569732555671187E-2</v>
      </c>
      <c r="BJ20" s="38">
        <f t="shared" si="39"/>
        <v>4.5022635829573332E-2</v>
      </c>
      <c r="BK20" s="38">
        <f t="shared" si="40"/>
        <v>1.9691752990368627E-2</v>
      </c>
      <c r="BL20" s="38">
        <f t="shared" si="41"/>
        <v>3.595801693326095E-2</v>
      </c>
      <c r="BM20" s="38">
        <f t="shared" si="42"/>
        <v>-2.6044169768674408E-2</v>
      </c>
      <c r="BN20" s="38">
        <f t="shared" si="43"/>
        <v>0.1813854982532801</v>
      </c>
      <c r="BO20" s="7"/>
      <c r="BX20" s="7"/>
      <c r="CN20" s="7"/>
      <c r="CO20" s="8"/>
      <c r="CP20" s="7"/>
      <c r="DG20" s="7"/>
      <c r="DO20" s="7"/>
      <c r="EE20" s="7"/>
      <c r="EF20" s="7"/>
      <c r="GH20" s="7"/>
      <c r="GJ20" s="9"/>
    </row>
    <row r="21" spans="1:192" x14ac:dyDescent="0.25">
      <c r="A21" s="7">
        <v>1889</v>
      </c>
      <c r="B21" s="8">
        <v>2337.2069932685117</v>
      </c>
      <c r="C21" s="8">
        <v>3378.5000826309697</v>
      </c>
      <c r="D21" s="8">
        <v>789.28110202324569</v>
      </c>
      <c r="E21" s="8">
        <v>2239.21726618705</v>
      </c>
      <c r="F21" s="8">
        <v>2399.6309314586997</v>
      </c>
      <c r="G21" s="8">
        <v>1326.5877305877304</v>
      </c>
      <c r="H21" s="8">
        <v>2322.4284321567839</v>
      </c>
      <c r="I21" s="8">
        <v>2379.2176369390227</v>
      </c>
      <c r="J21" s="8">
        <v>1578.9380157192477</v>
      </c>
      <c r="K21" s="8">
        <v>932.67486393872196</v>
      </c>
      <c r="L21" s="8">
        <v>3502.1181716833889</v>
      </c>
      <c r="M21" s="8">
        <v>3701.25</v>
      </c>
      <c r="N21" s="8">
        <v>1675.0554145470262</v>
      </c>
      <c r="O21" s="8">
        <v>1088.2647943831494</v>
      </c>
      <c r="P21" s="8">
        <v>1630.4446204321757</v>
      </c>
      <c r="Q21" s="8">
        <v>901.54032014497136</v>
      </c>
      <c r="R21" s="8">
        <v>1745.0115521949169</v>
      </c>
      <c r="S21" s="8">
        <v>2981.6326530612246</v>
      </c>
      <c r="T21" s="8">
        <v>4023.7664210016674</v>
      </c>
      <c r="U21" s="8">
        <v>3413.28044375645</v>
      </c>
      <c r="V21" s="8">
        <v>2415.151515151515</v>
      </c>
      <c r="W21" s="7"/>
      <c r="X21" s="35">
        <f t="shared" si="1"/>
        <v>7.7567119028324507</v>
      </c>
      <c r="Y21" s="35">
        <f t="shared" si="2"/>
        <v>8.1251871274501148</v>
      </c>
      <c r="Z21" s="35">
        <f t="shared" si="3"/>
        <v>6.6711225337231088</v>
      </c>
      <c r="AA21" s="35">
        <f t="shared" si="4"/>
        <v>7.7138816490446169</v>
      </c>
      <c r="AB21" s="35">
        <f t="shared" si="5"/>
        <v>7.7830702259520272</v>
      </c>
      <c r="AC21" s="35">
        <f t="shared" si="6"/>
        <v>7.1903653082832175</v>
      </c>
      <c r="AD21" s="35">
        <f t="shared" si="7"/>
        <v>7.7503686552107407</v>
      </c>
      <c r="AE21" s="35">
        <f t="shared" si="8"/>
        <v>7.7745269886487502</v>
      </c>
      <c r="AF21" s="35">
        <f t="shared" si="9"/>
        <v>7.3645077580824987</v>
      </c>
      <c r="AG21" s="35">
        <f t="shared" si="10"/>
        <v>6.8380566555880877</v>
      </c>
      <c r="AH21" s="35">
        <f t="shared" si="11"/>
        <v>8.1611232563322726</v>
      </c>
      <c r="AI21" s="35">
        <f t="shared" si="12"/>
        <v>8.2164258794158016</v>
      </c>
      <c r="AJ21" s="35">
        <f t="shared" si="13"/>
        <v>7.4236015270235836</v>
      </c>
      <c r="AK21" s="35">
        <f t="shared" si="14"/>
        <v>6.9923397749948588</v>
      </c>
      <c r="AL21" s="35">
        <f t="shared" si="15"/>
        <v>7.3966080298762167</v>
      </c>
      <c r="AM21" s="35">
        <f t="shared" si="16"/>
        <v>6.8041047672615935</v>
      </c>
      <c r="AN21" s="35">
        <f t="shared" si="17"/>
        <v>7.4645164547836211</v>
      </c>
      <c r="AO21" s="35">
        <f t="shared" si="18"/>
        <v>8.0002262996281637</v>
      </c>
      <c r="AP21" s="35">
        <f t="shared" si="19"/>
        <v>8.2999736636240549</v>
      </c>
      <c r="AQ21" s="35">
        <f t="shared" si="20"/>
        <v>8.1354291148121121</v>
      </c>
      <c r="AR21" s="35">
        <f t="shared" si="21"/>
        <v>7.7895173033118263</v>
      </c>
      <c r="AS21" s="38"/>
      <c r="AT21" s="38">
        <f t="shared" si="23"/>
        <v>-1.7787097080644187E-2</v>
      </c>
      <c r="AU21" s="38">
        <f t="shared" si="24"/>
        <v>3.9674105647511837E-2</v>
      </c>
      <c r="AV21" s="38">
        <f t="shared" si="25"/>
        <v>5.3801604638676892E-3</v>
      </c>
      <c r="AW21" s="38">
        <f t="shared" si="26"/>
        <v>-4.3152349867057183E-3</v>
      </c>
      <c r="AX21" s="38">
        <f t="shared" si="27"/>
        <v>4.5203864072220767E-3</v>
      </c>
      <c r="AY21" s="38">
        <f t="shared" si="28"/>
        <v>1.8487729202684378E-2</v>
      </c>
      <c r="AZ21" s="38">
        <f t="shared" si="29"/>
        <v>2.3096185933692226E-2</v>
      </c>
      <c r="BA21" s="38">
        <f t="shared" si="30"/>
        <v>1.6285957002403428E-2</v>
      </c>
      <c r="BB21" s="38">
        <f t="shared" si="31"/>
        <v>-5.1157643057087476E-2</v>
      </c>
      <c r="BC21" s="38">
        <f t="shared" si="32"/>
        <v>3.6112088276528453E-2</v>
      </c>
      <c r="BD21" s="38">
        <f t="shared" si="33"/>
        <v>-1.1887546065777244E-2</v>
      </c>
      <c r="BE21" s="38">
        <f t="shared" si="34"/>
        <v>4.056522214755276E-2</v>
      </c>
      <c r="BF21" s="38">
        <f t="shared" si="35"/>
        <v>3.4337513418425836E-2</v>
      </c>
      <c r="BG21" s="38">
        <f t="shared" si="36"/>
        <v>-2.6566587339910797E-2</v>
      </c>
      <c r="BH21" s="38">
        <f t="shared" si="37"/>
        <v>-6.7438615399577628E-3</v>
      </c>
      <c r="BI21" s="38">
        <f t="shared" si="38"/>
        <v>-2.1561348815249737E-2</v>
      </c>
      <c r="BJ21" s="38">
        <f t="shared" si="39"/>
        <v>1.0950428176220939E-2</v>
      </c>
      <c r="BK21" s="38">
        <f t="shared" si="40"/>
        <v>-2.7212920484647185E-3</v>
      </c>
      <c r="BL21" s="38">
        <f t="shared" si="41"/>
        <v>4.4379601196830265E-2</v>
      </c>
      <c r="BM21" s="38">
        <f t="shared" si="42"/>
        <v>3.932331555858859E-2</v>
      </c>
      <c r="BN21" s="38">
        <f t="shared" si="43"/>
        <v>-0.11817484842099191</v>
      </c>
      <c r="BO21" s="7"/>
      <c r="BX21" s="7"/>
      <c r="CN21" s="7"/>
      <c r="CO21" s="8"/>
      <c r="CP21" s="7"/>
      <c r="DG21" s="7"/>
      <c r="DO21" s="7"/>
      <c r="EE21" s="7"/>
      <c r="EF21" s="7"/>
      <c r="GH21" s="7"/>
      <c r="GJ21" s="9"/>
    </row>
    <row r="22" spans="1:192" x14ac:dyDescent="0.25">
      <c r="A22" s="7">
        <v>1890</v>
      </c>
      <c r="B22" s="8">
        <v>2443.3559510567297</v>
      </c>
      <c r="C22" s="8">
        <v>3427.8480971128606</v>
      </c>
      <c r="D22" s="8">
        <v>793.50658497077268</v>
      </c>
      <c r="E22" s="8">
        <v>2378.3773891825945</v>
      </c>
      <c r="F22" s="8">
        <v>2523.2432432432433</v>
      </c>
      <c r="G22" s="8">
        <v>1381.0401861252117</v>
      </c>
      <c r="H22" s="8">
        <v>2376.012445644024</v>
      </c>
      <c r="I22" s="8">
        <v>2427.8085995756928</v>
      </c>
      <c r="J22" s="8">
        <v>1667.4886522323895</v>
      </c>
      <c r="K22" s="8">
        <v>1011.941961723682</v>
      </c>
      <c r="L22" s="8">
        <v>3323.0429988974643</v>
      </c>
      <c r="M22" s="8">
        <v>3755.4766917293236</v>
      </c>
      <c r="N22" s="8">
        <v>1709.4871086513269</v>
      </c>
      <c r="O22" s="8">
        <v>1127.8838504375497</v>
      </c>
      <c r="P22" s="8">
        <v>1624.0919074167934</v>
      </c>
      <c r="Q22" s="8">
        <v>1045.169009871373</v>
      </c>
      <c r="R22" s="8">
        <v>1769.0376569037658</v>
      </c>
      <c r="S22" s="8">
        <v>3181.6333446289395</v>
      </c>
      <c r="T22" s="8">
        <v>4008.7886354541815</v>
      </c>
      <c r="U22" s="8">
        <v>3391.898281254937</v>
      </c>
      <c r="V22" s="8">
        <v>2147.2303206997085</v>
      </c>
      <c r="W22" s="7"/>
      <c r="X22" s="35">
        <f t="shared" si="1"/>
        <v>7.801127763082456</v>
      </c>
      <c r="Y22" s="35">
        <f t="shared" si="2"/>
        <v>8.1396879663416986</v>
      </c>
      <c r="Z22" s="35">
        <f t="shared" si="3"/>
        <v>6.676461838571945</v>
      </c>
      <c r="AA22" s="35">
        <f t="shared" si="4"/>
        <v>7.7741737649041687</v>
      </c>
      <c r="AB22" s="35">
        <f t="shared" si="5"/>
        <v>7.8333003543162132</v>
      </c>
      <c r="AC22" s="35">
        <f t="shared" si="6"/>
        <v>7.2305922522800588</v>
      </c>
      <c r="AD22" s="35">
        <f t="shared" si="7"/>
        <v>7.7731789185344837</v>
      </c>
      <c r="AE22" s="35">
        <f t="shared" si="8"/>
        <v>7.7947443185843319</v>
      </c>
      <c r="AF22" s="35">
        <f t="shared" si="9"/>
        <v>7.4190739725086852</v>
      </c>
      <c r="AG22" s="35">
        <f t="shared" si="10"/>
        <v>6.9196264981274194</v>
      </c>
      <c r="AH22" s="35">
        <f t="shared" si="11"/>
        <v>8.1086362080534418</v>
      </c>
      <c r="AI22" s="35">
        <f t="shared" si="12"/>
        <v>8.2309705046707329</v>
      </c>
      <c r="AJ22" s="35">
        <f t="shared" si="13"/>
        <v>7.4439486680455564</v>
      </c>
      <c r="AK22" s="35">
        <f t="shared" si="14"/>
        <v>7.0280984572860268</v>
      </c>
      <c r="AL22" s="35">
        <f t="shared" si="15"/>
        <v>7.3927041123572286</v>
      </c>
      <c r="AM22" s="35">
        <f t="shared" si="16"/>
        <v>6.9519338832560402</v>
      </c>
      <c r="AN22" s="35">
        <f t="shared" si="17"/>
        <v>7.4781909810467093</v>
      </c>
      <c r="AO22" s="35">
        <f t="shared" si="18"/>
        <v>8.0651499742977446</v>
      </c>
      <c r="AP22" s="35">
        <f t="shared" si="19"/>
        <v>8.2962443887418207</v>
      </c>
      <c r="AQ22" s="35">
        <f t="shared" si="20"/>
        <v>8.1291450086245725</v>
      </c>
      <c r="AR22" s="35">
        <f t="shared" si="21"/>
        <v>7.6719340677188823</v>
      </c>
      <c r="AS22" s="38"/>
      <c r="AT22" s="38">
        <f t="shared" si="23"/>
        <v>4.4415860250005323E-2</v>
      </c>
      <c r="AU22" s="38">
        <f t="shared" si="24"/>
        <v>1.4500838891583712E-2</v>
      </c>
      <c r="AV22" s="38">
        <f t="shared" si="25"/>
        <v>5.3393048488361572E-3</v>
      </c>
      <c r="AW22" s="38">
        <f t="shared" si="26"/>
        <v>6.0292115859551743E-2</v>
      </c>
      <c r="AX22" s="38">
        <f t="shared" si="27"/>
        <v>5.0230128364185944E-2</v>
      </c>
      <c r="AY22" s="38">
        <f t="shared" si="28"/>
        <v>4.0226943996841236E-2</v>
      </c>
      <c r="AZ22" s="38">
        <f t="shared" si="29"/>
        <v>2.281026332374303E-2</v>
      </c>
      <c r="BA22" s="38">
        <f t="shared" si="30"/>
        <v>2.0217329935581674E-2</v>
      </c>
      <c r="BB22" s="38">
        <f t="shared" si="31"/>
        <v>5.4566214426186477E-2</v>
      </c>
      <c r="BC22" s="38">
        <f t="shared" si="32"/>
        <v>8.1569842539331638E-2</v>
      </c>
      <c r="BD22" s="38">
        <f t="shared" si="33"/>
        <v>-5.2487048278830883E-2</v>
      </c>
      <c r="BE22" s="38">
        <f t="shared" si="34"/>
        <v>1.4544625254931276E-2</v>
      </c>
      <c r="BF22" s="38">
        <f t="shared" si="35"/>
        <v>2.0347141021972881E-2</v>
      </c>
      <c r="BG22" s="38">
        <f t="shared" si="36"/>
        <v>3.5758682291167965E-2</v>
      </c>
      <c r="BH22" s="38">
        <f t="shared" si="37"/>
        <v>-3.9039175189881092E-3</v>
      </c>
      <c r="BI22" s="38">
        <f t="shared" si="38"/>
        <v>0.1478291159944467</v>
      </c>
      <c r="BJ22" s="38">
        <f t="shared" si="39"/>
        <v>1.3674526263088183E-2</v>
      </c>
      <c r="BK22" s="38">
        <f t="shared" si="40"/>
        <v>6.4923674669580933E-2</v>
      </c>
      <c r="BL22" s="38">
        <f t="shared" si="41"/>
        <v>-3.7292748822341792E-3</v>
      </c>
      <c r="BM22" s="38">
        <f t="shared" si="42"/>
        <v>-6.2841061875396065E-3</v>
      </c>
      <c r="BN22" s="38">
        <f t="shared" si="43"/>
        <v>-0.11758323559294404</v>
      </c>
      <c r="BO22" s="7"/>
      <c r="BX22" s="7"/>
      <c r="CN22" s="10"/>
      <c r="CO22" s="8"/>
      <c r="CP22" s="7"/>
      <c r="DG22" s="7"/>
      <c r="DO22" s="7"/>
      <c r="EE22" s="7"/>
      <c r="EF22" s="7"/>
      <c r="GH22" s="7"/>
      <c r="GJ22" s="9"/>
    </row>
    <row r="23" spans="1:192" x14ac:dyDescent="0.25">
      <c r="A23" s="7">
        <v>1891</v>
      </c>
      <c r="B23" s="8">
        <v>2506.147998531032</v>
      </c>
      <c r="C23" s="8">
        <v>3395.2804996755358</v>
      </c>
      <c r="D23" s="8">
        <v>772.54281587454432</v>
      </c>
      <c r="E23" s="8">
        <v>2408.726468222043</v>
      </c>
      <c r="F23" s="8">
        <v>2555.1795759411511</v>
      </c>
      <c r="G23" s="8">
        <v>1350.390142021721</v>
      </c>
      <c r="H23" s="8">
        <v>2432.0610509466524</v>
      </c>
      <c r="I23" s="8">
        <v>2396.5457832076295</v>
      </c>
      <c r="J23" s="8">
        <v>1650.8366566554942</v>
      </c>
      <c r="K23" s="8">
        <v>956.43801386825157</v>
      </c>
      <c r="L23" s="8">
        <v>3224.209378407852</v>
      </c>
      <c r="M23" s="8">
        <v>3731.0608308605342</v>
      </c>
      <c r="N23" s="8">
        <v>1712.278578264481</v>
      </c>
      <c r="O23" s="8">
        <v>1099.4475138121547</v>
      </c>
      <c r="P23" s="8">
        <v>1653.6779546983628</v>
      </c>
      <c r="Q23" s="8">
        <v>1036.7215041128084</v>
      </c>
      <c r="R23" s="8">
        <v>1836.0450563204006</v>
      </c>
      <c r="S23" s="8">
        <v>2986.8465430016863</v>
      </c>
      <c r="T23" s="8">
        <v>3975.1717369451358</v>
      </c>
      <c r="U23" s="8">
        <v>3467.2636507150369</v>
      </c>
      <c r="V23" s="8">
        <v>2290.3682719546741</v>
      </c>
      <c r="W23" s="7"/>
      <c r="X23" s="35">
        <f t="shared" si="1"/>
        <v>7.8265021913861732</v>
      </c>
      <c r="Y23" s="35">
        <f t="shared" si="2"/>
        <v>8.1301416579864743</v>
      </c>
      <c r="Z23" s="35">
        <f t="shared" si="3"/>
        <v>6.6496874323163038</v>
      </c>
      <c r="AA23" s="35">
        <f t="shared" si="4"/>
        <v>7.786853450390578</v>
      </c>
      <c r="AB23" s="35">
        <f t="shared" si="5"/>
        <v>7.8458777842936867</v>
      </c>
      <c r="AC23" s="35">
        <f t="shared" si="6"/>
        <v>7.2081488237718903</v>
      </c>
      <c r="AD23" s="35">
        <f t="shared" si="7"/>
        <v>7.7964943459562788</v>
      </c>
      <c r="AE23" s="35">
        <f t="shared" si="8"/>
        <v>7.7817837226140023</v>
      </c>
      <c r="AF23" s="35">
        <f t="shared" si="9"/>
        <v>7.4090375030204862</v>
      </c>
      <c r="AG23" s="35">
        <f t="shared" si="10"/>
        <v>6.863215981624327</v>
      </c>
      <c r="AH23" s="35">
        <f t="shared" si="11"/>
        <v>8.0784430451926621</v>
      </c>
      <c r="AI23" s="35">
        <f t="shared" si="12"/>
        <v>8.2244478772588536</v>
      </c>
      <c r="AJ23" s="35">
        <f t="shared" si="13"/>
        <v>7.445580264412949</v>
      </c>
      <c r="AK23" s="35">
        <f t="shared" si="14"/>
        <v>7.0025630724408039</v>
      </c>
      <c r="AL23" s="35">
        <f t="shared" si="15"/>
        <v>7.4107571496719453</v>
      </c>
      <c r="AM23" s="35">
        <f t="shared" si="16"/>
        <v>6.9438186129641419</v>
      </c>
      <c r="AN23" s="35">
        <f t="shared" si="17"/>
        <v>7.5153691113588446</v>
      </c>
      <c r="AO23" s="35">
        <f t="shared" si="18"/>
        <v>8.0019734419387838</v>
      </c>
      <c r="AP23" s="35">
        <f t="shared" si="19"/>
        <v>8.2878232304180823</v>
      </c>
      <c r="AQ23" s="35">
        <f t="shared" si="20"/>
        <v>8.1511209885724725</v>
      </c>
      <c r="AR23" s="35">
        <f t="shared" si="21"/>
        <v>7.7364679010660016</v>
      </c>
      <c r="AS23" s="38"/>
      <c r="AT23" s="38">
        <f t="shared" si="23"/>
        <v>2.5374428303717167E-2</v>
      </c>
      <c r="AU23" s="38">
        <f t="shared" si="24"/>
        <v>-9.5463083552242978E-3</v>
      </c>
      <c r="AV23" s="38">
        <f t="shared" si="25"/>
        <v>-2.6774406255641203E-2</v>
      </c>
      <c r="AW23" s="38">
        <f t="shared" si="26"/>
        <v>1.2679685486409298E-2</v>
      </c>
      <c r="AX23" s="38">
        <f t="shared" si="27"/>
        <v>1.2577429977473464E-2</v>
      </c>
      <c r="AY23" s="38">
        <f t="shared" si="28"/>
        <v>-2.2443428508168495E-2</v>
      </c>
      <c r="AZ23" s="38">
        <f t="shared" si="29"/>
        <v>2.3315427421795043E-2</v>
      </c>
      <c r="BA23" s="38">
        <f t="shared" si="30"/>
        <v>-1.2960595970329614E-2</v>
      </c>
      <c r="BB23" s="38">
        <f t="shared" si="31"/>
        <v>-1.0036469488198918E-2</v>
      </c>
      <c r="BC23" s="38">
        <f t="shared" si="32"/>
        <v>-5.6410516503092367E-2</v>
      </c>
      <c r="BD23" s="38">
        <f t="shared" si="33"/>
        <v>-3.0193162860779665E-2</v>
      </c>
      <c r="BE23" s="38">
        <f t="shared" si="34"/>
        <v>-6.522627411879256E-3</v>
      </c>
      <c r="BF23" s="38">
        <f t="shared" si="35"/>
        <v>1.6315963673925182E-3</v>
      </c>
      <c r="BG23" s="38">
        <f t="shared" si="36"/>
        <v>-2.5535384845222886E-2</v>
      </c>
      <c r="BH23" s="38">
        <f t="shared" si="37"/>
        <v>1.8053037314716747E-2</v>
      </c>
      <c r="BI23" s="38">
        <f t="shared" si="38"/>
        <v>-8.1152702918982911E-3</v>
      </c>
      <c r="BJ23" s="38">
        <f t="shared" si="39"/>
        <v>3.7178130312135238E-2</v>
      </c>
      <c r="BK23" s="38">
        <f t="shared" si="40"/>
        <v>-6.3176532358960813E-2</v>
      </c>
      <c r="BL23" s="38">
        <f t="shared" si="41"/>
        <v>-8.4211583237383536E-3</v>
      </c>
      <c r="BM23" s="38">
        <f t="shared" si="42"/>
        <v>2.1975979947900015E-2</v>
      </c>
      <c r="BN23" s="38">
        <f t="shared" si="43"/>
        <v>6.4533833347119263E-2</v>
      </c>
      <c r="BO23" s="7"/>
      <c r="BX23" s="7"/>
      <c r="CN23" s="7"/>
      <c r="CO23" s="8"/>
      <c r="CP23" s="7"/>
      <c r="DG23" s="7"/>
      <c r="DO23" s="7"/>
      <c r="EE23" s="7"/>
      <c r="EF23" s="7"/>
      <c r="GH23" s="7"/>
      <c r="GJ23" s="9"/>
    </row>
    <row r="24" spans="1:192" x14ac:dyDescent="0.25">
      <c r="A24" s="7">
        <v>1892</v>
      </c>
      <c r="B24" s="8">
        <v>2535.1280886627906</v>
      </c>
      <c r="C24" s="8">
        <v>3441.8329321136257</v>
      </c>
      <c r="D24" s="8">
        <v>729.88042455998925</v>
      </c>
      <c r="E24" s="8">
        <v>2370.8395061728397</v>
      </c>
      <c r="F24" s="8">
        <v>2597.7911474000862</v>
      </c>
      <c r="G24" s="8">
        <v>1279.8853529171768</v>
      </c>
      <c r="H24" s="8">
        <v>2492.87150251294</v>
      </c>
      <c r="I24" s="8">
        <v>2469.31079719532</v>
      </c>
      <c r="J24" s="8">
        <v>1548.3612469444815</v>
      </c>
      <c r="K24" s="8">
        <v>1012.69479402222</v>
      </c>
      <c r="L24" s="8">
        <v>3239.6373056994817</v>
      </c>
      <c r="M24" s="8">
        <v>3800.6282798833822</v>
      </c>
      <c r="N24" s="8">
        <v>1733.8015630091315</v>
      </c>
      <c r="O24" s="8">
        <v>1086.9905956112852</v>
      </c>
      <c r="P24" s="8">
        <v>1769.7588747488278</v>
      </c>
      <c r="Q24" s="8">
        <v>1052.1613832853025</v>
      </c>
      <c r="R24" s="8">
        <v>1826.0145681581685</v>
      </c>
      <c r="S24" s="8">
        <v>3206.8620919387076</v>
      </c>
      <c r="T24" s="8">
        <v>3846.3196622436662</v>
      </c>
      <c r="U24" s="8">
        <v>3727.9955856921815</v>
      </c>
      <c r="V24" s="8">
        <v>2294.3603851444291</v>
      </c>
      <c r="W24" s="7"/>
      <c r="X24" s="35">
        <f t="shared" si="1"/>
        <v>7.8379994428208901</v>
      </c>
      <c r="Y24" s="35">
        <f t="shared" si="2"/>
        <v>8.1437594375672209</v>
      </c>
      <c r="Z24" s="35">
        <f t="shared" si="3"/>
        <v>6.5928807187528111</v>
      </c>
      <c r="AA24" s="35">
        <f t="shared" si="4"/>
        <v>7.7709993934212269</v>
      </c>
      <c r="AB24" s="35">
        <f t="shared" si="5"/>
        <v>7.8624168042377933</v>
      </c>
      <c r="AC24" s="35">
        <f t="shared" si="6"/>
        <v>7.1545257848687518</v>
      </c>
      <c r="AD24" s="35">
        <f t="shared" si="7"/>
        <v>7.8211905388790468</v>
      </c>
      <c r="AE24" s="35">
        <f t="shared" si="8"/>
        <v>7.8116943612104768</v>
      </c>
      <c r="AF24" s="35">
        <f t="shared" si="9"/>
        <v>7.3449523905838348</v>
      </c>
      <c r="AG24" s="35">
        <f t="shared" si="10"/>
        <v>6.9203701696340216</v>
      </c>
      <c r="AH24" s="35">
        <f t="shared" si="11"/>
        <v>8.0832166598349797</v>
      </c>
      <c r="AI24" s="35">
        <f t="shared" si="12"/>
        <v>8.2429216688592692</v>
      </c>
      <c r="AJ24" s="35">
        <f t="shared" si="13"/>
        <v>7.4580717119274613</v>
      </c>
      <c r="AK24" s="35">
        <f t="shared" si="14"/>
        <v>6.9911682353922338</v>
      </c>
      <c r="AL24" s="35">
        <f t="shared" si="15"/>
        <v>7.478598587332403</v>
      </c>
      <c r="AM24" s="35">
        <f t="shared" si="16"/>
        <v>6.9586017876968693</v>
      </c>
      <c r="AN24" s="35">
        <f t="shared" si="17"/>
        <v>7.5098910393039038</v>
      </c>
      <c r="AO24" s="35">
        <f t="shared" si="18"/>
        <v>8.0730481965666971</v>
      </c>
      <c r="AP24" s="35">
        <f t="shared" si="19"/>
        <v>8.2548720382027962</v>
      </c>
      <c r="AQ24" s="35">
        <f t="shared" si="20"/>
        <v>8.2236259917093353</v>
      </c>
      <c r="AR24" s="35">
        <f t="shared" si="21"/>
        <v>7.7382093843673099</v>
      </c>
      <c r="AS24" s="38"/>
      <c r="AT24" s="38">
        <f t="shared" si="23"/>
        <v>1.1497251434716915E-2</v>
      </c>
      <c r="AU24" s="38">
        <f t="shared" si="24"/>
        <v>1.3617779580746614E-2</v>
      </c>
      <c r="AV24" s="38">
        <f t="shared" si="25"/>
        <v>-5.680671356349265E-2</v>
      </c>
      <c r="AW24" s="38">
        <f t="shared" si="26"/>
        <v>-1.5854056969351049E-2</v>
      </c>
      <c r="AX24" s="38">
        <f t="shared" si="27"/>
        <v>1.653901994410667E-2</v>
      </c>
      <c r="AY24" s="38">
        <f t="shared" si="28"/>
        <v>-5.3623038903138465E-2</v>
      </c>
      <c r="AZ24" s="38">
        <f t="shared" si="29"/>
        <v>2.4696192922768034E-2</v>
      </c>
      <c r="BA24" s="38">
        <f t="shared" si="30"/>
        <v>2.991063859647447E-2</v>
      </c>
      <c r="BB24" s="38">
        <f t="shared" si="31"/>
        <v>-6.4085112436651492E-2</v>
      </c>
      <c r="BC24" s="38">
        <f t="shared" si="32"/>
        <v>5.7154188009694629E-2</v>
      </c>
      <c r="BD24" s="38">
        <f t="shared" si="33"/>
        <v>4.7736146423176251E-3</v>
      </c>
      <c r="BE24" s="38">
        <f t="shared" si="34"/>
        <v>1.8473791600415623E-2</v>
      </c>
      <c r="BF24" s="38">
        <f t="shared" si="35"/>
        <v>1.2491447514512366E-2</v>
      </c>
      <c r="BG24" s="38">
        <f t="shared" si="36"/>
        <v>-1.1394837048570139E-2</v>
      </c>
      <c r="BH24" s="38">
        <f t="shared" si="37"/>
        <v>6.7841437660457693E-2</v>
      </c>
      <c r="BI24" s="38">
        <f t="shared" si="38"/>
        <v>1.4783174732727389E-2</v>
      </c>
      <c r="BJ24" s="38">
        <f t="shared" si="39"/>
        <v>-5.4780720549407746E-3</v>
      </c>
      <c r="BK24" s="38">
        <f t="shared" si="40"/>
        <v>7.107475462791335E-2</v>
      </c>
      <c r="BL24" s="38">
        <f t="shared" si="41"/>
        <v>-3.2951192215286085E-2</v>
      </c>
      <c r="BM24" s="38">
        <f t="shared" si="42"/>
        <v>7.2505003136862811E-2</v>
      </c>
      <c r="BN24" s="38">
        <f t="shared" si="43"/>
        <v>1.7414833013082998E-3</v>
      </c>
      <c r="BO24" s="7"/>
      <c r="BX24" s="7"/>
      <c r="CN24" s="7"/>
      <c r="CO24" s="8"/>
      <c r="CP24" s="7"/>
      <c r="DG24" s="7"/>
      <c r="DO24" s="7"/>
      <c r="EE24" s="7"/>
      <c r="EF24" s="7"/>
      <c r="GH24" s="7"/>
      <c r="GJ24" s="9"/>
    </row>
    <row r="25" spans="1:192" x14ac:dyDescent="0.25">
      <c r="A25" s="7">
        <v>1893</v>
      </c>
      <c r="B25" s="8">
        <v>2525.1031817364733</v>
      </c>
      <c r="C25" s="8">
        <v>3455.4811111111117</v>
      </c>
      <c r="D25" s="8">
        <v>621.57197218212832</v>
      </c>
      <c r="E25" s="8">
        <v>2333.6995268138799</v>
      </c>
      <c r="F25" s="8">
        <v>2628.737201365188</v>
      </c>
      <c r="G25" s="8">
        <v>1340.9012345679012</v>
      </c>
      <c r="H25" s="8">
        <v>2534.8947368421054</v>
      </c>
      <c r="I25" s="8">
        <v>2565.4640799625431</v>
      </c>
      <c r="J25" s="8">
        <v>1608.7399783966491</v>
      </c>
      <c r="K25" s="8">
        <v>1008.3603082851638</v>
      </c>
      <c r="L25" s="8">
        <v>3235.9094790777112</v>
      </c>
      <c r="M25" s="8">
        <v>3788.4</v>
      </c>
      <c r="N25" s="8">
        <v>1769.3741801897449</v>
      </c>
      <c r="O25" s="8">
        <v>1100.9531219607081</v>
      </c>
      <c r="P25" s="8">
        <v>1700.2111580351188</v>
      </c>
      <c r="Q25" s="8">
        <v>1052.4971623155507</v>
      </c>
      <c r="R25" s="8">
        <v>1875</v>
      </c>
      <c r="S25" s="8">
        <v>3294.0789473684208</v>
      </c>
      <c r="T25" s="8">
        <v>3810.7444531047017</v>
      </c>
      <c r="U25" s="8">
        <v>3478.4119825675657</v>
      </c>
      <c r="V25" s="8">
        <v>2437.1657754010694</v>
      </c>
      <c r="W25" s="7"/>
      <c r="X25" s="35">
        <f t="shared" si="1"/>
        <v>7.8340372049285962</v>
      </c>
      <c r="Y25" s="35">
        <f t="shared" si="2"/>
        <v>8.147716977190683</v>
      </c>
      <c r="Z25" s="35">
        <f t="shared" si="3"/>
        <v>6.4322517082397717</v>
      </c>
      <c r="AA25" s="35">
        <f t="shared" si="4"/>
        <v>7.7552100671186288</v>
      </c>
      <c r="AB25" s="35">
        <f t="shared" si="5"/>
        <v>7.8742588582899602</v>
      </c>
      <c r="AC25" s="35">
        <f t="shared" si="6"/>
        <v>7.2010972299861207</v>
      </c>
      <c r="AD25" s="35">
        <f t="shared" si="7"/>
        <v>7.8379073912349781</v>
      </c>
      <c r="AE25" s="35">
        <f t="shared" si="8"/>
        <v>7.8498946691000393</v>
      </c>
      <c r="AF25" s="35">
        <f t="shared" si="9"/>
        <v>7.3832065294560607</v>
      </c>
      <c r="AG25" s="35">
        <f t="shared" si="10"/>
        <v>6.9160808334573476</v>
      </c>
      <c r="AH25" s="35">
        <f t="shared" si="11"/>
        <v>8.0820653046961866</v>
      </c>
      <c r="AI25" s="35">
        <f t="shared" si="12"/>
        <v>8.2396990453519461</v>
      </c>
      <c r="AJ25" s="35">
        <f t="shared" si="13"/>
        <v>7.4783811925328143</v>
      </c>
      <c r="AK25" s="35">
        <f t="shared" si="14"/>
        <v>7.0039315581238615</v>
      </c>
      <c r="AL25" s="35">
        <f t="shared" si="15"/>
        <v>7.4385077329397022</v>
      </c>
      <c r="AM25" s="35">
        <f t="shared" si="16"/>
        <v>6.9589208694156577</v>
      </c>
      <c r="AN25" s="35">
        <f t="shared" si="17"/>
        <v>7.5363639384045111</v>
      </c>
      <c r="AO25" s="35">
        <f t="shared" si="18"/>
        <v>8.0998818774717591</v>
      </c>
      <c r="AP25" s="35">
        <f t="shared" si="19"/>
        <v>8.245579843549395</v>
      </c>
      <c r="AQ25" s="35">
        <f t="shared" si="20"/>
        <v>8.1543311417713387</v>
      </c>
      <c r="AR25" s="35">
        <f t="shared" si="21"/>
        <v>7.798591075686323</v>
      </c>
      <c r="AS25" s="38"/>
      <c r="AT25" s="38">
        <f t="shared" si="23"/>
        <v>-3.962237892293885E-3</v>
      </c>
      <c r="AU25" s="38">
        <f t="shared" si="24"/>
        <v>3.9575396234621252E-3</v>
      </c>
      <c r="AV25" s="38">
        <f t="shared" si="25"/>
        <v>-0.16062901051303946</v>
      </c>
      <c r="AW25" s="38">
        <f t="shared" si="26"/>
        <v>-1.5789326302598106E-2</v>
      </c>
      <c r="AX25" s="38">
        <f t="shared" si="27"/>
        <v>1.1842054052166873E-2</v>
      </c>
      <c r="AY25" s="38">
        <f t="shared" si="28"/>
        <v>4.6571445117368881E-2</v>
      </c>
      <c r="AZ25" s="38">
        <f t="shared" si="29"/>
        <v>1.6716852355931344E-2</v>
      </c>
      <c r="BA25" s="38">
        <f t="shared" si="30"/>
        <v>3.8200307889562524E-2</v>
      </c>
      <c r="BB25" s="38">
        <f t="shared" si="31"/>
        <v>3.8254138872225951E-2</v>
      </c>
      <c r="BC25" s="38">
        <f t="shared" si="32"/>
        <v>-4.2893361766740412E-3</v>
      </c>
      <c r="BD25" s="38">
        <f t="shared" si="33"/>
        <v>-1.1513551387931642E-3</v>
      </c>
      <c r="BE25" s="38">
        <f t="shared" si="34"/>
        <v>-3.2226235073231635E-3</v>
      </c>
      <c r="BF25" s="38">
        <f t="shared" si="35"/>
        <v>2.0309480605352981E-2</v>
      </c>
      <c r="BG25" s="38">
        <f t="shared" si="36"/>
        <v>1.2763322731627724E-2</v>
      </c>
      <c r="BH25" s="38">
        <f t="shared" si="37"/>
        <v>-4.009085439270077E-2</v>
      </c>
      <c r="BI25" s="38">
        <f t="shared" si="38"/>
        <v>3.19081718788361E-4</v>
      </c>
      <c r="BJ25" s="38">
        <f t="shared" si="39"/>
        <v>2.647289910060735E-2</v>
      </c>
      <c r="BK25" s="38">
        <f t="shared" si="40"/>
        <v>2.6833680905061996E-2</v>
      </c>
      <c r="BL25" s="38">
        <f t="shared" si="41"/>
        <v>-9.2921946534012534E-3</v>
      </c>
      <c r="BM25" s="38">
        <f t="shared" si="42"/>
        <v>-6.9294849937996617E-2</v>
      </c>
      <c r="BN25" s="38">
        <f t="shared" si="43"/>
        <v>6.0381691319013164E-2</v>
      </c>
      <c r="BO25" s="7"/>
      <c r="BX25" s="7"/>
      <c r="CN25" s="7"/>
      <c r="CO25" s="8"/>
      <c r="CP25" s="7"/>
      <c r="DG25" s="7"/>
      <c r="DO25" s="7"/>
      <c r="EE25" s="7"/>
      <c r="EF25" s="7"/>
      <c r="GH25" s="7"/>
      <c r="GJ25" s="9"/>
    </row>
    <row r="26" spans="1:192" x14ac:dyDescent="0.25">
      <c r="A26" s="7">
        <v>1894</v>
      </c>
      <c r="B26" s="8">
        <v>2644.598719316969</v>
      </c>
      <c r="C26" s="8">
        <v>3468.2890109890109</v>
      </c>
      <c r="D26" s="8">
        <v>621.1956173511885</v>
      </c>
      <c r="E26" s="8">
        <v>2420.4608474907245</v>
      </c>
      <c r="F26" s="8">
        <v>2657.4271229404308</v>
      </c>
      <c r="G26" s="8">
        <v>1399.4225408203902</v>
      </c>
      <c r="H26" s="8">
        <v>2626.0233672857998</v>
      </c>
      <c r="I26" s="8">
        <v>2597.6019153773409</v>
      </c>
      <c r="J26" s="8">
        <v>1575.8200385819664</v>
      </c>
      <c r="K26" s="8">
        <v>1119.4156711003627</v>
      </c>
      <c r="L26" s="8">
        <v>3273.0339447607003</v>
      </c>
      <c r="M26" s="8">
        <v>3579.0955678670357</v>
      </c>
      <c r="N26" s="8">
        <v>1763.7167042326203</v>
      </c>
      <c r="O26" s="8">
        <v>1078.9880262649672</v>
      </c>
      <c r="P26" s="8">
        <v>1711.6065501217083</v>
      </c>
      <c r="Q26" s="8">
        <v>1043.2477678571429</v>
      </c>
      <c r="R26" s="8">
        <v>1888.0181480717672</v>
      </c>
      <c r="S26" s="8">
        <v>3179.3955151121222</v>
      </c>
      <c r="T26" s="8">
        <v>4028.8928176226877</v>
      </c>
      <c r="U26" s="8">
        <v>3313.7995798135421</v>
      </c>
      <c r="V26" s="8">
        <v>2657.1428571428569</v>
      </c>
      <c r="W26" s="7"/>
      <c r="X26" s="35">
        <f t="shared" si="1"/>
        <v>7.8802746198591889</v>
      </c>
      <c r="Y26" s="35">
        <f t="shared" si="2"/>
        <v>8.1514166709301605</v>
      </c>
      <c r="Z26" s="35">
        <f t="shared" si="3"/>
        <v>6.4316460361163355</v>
      </c>
      <c r="AA26" s="35">
        <f t="shared" si="4"/>
        <v>7.7917132338681059</v>
      </c>
      <c r="AB26" s="35">
        <f t="shared" si="5"/>
        <v>7.8851136866756146</v>
      </c>
      <c r="AC26" s="35">
        <f t="shared" si="6"/>
        <v>7.2438149596712744</v>
      </c>
      <c r="AD26" s="35">
        <f t="shared" si="7"/>
        <v>7.8732259532564335</v>
      </c>
      <c r="AE26" s="35">
        <f t="shared" si="8"/>
        <v>7.8623439581526009</v>
      </c>
      <c r="AF26" s="35">
        <f t="shared" si="9"/>
        <v>7.3625310751807698</v>
      </c>
      <c r="AG26" s="35">
        <f t="shared" si="10"/>
        <v>7.0205621059129228</v>
      </c>
      <c r="AH26" s="35">
        <f t="shared" si="11"/>
        <v>8.0934726455933532</v>
      </c>
      <c r="AI26" s="35">
        <f t="shared" si="12"/>
        <v>8.1828654128032188</v>
      </c>
      <c r="AJ26" s="35">
        <f t="shared" si="13"/>
        <v>7.4751786251618304</v>
      </c>
      <c r="AK26" s="35">
        <f t="shared" si="14"/>
        <v>6.9837788681298028</v>
      </c>
      <c r="AL26" s="35">
        <f t="shared" si="15"/>
        <v>7.4451877114351452</v>
      </c>
      <c r="AM26" s="35">
        <f t="shared" si="16"/>
        <v>6.9500939798644294</v>
      </c>
      <c r="AN26" s="35">
        <f t="shared" si="17"/>
        <v>7.5432829589853956</v>
      </c>
      <c r="AO26" s="35">
        <f t="shared" si="18"/>
        <v>8.0644463681175242</v>
      </c>
      <c r="AP26" s="35">
        <f t="shared" si="19"/>
        <v>8.3012468821129133</v>
      </c>
      <c r="AQ26" s="35">
        <f t="shared" si="20"/>
        <v>8.1058507193362086</v>
      </c>
      <c r="AR26" s="35">
        <f t="shared" si="21"/>
        <v>7.8850067106459791</v>
      </c>
      <c r="AS26" s="38"/>
      <c r="AT26" s="38">
        <f t="shared" si="23"/>
        <v>4.6237414930592635E-2</v>
      </c>
      <c r="AU26" s="38">
        <f t="shared" si="24"/>
        <v>3.6996937394775387E-3</v>
      </c>
      <c r="AV26" s="38">
        <f t="shared" si="25"/>
        <v>-6.0567212343620724E-4</v>
      </c>
      <c r="AW26" s="38">
        <f t="shared" si="26"/>
        <v>3.6503166749477067E-2</v>
      </c>
      <c r="AX26" s="38">
        <f t="shared" si="27"/>
        <v>1.0854828385654436E-2</v>
      </c>
      <c r="AY26" s="38">
        <f t="shared" si="28"/>
        <v>4.2717729685153749E-2</v>
      </c>
      <c r="AZ26" s="38">
        <f t="shared" si="29"/>
        <v>3.5318562021455335E-2</v>
      </c>
      <c r="BA26" s="38">
        <f t="shared" si="30"/>
        <v>1.2449289052561596E-2</v>
      </c>
      <c r="BB26" s="38">
        <f t="shared" si="31"/>
        <v>-2.0675454275290939E-2</v>
      </c>
      <c r="BC26" s="38">
        <f t="shared" si="32"/>
        <v>0.10448127245557526</v>
      </c>
      <c r="BD26" s="38">
        <f t="shared" si="33"/>
        <v>1.1407340897166662E-2</v>
      </c>
      <c r="BE26" s="38">
        <f t="shared" si="34"/>
        <v>-5.6833632548727309E-2</v>
      </c>
      <c r="BF26" s="38">
        <f t="shared" si="35"/>
        <v>-3.2025673709838998E-3</v>
      </c>
      <c r="BG26" s="38">
        <f t="shared" si="36"/>
        <v>-2.0152689994058726E-2</v>
      </c>
      <c r="BH26" s="38">
        <f t="shared" si="37"/>
        <v>6.6799784954429953E-3</v>
      </c>
      <c r="BI26" s="38">
        <f t="shared" si="38"/>
        <v>-8.8268895512282342E-3</v>
      </c>
      <c r="BJ26" s="38">
        <f t="shared" si="39"/>
        <v>6.9190205808844496E-3</v>
      </c>
      <c r="BK26" s="38">
        <f t="shared" si="40"/>
        <v>-3.5435509354234895E-2</v>
      </c>
      <c r="BL26" s="38">
        <f t="shared" si="41"/>
        <v>5.566703856351829E-2</v>
      </c>
      <c r="BM26" s="38">
        <f t="shared" si="42"/>
        <v>-4.8480422435130066E-2</v>
      </c>
      <c r="BN26" s="38">
        <f t="shared" si="43"/>
        <v>8.6415634959656096E-2</v>
      </c>
      <c r="BO26" s="7"/>
      <c r="BX26" s="7"/>
      <c r="CN26" s="7"/>
      <c r="CO26" s="8"/>
      <c r="CP26" s="7"/>
      <c r="DG26" s="7"/>
      <c r="DO26" s="7"/>
      <c r="EE26" s="7"/>
      <c r="EF26" s="7"/>
      <c r="GH26" s="7"/>
      <c r="GJ26" s="9"/>
    </row>
    <row r="27" spans="1:192" x14ac:dyDescent="0.25">
      <c r="A27" s="7">
        <v>1895</v>
      </c>
      <c r="B27" s="8">
        <v>2687.7818661971833</v>
      </c>
      <c r="C27" s="8">
        <v>3511.5006988662844</v>
      </c>
      <c r="D27" s="8">
        <v>783.41677096370461</v>
      </c>
      <c r="E27" s="8">
        <v>2370.9645966337785</v>
      </c>
      <c r="F27" s="8">
        <v>2770.2252816020027</v>
      </c>
      <c r="G27" s="8">
        <v>1492.3962948046717</v>
      </c>
      <c r="H27" s="8">
        <v>2569.2218315127934</v>
      </c>
      <c r="I27" s="8">
        <v>2686.0838313841509</v>
      </c>
      <c r="J27" s="8">
        <v>1591.5813901383251</v>
      </c>
      <c r="K27" s="8">
        <v>1123.4641532016756</v>
      </c>
      <c r="L27" s="8">
        <v>3334.3743493649799</v>
      </c>
      <c r="M27" s="8">
        <v>3641.6367346938778</v>
      </c>
      <c r="N27" s="8">
        <v>1762.7699317507443</v>
      </c>
      <c r="O27" s="8">
        <v>1117.3537871524447</v>
      </c>
      <c r="P27" s="8">
        <v>1689.0455471718897</v>
      </c>
      <c r="Q27" s="8">
        <v>1084.9420849420851</v>
      </c>
      <c r="R27" s="8">
        <v>1963.0310457516341</v>
      </c>
      <c r="S27" s="8">
        <v>3487.7970456005137</v>
      </c>
      <c r="T27" s="8">
        <v>4117.7007725453204</v>
      </c>
      <c r="U27" s="8">
        <v>3644.2203547551221</v>
      </c>
      <c r="V27" s="8">
        <v>2568.1818181818185</v>
      </c>
      <c r="W27" s="7"/>
      <c r="X27" s="35">
        <f t="shared" si="1"/>
        <v>7.8964715473818128</v>
      </c>
      <c r="Y27" s="35">
        <f t="shared" si="2"/>
        <v>8.1637987746212062</v>
      </c>
      <c r="Z27" s="35">
        <f t="shared" si="3"/>
        <v>6.6636648289215339</v>
      </c>
      <c r="AA27" s="35">
        <f t="shared" si="4"/>
        <v>7.7710521541250666</v>
      </c>
      <c r="AB27" s="35">
        <f t="shared" si="5"/>
        <v>7.926683924972548</v>
      </c>
      <c r="AC27" s="35">
        <f t="shared" si="6"/>
        <v>7.3081383586346416</v>
      </c>
      <c r="AD27" s="35">
        <f t="shared" si="7"/>
        <v>7.8513583427446987</v>
      </c>
      <c r="AE27" s="35">
        <f t="shared" si="8"/>
        <v>7.895839587089128</v>
      </c>
      <c r="AF27" s="35">
        <f t="shared" si="9"/>
        <v>7.3724833859349834</v>
      </c>
      <c r="AG27" s="35">
        <f t="shared" si="10"/>
        <v>7.0241721847538159</v>
      </c>
      <c r="AH27" s="35">
        <f t="shared" si="11"/>
        <v>8.1120403393605702</v>
      </c>
      <c r="AI27" s="35">
        <f t="shared" si="12"/>
        <v>8.2001885119558739</v>
      </c>
      <c r="AJ27" s="35">
        <f t="shared" si="13"/>
        <v>7.474641675726116</v>
      </c>
      <c r="AK27" s="35">
        <f t="shared" si="14"/>
        <v>7.0187184786903387</v>
      </c>
      <c r="AL27" s="35">
        <f t="shared" si="15"/>
        <v>7.4319188833902547</v>
      </c>
      <c r="AM27" s="35">
        <f t="shared" si="16"/>
        <v>6.9892818866163449</v>
      </c>
      <c r="AN27" s="35">
        <f t="shared" si="17"/>
        <v>7.5822450096132599</v>
      </c>
      <c r="AO27" s="35">
        <f t="shared" si="18"/>
        <v>8.1570255968682286</v>
      </c>
      <c r="AP27" s="35">
        <f t="shared" si="19"/>
        <v>8.3230502216512043</v>
      </c>
      <c r="AQ27" s="35">
        <f t="shared" si="20"/>
        <v>8.2008977271210401</v>
      </c>
      <c r="AR27" s="35">
        <f t="shared" si="21"/>
        <v>7.8509534637762162</v>
      </c>
      <c r="AS27" s="38"/>
      <c r="AT27" s="38">
        <f t="shared" si="23"/>
        <v>1.6196927522623916E-2</v>
      </c>
      <c r="AU27" s="38">
        <f t="shared" si="24"/>
        <v>1.2382103691045643E-2</v>
      </c>
      <c r="AV27" s="38">
        <f t="shared" si="25"/>
        <v>0.23201879280519844</v>
      </c>
      <c r="AW27" s="38">
        <f t="shared" si="26"/>
        <v>-2.0661079743039323E-2</v>
      </c>
      <c r="AX27" s="38">
        <f t="shared" si="27"/>
        <v>4.1570238296933404E-2</v>
      </c>
      <c r="AY27" s="38">
        <f t="shared" si="28"/>
        <v>6.432339896336714E-2</v>
      </c>
      <c r="AZ27" s="38">
        <f t="shared" si="29"/>
        <v>-2.1867610511734803E-2</v>
      </c>
      <c r="BA27" s="38">
        <f t="shared" si="30"/>
        <v>3.3495628936527133E-2</v>
      </c>
      <c r="BB27" s="38">
        <f t="shared" si="31"/>
        <v>9.9523107542136557E-3</v>
      </c>
      <c r="BC27" s="38">
        <f t="shared" si="32"/>
        <v>3.6100788408930384E-3</v>
      </c>
      <c r="BD27" s="38">
        <f t="shared" si="33"/>
        <v>1.8567693767217008E-2</v>
      </c>
      <c r="BE27" s="38">
        <f t="shared" si="34"/>
        <v>1.7323099152655175E-2</v>
      </c>
      <c r="BF27" s="38">
        <f t="shared" si="35"/>
        <v>-5.3694943571436227E-4</v>
      </c>
      <c r="BG27" s="38">
        <f t="shared" si="36"/>
        <v>3.4939610560535961E-2</v>
      </c>
      <c r="BH27" s="38">
        <f t="shared" si="37"/>
        <v>-1.3268828044890491E-2</v>
      </c>
      <c r="BI27" s="38">
        <f t="shared" si="38"/>
        <v>3.9187906751915413E-2</v>
      </c>
      <c r="BJ27" s="38">
        <f t="shared" si="39"/>
        <v>3.8962050627864286E-2</v>
      </c>
      <c r="BK27" s="38">
        <f t="shared" si="40"/>
        <v>9.2579228750704345E-2</v>
      </c>
      <c r="BL27" s="38">
        <f t="shared" si="41"/>
        <v>2.1803339538291056E-2</v>
      </c>
      <c r="BM27" s="38">
        <f t="shared" si="42"/>
        <v>9.504700778483155E-2</v>
      </c>
      <c r="BN27" s="38">
        <f t="shared" si="43"/>
        <v>-3.4053246869762965E-2</v>
      </c>
      <c r="BO27" s="7"/>
      <c r="BX27" s="7"/>
      <c r="CN27" s="7"/>
      <c r="CO27" s="8"/>
      <c r="CP27" s="7"/>
      <c r="DG27" s="7"/>
      <c r="DO27" s="7"/>
      <c r="EE27" s="7"/>
      <c r="EF27" s="7"/>
      <c r="GH27" s="7"/>
      <c r="GJ27" s="9"/>
    </row>
    <row r="28" spans="1:192" x14ac:dyDescent="0.25">
      <c r="A28" s="7">
        <v>1896</v>
      </c>
      <c r="B28" s="8">
        <v>2701.0125457396757</v>
      </c>
      <c r="C28" s="8">
        <v>3551.4953803510934</v>
      </c>
      <c r="D28" s="8">
        <v>709.93766043270989</v>
      </c>
      <c r="E28" s="8">
        <v>2288.4768110387126</v>
      </c>
      <c r="F28" s="8">
        <v>2835.790774299835</v>
      </c>
      <c r="G28" s="8">
        <v>1569.9411530815107</v>
      </c>
      <c r="H28" s="8">
        <v>2685.4419536226114</v>
      </c>
      <c r="I28" s="8">
        <v>2739.6427383537789</v>
      </c>
      <c r="J28" s="8">
        <v>1626.6369087859434</v>
      </c>
      <c r="K28" s="8">
        <v>1051.1234951180206</v>
      </c>
      <c r="L28" s="8">
        <v>3165.844636251541</v>
      </c>
      <c r="M28" s="8">
        <v>3987.9625668449203</v>
      </c>
      <c r="N28" s="8">
        <v>1787.9463641557293</v>
      </c>
      <c r="O28" s="8">
        <v>1124.9047981721249</v>
      </c>
      <c r="P28" s="8">
        <v>1547.5381072486018</v>
      </c>
      <c r="Q28" s="8">
        <v>1088.0043325209856</v>
      </c>
      <c r="R28" s="8">
        <v>2049.9898805909734</v>
      </c>
      <c r="S28" s="8">
        <v>3536.0203110123771</v>
      </c>
      <c r="T28" s="8">
        <v>4248.5639031288674</v>
      </c>
      <c r="U28" s="8">
        <v>3504.4280715560494</v>
      </c>
      <c r="V28" s="8">
        <v>2644.1717791411043</v>
      </c>
      <c r="W28" s="7"/>
      <c r="X28" s="35">
        <f t="shared" si="1"/>
        <v>7.9013819986317637</v>
      </c>
      <c r="Y28" s="35">
        <f t="shared" si="2"/>
        <v>8.175124027677084</v>
      </c>
      <c r="Z28" s="35">
        <f t="shared" si="3"/>
        <v>6.5651771639730709</v>
      </c>
      <c r="AA28" s="35">
        <f t="shared" si="4"/>
        <v>7.7356417272211724</v>
      </c>
      <c r="AB28" s="35">
        <f t="shared" si="5"/>
        <v>7.9500761100009782</v>
      </c>
      <c r="AC28" s="35">
        <f t="shared" si="6"/>
        <v>7.3587934155261943</v>
      </c>
      <c r="AD28" s="35">
        <f t="shared" si="7"/>
        <v>7.8956005943744749</v>
      </c>
      <c r="AE28" s="35">
        <f t="shared" si="8"/>
        <v>7.9155828034188076</v>
      </c>
      <c r="AF28" s="35">
        <f t="shared" si="9"/>
        <v>7.3942699162326164</v>
      </c>
      <c r="AG28" s="35">
        <f t="shared" si="10"/>
        <v>6.9576148664650548</v>
      </c>
      <c r="AH28" s="35">
        <f t="shared" si="11"/>
        <v>8.0601751666694366</v>
      </c>
      <c r="AI28" s="35">
        <f t="shared" si="12"/>
        <v>8.2910357445895624</v>
      </c>
      <c r="AJ28" s="35">
        <f t="shared" si="13"/>
        <v>7.4888229576077538</v>
      </c>
      <c r="AK28" s="35">
        <f t="shared" si="14"/>
        <v>7.0254536872107209</v>
      </c>
      <c r="AL28" s="35">
        <f t="shared" si="15"/>
        <v>7.344420629295044</v>
      </c>
      <c r="AM28" s="35">
        <f t="shared" si="16"/>
        <v>6.9921004095044532</v>
      </c>
      <c r="AN28" s="35">
        <f t="shared" si="17"/>
        <v>7.6255901358231846</v>
      </c>
      <c r="AO28" s="35">
        <f t="shared" si="18"/>
        <v>8.1707571678056237</v>
      </c>
      <c r="AP28" s="35">
        <f t="shared" si="19"/>
        <v>8.3543362996695052</v>
      </c>
      <c r="AQ28" s="35">
        <f t="shared" si="20"/>
        <v>8.1617826111345266</v>
      </c>
      <c r="AR28" s="35">
        <f t="shared" si="21"/>
        <v>7.8801131682791228</v>
      </c>
      <c r="AS28" s="38"/>
      <c r="AT28" s="38">
        <f t="shared" si="23"/>
        <v>4.9104512499509312E-3</v>
      </c>
      <c r="AU28" s="38">
        <f t="shared" si="24"/>
        <v>1.1325253055877837E-2</v>
      </c>
      <c r="AV28" s="38">
        <f t="shared" si="25"/>
        <v>-9.848766494846295E-2</v>
      </c>
      <c r="AW28" s="38">
        <f t="shared" si="26"/>
        <v>-3.5410426903894177E-2</v>
      </c>
      <c r="AX28" s="38">
        <f t="shared" si="27"/>
        <v>2.3392185028430212E-2</v>
      </c>
      <c r="AY28" s="38">
        <f t="shared" si="28"/>
        <v>5.0655056891552697E-2</v>
      </c>
      <c r="AZ28" s="38">
        <f t="shared" si="29"/>
        <v>4.4242251629776241E-2</v>
      </c>
      <c r="BA28" s="38">
        <f t="shared" si="30"/>
        <v>1.9743216329679569E-2</v>
      </c>
      <c r="BB28" s="38">
        <f t="shared" si="31"/>
        <v>2.1786530297633E-2</v>
      </c>
      <c r="BC28" s="38">
        <f t="shared" si="32"/>
        <v>-6.6557318288761103E-2</v>
      </c>
      <c r="BD28" s="38">
        <f t="shared" si="33"/>
        <v>-5.1865172691133665E-2</v>
      </c>
      <c r="BE28" s="38">
        <f t="shared" si="34"/>
        <v>9.0847232633688435E-2</v>
      </c>
      <c r="BF28" s="38">
        <f t="shared" si="35"/>
        <v>1.4181281881637808E-2</v>
      </c>
      <c r="BG28" s="38">
        <f t="shared" si="36"/>
        <v>6.7352085203822298E-3</v>
      </c>
      <c r="BH28" s="38">
        <f t="shared" si="37"/>
        <v>-8.7498254095210726E-2</v>
      </c>
      <c r="BI28" s="38">
        <f t="shared" si="38"/>
        <v>2.8185228881083546E-3</v>
      </c>
      <c r="BJ28" s="38">
        <f t="shared" si="39"/>
        <v>4.33451262099247E-2</v>
      </c>
      <c r="BK28" s="38">
        <f t="shared" si="40"/>
        <v>1.3731570937395077E-2</v>
      </c>
      <c r="BL28" s="38">
        <f t="shared" si="41"/>
        <v>3.1286078018300856E-2</v>
      </c>
      <c r="BM28" s="38">
        <f t="shared" si="42"/>
        <v>-3.9115115986513516E-2</v>
      </c>
      <c r="BN28" s="38">
        <f t="shared" si="43"/>
        <v>2.9159704502906614E-2</v>
      </c>
      <c r="BO28" s="7"/>
      <c r="BX28" s="7"/>
      <c r="CN28" s="7"/>
      <c r="CO28" s="8"/>
      <c r="CP28" s="7"/>
      <c r="DG28" s="7"/>
      <c r="DO28" s="7"/>
      <c r="EE28" s="7"/>
      <c r="EF28" s="7"/>
      <c r="GH28" s="7"/>
      <c r="GJ28" s="9"/>
    </row>
    <row r="29" spans="1:192" x14ac:dyDescent="0.25">
      <c r="A29" s="7">
        <v>1897</v>
      </c>
      <c r="B29" s="8">
        <v>2730.1526388409798</v>
      </c>
      <c r="C29" s="8">
        <v>3586.4266951740988</v>
      </c>
      <c r="D29" s="8">
        <v>699.0986688951233</v>
      </c>
      <c r="E29" s="8">
        <v>2511.5133801480356</v>
      </c>
      <c r="F29" s="8">
        <v>2862.9894394800976</v>
      </c>
      <c r="G29" s="8">
        <v>1624.1945861122006</v>
      </c>
      <c r="H29" s="8">
        <v>2639.248364231189</v>
      </c>
      <c r="I29" s="8">
        <v>2774.6099651393465</v>
      </c>
      <c r="J29" s="8">
        <v>1544.5616530813411</v>
      </c>
      <c r="K29" s="8">
        <v>1061.9491123982837</v>
      </c>
      <c r="L29" s="8">
        <v>3436.4741641337387</v>
      </c>
      <c r="M29" s="8">
        <v>3949.8455497382201</v>
      </c>
      <c r="N29" s="8">
        <v>1856.4090711730626</v>
      </c>
      <c r="O29" s="8">
        <v>1181.6635160680528</v>
      </c>
      <c r="P29" s="8">
        <v>1618.9410480349345</v>
      </c>
      <c r="Q29" s="8">
        <v>1125</v>
      </c>
      <c r="R29" s="8">
        <v>2121.9414360208584</v>
      </c>
      <c r="S29" s="8">
        <v>3675.0313676286073</v>
      </c>
      <c r="T29" s="8">
        <v>4263.5121914622259</v>
      </c>
      <c r="U29" s="8">
        <v>3769.4832967669827</v>
      </c>
      <c r="V29" s="8">
        <v>2493.4445768772348</v>
      </c>
      <c r="W29" s="7"/>
      <c r="X29" s="35">
        <f t="shared" si="1"/>
        <v>7.9121127982793693</v>
      </c>
      <c r="Y29" s="35">
        <f t="shared" si="2"/>
        <v>8.1849116362593506</v>
      </c>
      <c r="Z29" s="35">
        <f t="shared" si="3"/>
        <v>6.5497918894896978</v>
      </c>
      <c r="AA29" s="35">
        <f t="shared" si="4"/>
        <v>7.8286407907283806</v>
      </c>
      <c r="AB29" s="35">
        <f t="shared" si="5"/>
        <v>7.9596216164710176</v>
      </c>
      <c r="AC29" s="35">
        <f t="shared" si="6"/>
        <v>7.3927673325785026</v>
      </c>
      <c r="AD29" s="35">
        <f t="shared" si="7"/>
        <v>7.8782494450841387</v>
      </c>
      <c r="AE29" s="35">
        <f t="shared" si="8"/>
        <v>7.9282654631990841</v>
      </c>
      <c r="AF29" s="35">
        <f t="shared" si="9"/>
        <v>7.3424954293873483</v>
      </c>
      <c r="AG29" s="35">
        <f t="shared" si="10"/>
        <v>6.9678612838913949</v>
      </c>
      <c r="AH29" s="35">
        <f t="shared" si="11"/>
        <v>8.1422012724579549</v>
      </c>
      <c r="AI29" s="35">
        <f t="shared" si="12"/>
        <v>8.2814317557985948</v>
      </c>
      <c r="AJ29" s="35">
        <f t="shared" si="13"/>
        <v>7.526399293787458</v>
      </c>
      <c r="AK29" s="35">
        <f t="shared" si="14"/>
        <v>7.0746784840616046</v>
      </c>
      <c r="AL29" s="35">
        <f t="shared" si="15"/>
        <v>7.3895275404358882</v>
      </c>
      <c r="AM29" s="35">
        <f t="shared" si="16"/>
        <v>7.0255383146385206</v>
      </c>
      <c r="AN29" s="35">
        <f t="shared" si="17"/>
        <v>7.6600867203109244</v>
      </c>
      <c r="AO29" s="35">
        <f t="shared" si="18"/>
        <v>8.209316947019655</v>
      </c>
      <c r="AP29" s="35">
        <f t="shared" si="19"/>
        <v>8.3578485576742576</v>
      </c>
      <c r="AQ29" s="35">
        <f t="shared" si="20"/>
        <v>8.2346932144884661</v>
      </c>
      <c r="AR29" s="35">
        <f t="shared" si="21"/>
        <v>7.8214203976997441</v>
      </c>
      <c r="AS29" s="38"/>
      <c r="AT29" s="38">
        <f t="shared" si="23"/>
        <v>1.0730799647605593E-2</v>
      </c>
      <c r="AU29" s="38">
        <f t="shared" si="24"/>
        <v>9.7876085822665715E-3</v>
      </c>
      <c r="AV29" s="38">
        <f t="shared" si="25"/>
        <v>-1.5385274483373124E-2</v>
      </c>
      <c r="AW29" s="38">
        <f t="shared" si="26"/>
        <v>9.2999063507208213E-2</v>
      </c>
      <c r="AX29" s="38">
        <f t="shared" si="27"/>
        <v>9.5455064700393777E-3</v>
      </c>
      <c r="AY29" s="38">
        <f t="shared" si="28"/>
        <v>3.3973917052308344E-2</v>
      </c>
      <c r="AZ29" s="38">
        <f t="shared" si="29"/>
        <v>-1.735114929033621E-2</v>
      </c>
      <c r="BA29" s="38">
        <f t="shared" si="30"/>
        <v>1.2682659780276495E-2</v>
      </c>
      <c r="BB29" s="38">
        <f t="shared" si="31"/>
        <v>-5.1774486845268086E-2</v>
      </c>
      <c r="BC29" s="38">
        <f t="shared" si="32"/>
        <v>1.0246417426340138E-2</v>
      </c>
      <c r="BD29" s="38">
        <f t="shared" si="33"/>
        <v>8.2026105788518322E-2</v>
      </c>
      <c r="BE29" s="38">
        <f t="shared" si="34"/>
        <v>-9.603988790967577E-3</v>
      </c>
      <c r="BF29" s="38">
        <f t="shared" si="35"/>
        <v>3.7576336179704128E-2</v>
      </c>
      <c r="BG29" s="38">
        <f t="shared" si="36"/>
        <v>4.9224796850883656E-2</v>
      </c>
      <c r="BH29" s="38">
        <f t="shared" si="37"/>
        <v>4.5106911140844197E-2</v>
      </c>
      <c r="BI29" s="38">
        <f t="shared" si="38"/>
        <v>3.3437905134067414E-2</v>
      </c>
      <c r="BJ29" s="38">
        <f t="shared" si="39"/>
        <v>3.4496584487739845E-2</v>
      </c>
      <c r="BK29" s="38">
        <f t="shared" si="40"/>
        <v>3.8559779214031309E-2</v>
      </c>
      <c r="BL29" s="38">
        <f t="shared" si="41"/>
        <v>3.512258004752411E-3</v>
      </c>
      <c r="BM29" s="38">
        <f t="shared" si="42"/>
        <v>7.2910603353939507E-2</v>
      </c>
      <c r="BN29" s="38">
        <f t="shared" si="43"/>
        <v>-5.8692770579378717E-2</v>
      </c>
      <c r="BO29" s="7"/>
      <c r="BX29" s="7"/>
      <c r="CN29" s="7"/>
      <c r="CO29" s="8"/>
      <c r="CP29" s="7"/>
      <c r="DG29" s="7"/>
      <c r="DO29" s="7"/>
      <c r="EE29" s="7"/>
      <c r="EF29" s="7"/>
      <c r="GH29" s="7"/>
      <c r="GJ29" s="9"/>
    </row>
    <row r="30" spans="1:192" x14ac:dyDescent="0.25">
      <c r="A30" s="7">
        <v>1898</v>
      </c>
      <c r="B30" s="8">
        <v>2855.2873975409839</v>
      </c>
      <c r="C30" s="8">
        <v>3614.7919442761963</v>
      </c>
      <c r="D30" s="8">
        <v>717.03392794683452</v>
      </c>
      <c r="E30" s="8">
        <v>2583.4561502347415</v>
      </c>
      <c r="F30" s="8">
        <v>2869.5955146175411</v>
      </c>
      <c r="G30" s="8">
        <v>1668.1977597528003</v>
      </c>
      <c r="H30" s="8">
        <v>2759.6174486694831</v>
      </c>
      <c r="I30" s="8">
        <v>2847.8220385570485</v>
      </c>
      <c r="J30" s="8">
        <v>1671.7964010491557</v>
      </c>
      <c r="K30" s="8">
        <v>1248.8829760111253</v>
      </c>
      <c r="L30" s="8">
        <v>3459.9240455726563</v>
      </c>
      <c r="M30" s="8">
        <v>3985.1052631578946</v>
      </c>
      <c r="N30" s="8">
        <v>1844.2498861648576</v>
      </c>
      <c r="O30" s="8">
        <v>1214.3795757461985</v>
      </c>
      <c r="P30" s="8">
        <v>1735.9526138463211</v>
      </c>
      <c r="Q30" s="8">
        <v>1167.8010471204188</v>
      </c>
      <c r="R30" s="8">
        <v>2175.9332803812549</v>
      </c>
      <c r="S30" s="8">
        <v>3697.1481711097335</v>
      </c>
      <c r="T30" s="8">
        <v>4427.7241276838104</v>
      </c>
      <c r="U30" s="8">
        <v>3779.691749908513</v>
      </c>
      <c r="V30" s="8">
        <v>2250</v>
      </c>
      <c r="W30" s="7"/>
      <c r="X30" s="35">
        <f t="shared" si="1"/>
        <v>7.9569277816615891</v>
      </c>
      <c r="Y30" s="35">
        <f t="shared" si="2"/>
        <v>8.1927895794860337</v>
      </c>
      <c r="Z30" s="35">
        <f t="shared" si="3"/>
        <v>6.5751231587922794</v>
      </c>
      <c r="AA30" s="35">
        <f t="shared" si="4"/>
        <v>7.8568833745755482</v>
      </c>
      <c r="AB30" s="35">
        <f t="shared" si="5"/>
        <v>7.9619263631479713</v>
      </c>
      <c r="AC30" s="35">
        <f t="shared" si="6"/>
        <v>7.4194991368937693</v>
      </c>
      <c r="AD30" s="35">
        <f t="shared" si="7"/>
        <v>7.9228473435500231</v>
      </c>
      <c r="AE30" s="35">
        <f t="shared" si="8"/>
        <v>7.9543097841177959</v>
      </c>
      <c r="AF30" s="35">
        <f t="shared" si="9"/>
        <v>7.4216540165226714</v>
      </c>
      <c r="AG30" s="35">
        <f t="shared" si="10"/>
        <v>7.1300048115895898</v>
      </c>
      <c r="AH30" s="35">
        <f t="shared" si="11"/>
        <v>8.1490019156641864</v>
      </c>
      <c r="AI30" s="35">
        <f t="shared" si="12"/>
        <v>8.2903190057205922</v>
      </c>
      <c r="AJ30" s="35">
        <f t="shared" si="13"/>
        <v>7.5198279080400541</v>
      </c>
      <c r="AK30" s="35">
        <f t="shared" si="14"/>
        <v>7.1019885881091236</v>
      </c>
      <c r="AL30" s="35">
        <f t="shared" si="15"/>
        <v>7.4593115986762744</v>
      </c>
      <c r="AM30" s="35">
        <f t="shared" si="16"/>
        <v>7.0628778125097806</v>
      </c>
      <c r="AN30" s="35">
        <f t="shared" si="17"/>
        <v>7.6852129459162599</v>
      </c>
      <c r="AO30" s="35">
        <f t="shared" si="18"/>
        <v>8.2153170368756516</v>
      </c>
      <c r="AP30" s="35">
        <f t="shared" si="19"/>
        <v>8.3956409900999329</v>
      </c>
      <c r="AQ30" s="35">
        <f t="shared" si="20"/>
        <v>8.2373977376451926</v>
      </c>
      <c r="AR30" s="35">
        <f t="shared" si="21"/>
        <v>7.718685495198466</v>
      </c>
      <c r="AS30" s="38"/>
      <c r="AT30" s="38">
        <f t="shared" si="23"/>
        <v>4.4814983382219786E-2</v>
      </c>
      <c r="AU30" s="38">
        <f t="shared" si="24"/>
        <v>7.8779432266831151E-3</v>
      </c>
      <c r="AV30" s="38">
        <f t="shared" si="25"/>
        <v>2.5331269302581561E-2</v>
      </c>
      <c r="AW30" s="38">
        <f t="shared" si="26"/>
        <v>2.8242583847167602E-2</v>
      </c>
      <c r="AX30" s="38">
        <f t="shared" si="27"/>
        <v>2.304746676953684E-3</v>
      </c>
      <c r="AY30" s="38">
        <f t="shared" si="28"/>
        <v>2.6731804315266672E-2</v>
      </c>
      <c r="AZ30" s="38">
        <f t="shared" si="29"/>
        <v>4.4597898465884356E-2</v>
      </c>
      <c r="BA30" s="38">
        <f t="shared" si="30"/>
        <v>2.6044320918711783E-2</v>
      </c>
      <c r="BB30" s="38">
        <f t="shared" si="31"/>
        <v>7.9158587135323089E-2</v>
      </c>
      <c r="BC30" s="38">
        <f t="shared" si="32"/>
        <v>0.16214352769819484</v>
      </c>
      <c r="BD30" s="38">
        <f t="shared" si="33"/>
        <v>6.800643206231527E-3</v>
      </c>
      <c r="BE30" s="38">
        <f t="shared" si="34"/>
        <v>8.8872499219974088E-3</v>
      </c>
      <c r="BF30" s="38">
        <f t="shared" si="35"/>
        <v>-6.5713857474039017E-3</v>
      </c>
      <c r="BG30" s="38">
        <f t="shared" si="36"/>
        <v>2.731010404751899E-2</v>
      </c>
      <c r="BH30" s="38">
        <f t="shared" si="37"/>
        <v>6.9784058240386138E-2</v>
      </c>
      <c r="BI30" s="38">
        <f t="shared" si="38"/>
        <v>3.7339497871260008E-2</v>
      </c>
      <c r="BJ30" s="38">
        <f t="shared" si="39"/>
        <v>2.5126225605335506E-2</v>
      </c>
      <c r="BK30" s="38">
        <f t="shared" si="40"/>
        <v>6.0000898559966487E-3</v>
      </c>
      <c r="BL30" s="38">
        <f t="shared" si="41"/>
        <v>3.7792432425675315E-2</v>
      </c>
      <c r="BM30" s="38">
        <f t="shared" si="42"/>
        <v>2.7045231567264238E-3</v>
      </c>
      <c r="BN30" s="38">
        <f t="shared" si="43"/>
        <v>-0.10273490250127804</v>
      </c>
      <c r="BO30" s="7"/>
      <c r="BX30" s="7"/>
      <c r="CN30" s="7"/>
      <c r="CO30" s="8"/>
      <c r="CP30" s="7"/>
      <c r="DG30" s="7"/>
      <c r="DO30" s="7"/>
      <c r="EE30" s="7"/>
      <c r="EF30" s="7"/>
      <c r="GH30" s="7"/>
      <c r="GJ30" s="9"/>
    </row>
    <row r="31" spans="1:192" x14ac:dyDescent="0.25">
      <c r="A31" s="7">
        <v>1899</v>
      </c>
      <c r="B31" s="8">
        <v>2886.2769230769236</v>
      </c>
      <c r="C31" s="8">
        <v>3656.152957069949</v>
      </c>
      <c r="D31" s="8">
        <v>702.97198815759509</v>
      </c>
      <c r="E31" s="8">
        <v>2795.6150845253574</v>
      </c>
      <c r="F31" s="8">
        <v>2952.094861660079</v>
      </c>
      <c r="G31" s="8">
        <v>1606.9893292682925</v>
      </c>
      <c r="H31" s="8">
        <v>2911.446579194002</v>
      </c>
      <c r="I31" s="8">
        <v>2905.093894611136</v>
      </c>
      <c r="J31" s="8">
        <v>1700.4822579178758</v>
      </c>
      <c r="K31" s="8">
        <v>1143.1368450006876</v>
      </c>
      <c r="L31" s="8">
        <v>3464.6942800788952</v>
      </c>
      <c r="M31" s="8">
        <v>4040.875314861461</v>
      </c>
      <c r="N31" s="8">
        <v>1875.1842505024956</v>
      </c>
      <c r="O31" s="8">
        <v>1248.7886693999255</v>
      </c>
      <c r="P31" s="8">
        <v>1755.9510928370482</v>
      </c>
      <c r="Q31" s="8">
        <v>1233.6086732059885</v>
      </c>
      <c r="R31" s="8">
        <v>2233.070866141732</v>
      </c>
      <c r="S31" s="8">
        <v>3834.8145878026357</v>
      </c>
      <c r="T31" s="8">
        <v>4566.9517082382963</v>
      </c>
      <c r="U31" s="8">
        <v>4051.3670612989567</v>
      </c>
      <c r="V31" s="8">
        <v>2260.9673790776155</v>
      </c>
      <c r="W31" s="7"/>
      <c r="X31" s="35">
        <f t="shared" si="1"/>
        <v>7.9677226886726391</v>
      </c>
      <c r="Y31" s="35">
        <f t="shared" si="2"/>
        <v>8.2041667689718487</v>
      </c>
      <c r="Z31" s="35">
        <f t="shared" si="3"/>
        <v>6.5553170448682723</v>
      </c>
      <c r="AA31" s="35">
        <f t="shared" si="4"/>
        <v>7.9358074273980304</v>
      </c>
      <c r="AB31" s="35">
        <f t="shared" si="5"/>
        <v>7.9902703199127529</v>
      </c>
      <c r="AC31" s="35">
        <f t="shared" si="6"/>
        <v>7.3821177255588344</v>
      </c>
      <c r="AD31" s="35">
        <f t="shared" si="7"/>
        <v>7.9764053429013915</v>
      </c>
      <c r="AE31" s="35">
        <f t="shared" si="8"/>
        <v>7.9742209904886794</v>
      </c>
      <c r="AF31" s="35">
        <f t="shared" si="9"/>
        <v>7.4386671709425869</v>
      </c>
      <c r="AG31" s="35">
        <f t="shared" si="10"/>
        <v>7.0415313810384657</v>
      </c>
      <c r="AH31" s="35">
        <f t="shared" si="11"/>
        <v>8.1503796768739711</v>
      </c>
      <c r="AI31" s="35">
        <f t="shared" si="12"/>
        <v>8.3042166095817755</v>
      </c>
      <c r="AJ31" s="35">
        <f t="shared" si="13"/>
        <v>7.5364622005112967</v>
      </c>
      <c r="AK31" s="35">
        <f t="shared" si="14"/>
        <v>7.1299292959697382</v>
      </c>
      <c r="AL31" s="35">
        <f t="shared" si="15"/>
        <v>7.4707659223476632</v>
      </c>
      <c r="AM31" s="35">
        <f t="shared" si="16"/>
        <v>7.1176990335933539</v>
      </c>
      <c r="AN31" s="35">
        <f t="shared" si="17"/>
        <v>7.711132987181518</v>
      </c>
      <c r="AO31" s="35">
        <f t="shared" si="18"/>
        <v>8.2518763652538709</v>
      </c>
      <c r="AP31" s="35">
        <f t="shared" si="19"/>
        <v>8.4266012390625935</v>
      </c>
      <c r="AQ31" s="35">
        <f t="shared" si="20"/>
        <v>8.3068096491444923</v>
      </c>
      <c r="AR31" s="35">
        <f t="shared" si="21"/>
        <v>7.7235480445213538</v>
      </c>
      <c r="AS31" s="38"/>
      <c r="AT31" s="38">
        <f t="shared" si="23"/>
        <v>1.0794907011050014E-2</v>
      </c>
      <c r="AU31" s="38">
        <f t="shared" si="24"/>
        <v>1.1377189485815009E-2</v>
      </c>
      <c r="AV31" s="38">
        <f t="shared" si="25"/>
        <v>-1.9806113924007107E-2</v>
      </c>
      <c r="AW31" s="38">
        <f t="shared" si="26"/>
        <v>7.892405282248216E-2</v>
      </c>
      <c r="AX31" s="38">
        <f t="shared" si="27"/>
        <v>2.834395676478163E-2</v>
      </c>
      <c r="AY31" s="38">
        <f t="shared" si="28"/>
        <v>-3.7381411334934889E-2</v>
      </c>
      <c r="AZ31" s="38">
        <f t="shared" si="29"/>
        <v>5.3557999351368402E-2</v>
      </c>
      <c r="BA31" s="38">
        <f t="shared" si="30"/>
        <v>1.9911206370883505E-2</v>
      </c>
      <c r="BB31" s="38">
        <f t="shared" si="31"/>
        <v>1.7013154419915466E-2</v>
      </c>
      <c r="BC31" s="38">
        <f t="shared" si="32"/>
        <v>-8.847343055112411E-2</v>
      </c>
      <c r="BD31" s="38">
        <f t="shared" si="33"/>
        <v>1.3777612097847225E-3</v>
      </c>
      <c r="BE31" s="38">
        <f t="shared" si="34"/>
        <v>1.3897603861183327E-2</v>
      </c>
      <c r="BF31" s="38">
        <f t="shared" si="35"/>
        <v>1.6634292471242595E-2</v>
      </c>
      <c r="BG31" s="38">
        <f t="shared" si="36"/>
        <v>2.7940707860614644E-2</v>
      </c>
      <c r="BH31" s="38">
        <f t="shared" si="37"/>
        <v>1.1454323671388877E-2</v>
      </c>
      <c r="BI31" s="38">
        <f t="shared" si="38"/>
        <v>5.4821221083573235E-2</v>
      </c>
      <c r="BJ31" s="38">
        <f t="shared" si="39"/>
        <v>2.5920041265258043E-2</v>
      </c>
      <c r="BK31" s="38">
        <f t="shared" si="40"/>
        <v>3.6559328378219291E-2</v>
      </c>
      <c r="BL31" s="38">
        <f t="shared" si="41"/>
        <v>3.0960248962660586E-2</v>
      </c>
      <c r="BM31" s="38">
        <f t="shared" si="42"/>
        <v>6.9411911499299705E-2</v>
      </c>
      <c r="BN31" s="38">
        <f t="shared" si="43"/>
        <v>4.8625493228877659E-3</v>
      </c>
      <c r="BO31" s="7"/>
      <c r="BX31" s="7"/>
      <c r="CN31" s="7"/>
      <c r="CO31" s="8"/>
      <c r="CP31" s="7"/>
      <c r="DG31" s="7"/>
      <c r="DO31" s="7"/>
      <c r="EE31" s="7"/>
      <c r="EF31" s="7"/>
      <c r="GH31" s="7"/>
      <c r="GJ31" s="9"/>
    </row>
    <row r="32" spans="1:192" x14ac:dyDescent="0.25">
      <c r="A32" s="7">
        <v>1900</v>
      </c>
      <c r="B32" s="8">
        <v>2881.807132094425</v>
      </c>
      <c r="C32" s="8">
        <v>3731.0500074415836</v>
      </c>
      <c r="D32" s="8">
        <v>678.43638790035584</v>
      </c>
      <c r="E32" s="8">
        <v>2911.2662635147517</v>
      </c>
      <c r="F32" s="8">
        <v>3016.6106989457244</v>
      </c>
      <c r="G32" s="8">
        <v>1668.4803476946336</v>
      </c>
      <c r="H32" s="8">
        <v>2875.6862899650228</v>
      </c>
      <c r="I32" s="8">
        <v>2984.7592851364275</v>
      </c>
      <c r="J32" s="8">
        <v>1785.2701307323211</v>
      </c>
      <c r="K32" s="8">
        <v>1179.5133664376574</v>
      </c>
      <c r="L32" s="8">
        <v>3423.5705950991833</v>
      </c>
      <c r="M32" s="8">
        <v>4298.1412639405207</v>
      </c>
      <c r="N32" s="8">
        <v>1876.6879537995067</v>
      </c>
      <c r="O32" s="8">
        <v>1302.1835677276092</v>
      </c>
      <c r="P32" s="8">
        <v>1786.27598836583</v>
      </c>
      <c r="Q32" s="8">
        <v>1290.3885480572596</v>
      </c>
      <c r="R32" s="8">
        <v>2208.9114715653704</v>
      </c>
      <c r="S32" s="8">
        <v>3833.030303030303</v>
      </c>
      <c r="T32" s="8">
        <v>4491.8142145547308</v>
      </c>
      <c r="U32" s="8">
        <v>4090.7872916966658</v>
      </c>
      <c r="V32" s="8">
        <v>2218.5792349726776</v>
      </c>
      <c r="W32" s="7"/>
      <c r="X32" s="35">
        <f t="shared" si="1"/>
        <v>7.9661728527706499</v>
      </c>
      <c r="Y32" s="35">
        <f t="shared" si="2"/>
        <v>8.224444976358777</v>
      </c>
      <c r="Z32" s="35">
        <f t="shared" si="3"/>
        <v>6.5197907208640533</v>
      </c>
      <c r="AA32" s="35">
        <f t="shared" si="4"/>
        <v>7.9763434076199591</v>
      </c>
      <c r="AB32" s="35">
        <f t="shared" si="5"/>
        <v>8.0118891950180853</v>
      </c>
      <c r="AC32" s="35">
        <f t="shared" si="6"/>
        <v>7.4196685196951124</v>
      </c>
      <c r="AD32" s="35">
        <f t="shared" si="7"/>
        <v>7.9640466342979099</v>
      </c>
      <c r="AE32" s="35">
        <f t="shared" si="8"/>
        <v>8.0012743810796678</v>
      </c>
      <c r="AF32" s="35">
        <f t="shared" si="9"/>
        <v>7.4873250165075413</v>
      </c>
      <c r="AG32" s="35">
        <f t="shared" si="10"/>
        <v>7.0728572310748783</v>
      </c>
      <c r="AH32" s="35">
        <f t="shared" si="11"/>
        <v>8.1384393190872846</v>
      </c>
      <c r="AI32" s="35">
        <f t="shared" si="12"/>
        <v>8.3659379440286745</v>
      </c>
      <c r="AJ32" s="35">
        <f t="shared" si="13"/>
        <v>7.5372637754560934</v>
      </c>
      <c r="AK32" s="35">
        <f t="shared" si="14"/>
        <v>7.1717978018685962</v>
      </c>
      <c r="AL32" s="35">
        <f t="shared" si="15"/>
        <v>7.4878882782583682</v>
      </c>
      <c r="AM32" s="35">
        <f t="shared" si="16"/>
        <v>7.1626986520484781</v>
      </c>
      <c r="AN32" s="35">
        <f t="shared" si="17"/>
        <v>7.7002551263677761</v>
      </c>
      <c r="AO32" s="35">
        <f t="shared" si="18"/>
        <v>8.2514109711751065</v>
      </c>
      <c r="AP32" s="35">
        <f t="shared" si="19"/>
        <v>8.41001195582108</v>
      </c>
      <c r="AQ32" s="35">
        <f t="shared" si="20"/>
        <v>8.3164927223700431</v>
      </c>
      <c r="AR32" s="35">
        <f t="shared" si="21"/>
        <v>7.7046222857424489</v>
      </c>
      <c r="AS32" s="38"/>
      <c r="AT32" s="38">
        <f t="shared" si="23"/>
        <v>-1.549835901989205E-3</v>
      </c>
      <c r="AU32" s="38">
        <f t="shared" si="24"/>
        <v>2.0278207386928315E-2</v>
      </c>
      <c r="AV32" s="38">
        <f t="shared" si="25"/>
        <v>-3.5526324004218957E-2</v>
      </c>
      <c r="AW32" s="38">
        <f t="shared" si="26"/>
        <v>4.0535980221928725E-2</v>
      </c>
      <c r="AX32" s="38">
        <f t="shared" si="27"/>
        <v>2.1618875105332336E-2</v>
      </c>
      <c r="AY32" s="38">
        <f t="shared" si="28"/>
        <v>3.7550794136278043E-2</v>
      </c>
      <c r="AZ32" s="38">
        <f t="shared" si="29"/>
        <v>-1.2358708603481539E-2</v>
      </c>
      <c r="BA32" s="38">
        <f t="shared" si="30"/>
        <v>2.7053390590988435E-2</v>
      </c>
      <c r="BB32" s="38">
        <f t="shared" si="31"/>
        <v>4.8657845564954449E-2</v>
      </c>
      <c r="BC32" s="38">
        <f t="shared" si="32"/>
        <v>3.1325850036412639E-2</v>
      </c>
      <c r="BD32" s="38">
        <f t="shared" si="33"/>
        <v>-1.1940357786686562E-2</v>
      </c>
      <c r="BE32" s="38">
        <f t="shared" si="34"/>
        <v>6.1721334446898979E-2</v>
      </c>
      <c r="BF32" s="38">
        <f t="shared" si="35"/>
        <v>8.0157494479671243E-4</v>
      </c>
      <c r="BG32" s="38">
        <f t="shared" si="36"/>
        <v>4.1868505898857933E-2</v>
      </c>
      <c r="BH32" s="38">
        <f t="shared" si="37"/>
        <v>1.7122355910704989E-2</v>
      </c>
      <c r="BI32" s="38">
        <f t="shared" si="38"/>
        <v>4.4999618455124235E-2</v>
      </c>
      <c r="BJ32" s="38">
        <f t="shared" si="39"/>
        <v>-1.0877860813741869E-2</v>
      </c>
      <c r="BK32" s="38">
        <f t="shared" si="40"/>
        <v>-4.6539407876444727E-4</v>
      </c>
      <c r="BL32" s="38">
        <f t="shared" si="41"/>
        <v>-1.6589283241513542E-2</v>
      </c>
      <c r="BM32" s="38">
        <f t="shared" si="42"/>
        <v>9.6830732255508423E-3</v>
      </c>
      <c r="BN32" s="38">
        <f t="shared" si="43"/>
        <v>-1.89257587789049E-2</v>
      </c>
      <c r="BO32" s="7"/>
      <c r="BX32" s="7"/>
      <c r="CN32" s="7"/>
      <c r="CO32" s="8"/>
      <c r="CP32" s="7"/>
      <c r="DG32" s="7"/>
      <c r="DO32" s="7"/>
      <c r="EE32" s="7"/>
      <c r="EF32" s="7"/>
      <c r="GH32" s="7"/>
      <c r="GJ32" s="9"/>
    </row>
    <row r="33" spans="1:192" x14ac:dyDescent="0.25">
      <c r="A33" s="7">
        <v>1901</v>
      </c>
      <c r="B33" s="8">
        <v>2863.8586578293289</v>
      </c>
      <c r="C33" s="8">
        <v>3719.3580355830027</v>
      </c>
      <c r="D33" s="8">
        <v>729.93692909960851</v>
      </c>
      <c r="E33" s="8">
        <v>3096.7767341040467</v>
      </c>
      <c r="F33" s="8">
        <v>3104.2020046260604</v>
      </c>
      <c r="G33" s="8">
        <v>1636.1781027371578</v>
      </c>
      <c r="H33" s="8">
        <v>2826.4949557086616</v>
      </c>
      <c r="I33" s="8">
        <v>2871.3329228094321</v>
      </c>
      <c r="J33" s="8">
        <v>1889.6604515987999</v>
      </c>
      <c r="K33" s="8">
        <v>1206.4631230128523</v>
      </c>
      <c r="L33" s="8">
        <v>3439.5709634169698</v>
      </c>
      <c r="M33" s="8">
        <v>4223.497572815535</v>
      </c>
      <c r="N33" s="8">
        <v>1902.1317473317074</v>
      </c>
      <c r="O33" s="8">
        <v>1269.3225628786488</v>
      </c>
      <c r="P33" s="8">
        <v>1901.0129160190793</v>
      </c>
      <c r="Q33" s="8">
        <v>1191.7638303150584</v>
      </c>
      <c r="R33" s="8">
        <v>2248.0605120248256</v>
      </c>
      <c r="S33" s="8">
        <v>3744.6872193953905</v>
      </c>
      <c r="T33" s="8">
        <v>4450.3975636766327</v>
      </c>
      <c r="U33" s="8">
        <v>4463.8631881676256</v>
      </c>
      <c r="V33" s="8">
        <v>2233.3333333333335</v>
      </c>
      <c r="W33" s="7"/>
      <c r="X33" s="35">
        <f t="shared" si="1"/>
        <v>7.9599251755461449</v>
      </c>
      <c r="Y33" s="35">
        <f t="shared" si="2"/>
        <v>8.2213063612952517</v>
      </c>
      <c r="Z33" s="35">
        <f t="shared" si="3"/>
        <v>6.592958131916185</v>
      </c>
      <c r="AA33" s="35">
        <f t="shared" si="4"/>
        <v>8.0381170863522549</v>
      </c>
      <c r="AB33" s="35">
        <f t="shared" si="5"/>
        <v>8.040511957995518</v>
      </c>
      <c r="AC33" s="35">
        <f t="shared" si="6"/>
        <v>7.4001183759911191</v>
      </c>
      <c r="AD33" s="35">
        <f t="shared" si="7"/>
        <v>7.9467926914714964</v>
      </c>
      <c r="AE33" s="35">
        <f t="shared" si="8"/>
        <v>7.9625316339726711</v>
      </c>
      <c r="AF33" s="35">
        <f t="shared" si="9"/>
        <v>7.5441524366750228</v>
      </c>
      <c r="AG33" s="35">
        <f t="shared" si="10"/>
        <v>7.0954483193371658</v>
      </c>
      <c r="AH33" s="35">
        <f t="shared" si="11"/>
        <v>8.1431020226523394</v>
      </c>
      <c r="AI33" s="35">
        <f t="shared" si="12"/>
        <v>8.348418872481826</v>
      </c>
      <c r="AJ33" s="35">
        <f t="shared" si="13"/>
        <v>7.5507305084938716</v>
      </c>
      <c r="AK33" s="35">
        <f t="shared" si="14"/>
        <v>7.1462386220800322</v>
      </c>
      <c r="AL33" s="35">
        <f t="shared" si="15"/>
        <v>7.5501421367941637</v>
      </c>
      <c r="AM33" s="35">
        <f t="shared" si="16"/>
        <v>7.0831896990648451</v>
      </c>
      <c r="AN33" s="35">
        <f t="shared" si="17"/>
        <v>7.717823128811804</v>
      </c>
      <c r="AO33" s="35">
        <f t="shared" si="18"/>
        <v>8.2280933729427801</v>
      </c>
      <c r="AP33" s="35">
        <f t="shared" si="19"/>
        <v>8.4007487113217447</v>
      </c>
      <c r="AQ33" s="35">
        <f t="shared" si="20"/>
        <v>8.403769855779581</v>
      </c>
      <c r="AR33" s="35">
        <f t="shared" si="21"/>
        <v>7.7112505167109475</v>
      </c>
      <c r="AS33" s="38"/>
      <c r="AT33" s="38">
        <f t="shared" si="23"/>
        <v>-6.2476772245050327E-3</v>
      </c>
      <c r="AU33" s="38">
        <f t="shared" si="24"/>
        <v>-3.1386150635253074E-3</v>
      </c>
      <c r="AV33" s="38">
        <f t="shared" si="25"/>
        <v>7.3167411052131648E-2</v>
      </c>
      <c r="AW33" s="38">
        <f t="shared" si="26"/>
        <v>6.1773678732295778E-2</v>
      </c>
      <c r="AX33" s="38">
        <f t="shared" si="27"/>
        <v>2.8622762977432714E-2</v>
      </c>
      <c r="AY33" s="38">
        <f t="shared" si="28"/>
        <v>-1.9550143703993328E-2</v>
      </c>
      <c r="AZ33" s="38">
        <f t="shared" si="29"/>
        <v>-1.7253942826413571E-2</v>
      </c>
      <c r="BA33" s="38">
        <f t="shared" si="30"/>
        <v>-3.8742747106996767E-2</v>
      </c>
      <c r="BB33" s="38">
        <f t="shared" si="31"/>
        <v>5.6827420167481435E-2</v>
      </c>
      <c r="BC33" s="38">
        <f t="shared" si="32"/>
        <v>2.2591088262287506E-2</v>
      </c>
      <c r="BD33" s="38">
        <f t="shared" si="33"/>
        <v>4.6627035650548265E-3</v>
      </c>
      <c r="BE33" s="38">
        <f t="shared" si="34"/>
        <v>-1.7519071546848508E-2</v>
      </c>
      <c r="BF33" s="38">
        <f t="shared" si="35"/>
        <v>1.3466733037778233E-2</v>
      </c>
      <c r="BG33" s="38">
        <f t="shared" si="36"/>
        <v>-2.5559179788563924E-2</v>
      </c>
      <c r="BH33" s="38">
        <f t="shared" si="37"/>
        <v>6.2253858535795459E-2</v>
      </c>
      <c r="BI33" s="38">
        <f t="shared" si="38"/>
        <v>-7.950895298363303E-2</v>
      </c>
      <c r="BJ33" s="38">
        <f t="shared" si="39"/>
        <v>1.7568002444027897E-2</v>
      </c>
      <c r="BK33" s="38">
        <f t="shared" si="40"/>
        <v>-2.3317598232326375E-2</v>
      </c>
      <c r="BL33" s="38">
        <f t="shared" si="41"/>
        <v>-9.2632444993352436E-3</v>
      </c>
      <c r="BM33" s="38">
        <f t="shared" si="42"/>
        <v>8.727713340953791E-2</v>
      </c>
      <c r="BN33" s="38">
        <f t="shared" si="43"/>
        <v>6.6282309684986274E-3</v>
      </c>
      <c r="BO33" s="7"/>
      <c r="BX33" s="7"/>
      <c r="CN33" s="7"/>
      <c r="CO33" s="8"/>
      <c r="CP33" s="7"/>
      <c r="DG33" s="7"/>
      <c r="DO33" s="7"/>
      <c r="EE33" s="7"/>
      <c r="EF33" s="7"/>
      <c r="GH33" s="7"/>
      <c r="GJ33" s="9"/>
    </row>
    <row r="34" spans="1:192" x14ac:dyDescent="0.25">
      <c r="A34" s="7">
        <v>1902</v>
      </c>
      <c r="B34" s="8">
        <v>2945.3133300541072</v>
      </c>
      <c r="C34" s="8">
        <v>3739.3750543242072</v>
      </c>
      <c r="D34" s="8">
        <v>714.78010861463099</v>
      </c>
      <c r="E34" s="8">
        <v>3330.9246017699111</v>
      </c>
      <c r="F34" s="8">
        <v>3141.0674799847507</v>
      </c>
      <c r="G34" s="8">
        <v>1591.3034251675354</v>
      </c>
      <c r="H34" s="8">
        <v>2775.2903986441679</v>
      </c>
      <c r="I34" s="8">
        <v>2893.4672750606019</v>
      </c>
      <c r="J34" s="8">
        <v>1821.433667165423</v>
      </c>
      <c r="K34" s="8">
        <v>1128.9048502927851</v>
      </c>
      <c r="L34" s="8">
        <v>3543.0725730442978</v>
      </c>
      <c r="M34" s="8">
        <v>4438.4928909952605</v>
      </c>
      <c r="N34" s="8">
        <v>1914.3614412497141</v>
      </c>
      <c r="O34" s="8">
        <v>1265.744448489261</v>
      </c>
      <c r="P34" s="8">
        <v>1833.0849478390462</v>
      </c>
      <c r="Q34" s="8">
        <v>1175.3868828297716</v>
      </c>
      <c r="R34" s="8">
        <v>2239.0591864276071</v>
      </c>
      <c r="S34" s="8">
        <v>3782.8014184397161</v>
      </c>
      <c r="T34" s="8">
        <v>4525.2808822476318</v>
      </c>
      <c r="U34" s="8">
        <v>4420.6301450880228</v>
      </c>
      <c r="V34" s="8">
        <v>2572.4867724867722</v>
      </c>
      <c r="W34" s="7"/>
      <c r="X34" s="35">
        <f t="shared" si="1"/>
        <v>7.9879704843325747</v>
      </c>
      <c r="Y34" s="35">
        <f t="shared" si="2"/>
        <v>8.2266737786719126</v>
      </c>
      <c r="Z34" s="35">
        <f t="shared" si="3"/>
        <v>6.5719749549946433</v>
      </c>
      <c r="AA34" s="35">
        <f t="shared" si="4"/>
        <v>8.1110052026237511</v>
      </c>
      <c r="AB34" s="35">
        <f t="shared" si="5"/>
        <v>8.0523179829069704</v>
      </c>
      <c r="AC34" s="35">
        <f t="shared" si="6"/>
        <v>7.3723087236473885</v>
      </c>
      <c r="AD34" s="35">
        <f t="shared" si="7"/>
        <v>7.9285106688653588</v>
      </c>
      <c r="AE34" s="35">
        <f t="shared" si="8"/>
        <v>7.9702108111384984</v>
      </c>
      <c r="AF34" s="35">
        <f t="shared" si="9"/>
        <v>7.5073791991867935</v>
      </c>
      <c r="AG34" s="35">
        <f t="shared" si="10"/>
        <v>7.0290032827351823</v>
      </c>
      <c r="AH34" s="35">
        <f t="shared" si="11"/>
        <v>8.1727495881567602</v>
      </c>
      <c r="AI34" s="35">
        <f t="shared" si="12"/>
        <v>8.3980701588387934</v>
      </c>
      <c r="AJ34" s="35">
        <f t="shared" si="13"/>
        <v>7.5571393949630492</v>
      </c>
      <c r="AK34" s="35">
        <f t="shared" si="14"/>
        <v>7.1434157248947248</v>
      </c>
      <c r="AL34" s="35">
        <f t="shared" si="15"/>
        <v>7.5137555903769186</v>
      </c>
      <c r="AM34" s="35">
        <f t="shared" si="16"/>
        <v>7.0693526343662132</v>
      </c>
      <c r="AN34" s="35">
        <f t="shared" si="17"/>
        <v>7.7138110505627315</v>
      </c>
      <c r="AO34" s="35">
        <f t="shared" si="18"/>
        <v>8.2382201301121327</v>
      </c>
      <c r="AP34" s="35">
        <f t="shared" si="19"/>
        <v>8.4174349276324421</v>
      </c>
      <c r="AQ34" s="35">
        <f t="shared" si="20"/>
        <v>8.3940375316720655</v>
      </c>
      <c r="AR34" s="35">
        <f t="shared" si="21"/>
        <v>7.8526283258045178</v>
      </c>
      <c r="AS34" s="38"/>
      <c r="AT34" s="38">
        <f t="shared" si="23"/>
        <v>2.8045308786429857E-2</v>
      </c>
      <c r="AU34" s="38">
        <f t="shared" si="24"/>
        <v>5.3674173766609101E-3</v>
      </c>
      <c r="AV34" s="38">
        <f t="shared" si="25"/>
        <v>-2.0983176921541613E-2</v>
      </c>
      <c r="AW34" s="38">
        <f t="shared" si="26"/>
        <v>7.2888116271496273E-2</v>
      </c>
      <c r="AX34" s="38">
        <f t="shared" si="27"/>
        <v>1.180602491145244E-2</v>
      </c>
      <c r="AY34" s="38">
        <f t="shared" si="28"/>
        <v>-2.7809652343730562E-2</v>
      </c>
      <c r="AZ34" s="38">
        <f t="shared" si="29"/>
        <v>-1.8282022606137538E-2</v>
      </c>
      <c r="BA34" s="38">
        <f t="shared" si="30"/>
        <v>7.6791771658273333E-3</v>
      </c>
      <c r="BB34" s="38">
        <f t="shared" si="31"/>
        <v>-3.6773237488229249E-2</v>
      </c>
      <c r="BC34" s="38">
        <f t="shared" si="32"/>
        <v>-6.6445036601983531E-2</v>
      </c>
      <c r="BD34" s="38">
        <f t="shared" si="33"/>
        <v>2.9647565504420825E-2</v>
      </c>
      <c r="BE34" s="38">
        <f t="shared" si="34"/>
        <v>4.9651286356967361E-2</v>
      </c>
      <c r="BF34" s="38">
        <f t="shared" si="35"/>
        <v>6.4088864691775882E-3</v>
      </c>
      <c r="BG34" s="38">
        <f t="shared" si="36"/>
        <v>-2.8228971853074825E-3</v>
      </c>
      <c r="BH34" s="38">
        <f t="shared" si="37"/>
        <v>-3.6386546417245036E-2</v>
      </c>
      <c r="BI34" s="38">
        <f t="shared" si="38"/>
        <v>-1.3837064698631885E-2</v>
      </c>
      <c r="BJ34" s="38">
        <f t="shared" si="39"/>
        <v>-4.0120782490724594E-3</v>
      </c>
      <c r="BK34" s="38">
        <f t="shared" si="40"/>
        <v>1.0126757169352629E-2</v>
      </c>
      <c r="BL34" s="38">
        <f t="shared" si="41"/>
        <v>1.6686216310697333E-2</v>
      </c>
      <c r="BM34" s="38">
        <f t="shared" si="42"/>
        <v>-9.7323241075155664E-3</v>
      </c>
      <c r="BN34" s="38">
        <f t="shared" si="43"/>
        <v>0.14137780909357023</v>
      </c>
      <c r="BO34" s="7"/>
      <c r="BX34" s="7"/>
      <c r="CN34" s="7"/>
      <c r="CO34" s="8"/>
      <c r="CP34" s="7"/>
      <c r="DG34" s="7"/>
      <c r="DO34" s="7"/>
      <c r="EE34" s="7"/>
      <c r="EF34" s="7"/>
      <c r="GH34" s="7"/>
      <c r="GJ34" s="9"/>
    </row>
    <row r="35" spans="1:192" x14ac:dyDescent="0.25">
      <c r="A35" s="7">
        <v>1903</v>
      </c>
      <c r="B35" s="8">
        <v>2940.8862751460088</v>
      </c>
      <c r="C35" s="8">
        <v>3772.3527225953981</v>
      </c>
      <c r="D35" s="8">
        <v>713.9207507820646</v>
      </c>
      <c r="E35" s="8">
        <v>3333.6280750043011</v>
      </c>
      <c r="F35" s="8">
        <v>3290.2977761025254</v>
      </c>
      <c r="G35" s="8">
        <v>1685.7893569844791</v>
      </c>
      <c r="H35" s="8">
        <v>2830.5475163046149</v>
      </c>
      <c r="I35" s="8">
        <v>3008.1579972964914</v>
      </c>
      <c r="J35" s="8">
        <v>1893.2576542235577</v>
      </c>
      <c r="K35" s="8">
        <v>1192.6275386662592</v>
      </c>
      <c r="L35" s="8">
        <v>3562.2564483206534</v>
      </c>
      <c r="M35" s="8">
        <v>4727.4844290657447</v>
      </c>
      <c r="N35" s="8">
        <v>1891.4925065048078</v>
      </c>
      <c r="O35" s="8">
        <v>1273.0554051615234</v>
      </c>
      <c r="P35" s="8">
        <v>1828.8493049315505</v>
      </c>
      <c r="Q35" s="8">
        <v>1225.4571703561116</v>
      </c>
      <c r="R35" s="8">
        <v>2314.0115163147793</v>
      </c>
      <c r="S35" s="8">
        <v>3662.1936989498249</v>
      </c>
      <c r="T35" s="8">
        <v>4439.6162950338485</v>
      </c>
      <c r="U35" s="8">
        <v>4550.8943740271288</v>
      </c>
      <c r="V35" s="8">
        <v>2614.9843912591055</v>
      </c>
      <c r="W35" s="7"/>
      <c r="X35" s="35">
        <f t="shared" si="1"/>
        <v>7.9864662690358559</v>
      </c>
      <c r="Y35" s="35">
        <f t="shared" si="2"/>
        <v>8.2354541501437897</v>
      </c>
      <c r="Z35" s="35">
        <f t="shared" si="3"/>
        <v>6.5707719628769414</v>
      </c>
      <c r="AA35" s="35">
        <f t="shared" si="4"/>
        <v>8.111816501900325</v>
      </c>
      <c r="AB35" s="35">
        <f t="shared" si="5"/>
        <v>8.0987333491173388</v>
      </c>
      <c r="AC35" s="35">
        <f t="shared" si="6"/>
        <v>7.4299891942111946</v>
      </c>
      <c r="AD35" s="35">
        <f t="shared" si="7"/>
        <v>7.94822544058351</v>
      </c>
      <c r="AE35" s="35">
        <f t="shared" si="8"/>
        <v>8.0090832093872759</v>
      </c>
      <c r="AF35" s="35">
        <f t="shared" si="9"/>
        <v>7.5460542508874138</v>
      </c>
      <c r="AG35" s="35">
        <f t="shared" si="10"/>
        <v>7.0839141677072117</v>
      </c>
      <c r="AH35" s="35">
        <f t="shared" si="11"/>
        <v>8.178149456856211</v>
      </c>
      <c r="AI35" s="35">
        <f t="shared" si="12"/>
        <v>8.4611485068340624</v>
      </c>
      <c r="AJ35" s="35">
        <f t="shared" si="13"/>
        <v>7.5451214823971462</v>
      </c>
      <c r="AK35" s="35">
        <f t="shared" si="14"/>
        <v>7.149175120910785</v>
      </c>
      <c r="AL35" s="35">
        <f t="shared" si="15"/>
        <v>7.5114422529415332</v>
      </c>
      <c r="AM35" s="35">
        <f t="shared" si="16"/>
        <v>7.1110692536476234</v>
      </c>
      <c r="AN35" s="35">
        <f t="shared" si="17"/>
        <v>7.7467378845410559</v>
      </c>
      <c r="AO35" s="35">
        <f t="shared" si="18"/>
        <v>8.2058176181419444</v>
      </c>
      <c r="AP35" s="35">
        <f t="shared" si="19"/>
        <v>8.3983232316544232</v>
      </c>
      <c r="AQ35" s="35">
        <f t="shared" si="20"/>
        <v>8.4230790583487352</v>
      </c>
      <c r="AR35" s="35">
        <f t="shared" si="21"/>
        <v>7.8690134075554372</v>
      </c>
      <c r="AS35" s="38"/>
      <c r="AT35" s="38">
        <f t="shared" si="23"/>
        <v>-1.5042152967188471E-3</v>
      </c>
      <c r="AU35" s="38">
        <f t="shared" si="24"/>
        <v>8.7803714718770465E-3</v>
      </c>
      <c r="AV35" s="38">
        <f t="shared" si="25"/>
        <v>-1.2029921177019176E-3</v>
      </c>
      <c r="AW35" s="38">
        <f t="shared" si="26"/>
        <v>8.1129927657386247E-4</v>
      </c>
      <c r="AX35" s="38">
        <f t="shared" si="27"/>
        <v>4.6415366210368347E-2</v>
      </c>
      <c r="AY35" s="38">
        <f t="shared" si="28"/>
        <v>5.7680470563806097E-2</v>
      </c>
      <c r="AZ35" s="38">
        <f t="shared" si="29"/>
        <v>1.9714771718151169E-2</v>
      </c>
      <c r="BA35" s="38">
        <f t="shared" si="30"/>
        <v>3.8872398248777529E-2</v>
      </c>
      <c r="BB35" s="38">
        <f t="shared" si="31"/>
        <v>3.8675051700620244E-2</v>
      </c>
      <c r="BC35" s="38">
        <f t="shared" si="32"/>
        <v>5.491088497202945E-2</v>
      </c>
      <c r="BD35" s="38">
        <f t="shared" si="33"/>
        <v>5.3998686994507494E-3</v>
      </c>
      <c r="BE35" s="38">
        <f t="shared" si="34"/>
        <v>6.3078347995269013E-2</v>
      </c>
      <c r="BF35" s="38">
        <f t="shared" si="35"/>
        <v>-1.2017912565903011E-2</v>
      </c>
      <c r="BG35" s="38">
        <f t="shared" si="36"/>
        <v>5.7593960160602364E-3</v>
      </c>
      <c r="BH35" s="38">
        <f t="shared" si="37"/>
        <v>-2.3133374353854208E-3</v>
      </c>
      <c r="BI35" s="38">
        <f t="shared" si="38"/>
        <v>4.1716619281410239E-2</v>
      </c>
      <c r="BJ35" s="38">
        <f t="shared" si="39"/>
        <v>3.292683397832441E-2</v>
      </c>
      <c r="BK35" s="38">
        <f t="shared" si="40"/>
        <v>-3.2402511970188286E-2</v>
      </c>
      <c r="BL35" s="38">
        <f t="shared" si="41"/>
        <v>-1.9111695978018872E-2</v>
      </c>
      <c r="BM35" s="38">
        <f t="shared" si="42"/>
        <v>2.9041526676669704E-2</v>
      </c>
      <c r="BN35" s="38">
        <f t="shared" si="43"/>
        <v>1.6385081750919461E-2</v>
      </c>
      <c r="BO35" s="7"/>
      <c r="BX35" s="7"/>
      <c r="CN35" s="7"/>
      <c r="CO35" s="8"/>
      <c r="CP35" s="7"/>
      <c r="DG35" s="7"/>
      <c r="DO35" s="7"/>
      <c r="EE35" s="7"/>
      <c r="EF35" s="7"/>
      <c r="GH35" s="7"/>
      <c r="GJ35" s="9"/>
    </row>
    <row r="36" spans="1:192" x14ac:dyDescent="0.25">
      <c r="A36" s="7">
        <v>1904</v>
      </c>
      <c r="B36" s="8">
        <v>2955.8501926782274</v>
      </c>
      <c r="C36" s="8">
        <v>3820.8353090601181</v>
      </c>
      <c r="D36" s="8">
        <v>712.76867309950478</v>
      </c>
      <c r="E36" s="8">
        <v>3279.5642308975639</v>
      </c>
      <c r="F36" s="8">
        <v>3325.5800074599028</v>
      </c>
      <c r="G36" s="8">
        <v>1730.9868372943326</v>
      </c>
      <c r="H36" s="8">
        <v>2846.7080692136369</v>
      </c>
      <c r="I36" s="8">
        <v>3083.353492717019</v>
      </c>
      <c r="J36" s="8">
        <v>1895.5854676804524</v>
      </c>
      <c r="K36" s="8">
        <v>1188.0882530510155</v>
      </c>
      <c r="L36" s="8">
        <v>3534.5521023765996</v>
      </c>
      <c r="M36" s="8">
        <v>4570.4210526315783</v>
      </c>
      <c r="N36" s="8">
        <v>1887.6614699686982</v>
      </c>
      <c r="O36" s="8">
        <v>1278.9407765253175</v>
      </c>
      <c r="P36" s="8">
        <v>1810.2362204724409</v>
      </c>
      <c r="Q36" s="8">
        <v>1215.2137963619182</v>
      </c>
      <c r="R36" s="8">
        <v>2394.0087769509637</v>
      </c>
      <c r="S36" s="8">
        <v>3808.4677419354839</v>
      </c>
      <c r="T36" s="8">
        <v>4427.9439581328761</v>
      </c>
      <c r="U36" s="8">
        <v>4409.5320240043638</v>
      </c>
      <c r="V36" s="8">
        <v>2639.71340839304</v>
      </c>
      <c r="W36" s="7"/>
      <c r="X36" s="35">
        <f t="shared" si="1"/>
        <v>7.9915416017169596</v>
      </c>
      <c r="Y36" s="35">
        <f t="shared" si="2"/>
        <v>8.2482243449896373</v>
      </c>
      <c r="Z36" s="35">
        <f t="shared" si="3"/>
        <v>6.5691569261160421</v>
      </c>
      <c r="AA36" s="35">
        <f t="shared" si="4"/>
        <v>8.095465836118322</v>
      </c>
      <c r="AB36" s="35">
        <f t="shared" si="5"/>
        <v>8.1093993762111634</v>
      </c>
      <c r="AC36" s="35">
        <f t="shared" si="6"/>
        <v>7.4564469510423486</v>
      </c>
      <c r="AD36" s="35">
        <f t="shared" si="7"/>
        <v>7.9539185422289869</v>
      </c>
      <c r="AE36" s="35">
        <f t="shared" si="8"/>
        <v>8.0337730799954805</v>
      </c>
      <c r="AF36" s="35">
        <f t="shared" si="9"/>
        <v>7.5472830237211754</v>
      </c>
      <c r="AG36" s="35">
        <f t="shared" si="10"/>
        <v>7.0801007842434212</v>
      </c>
      <c r="AH36" s="35">
        <f t="shared" si="11"/>
        <v>8.1703418665906611</v>
      </c>
      <c r="AI36" s="35">
        <f t="shared" si="12"/>
        <v>8.4273606136992196</v>
      </c>
      <c r="AJ36" s="35">
        <f t="shared" si="13"/>
        <v>7.5430940244675275</v>
      </c>
      <c r="AK36" s="35">
        <f t="shared" si="14"/>
        <v>7.1537874959917573</v>
      </c>
      <c r="AL36" s="35">
        <f t="shared" si="15"/>
        <v>7.5012126242926813</v>
      </c>
      <c r="AM36" s="35">
        <f t="shared" si="16"/>
        <v>7.1026753043786686</v>
      </c>
      <c r="AN36" s="35">
        <f t="shared" si="17"/>
        <v>7.7807245523396702</v>
      </c>
      <c r="AO36" s="35">
        <f t="shared" si="18"/>
        <v>8.2449822197587199</v>
      </c>
      <c r="AP36" s="35">
        <f t="shared" si="19"/>
        <v>8.3956906375002145</v>
      </c>
      <c r="AQ36" s="35">
        <f t="shared" si="20"/>
        <v>8.3915238458042705</v>
      </c>
      <c r="AR36" s="35">
        <f t="shared" si="21"/>
        <v>7.878425632820699</v>
      </c>
      <c r="AS36" s="38"/>
      <c r="AT36" s="38">
        <f t="shared" si="23"/>
        <v>5.0753326811037169E-3</v>
      </c>
      <c r="AU36" s="38">
        <f t="shared" si="24"/>
        <v>1.2770194845847627E-2</v>
      </c>
      <c r="AV36" s="38">
        <f t="shared" si="25"/>
        <v>-1.6150367608993577E-3</v>
      </c>
      <c r="AW36" s="38">
        <f t="shared" si="26"/>
        <v>-1.6350665782002949E-2</v>
      </c>
      <c r="AX36" s="38">
        <f t="shared" si="27"/>
        <v>1.0666027093824582E-2</v>
      </c>
      <c r="AY36" s="38">
        <f t="shared" si="28"/>
        <v>2.6457756831153922E-2</v>
      </c>
      <c r="AZ36" s="38">
        <f t="shared" si="29"/>
        <v>5.6931016454768724E-3</v>
      </c>
      <c r="BA36" s="38">
        <f t="shared" si="30"/>
        <v>2.46898706082046E-2</v>
      </c>
      <c r="BB36" s="38">
        <f t="shared" si="31"/>
        <v>1.2287728337616599E-3</v>
      </c>
      <c r="BC36" s="38">
        <f t="shared" si="32"/>
        <v>-3.813383463790565E-3</v>
      </c>
      <c r="BD36" s="38">
        <f t="shared" si="33"/>
        <v>-7.8075902655498908E-3</v>
      </c>
      <c r="BE36" s="38">
        <f t="shared" si="34"/>
        <v>-3.3787893134842761E-2</v>
      </c>
      <c r="BF36" s="38">
        <f t="shared" si="35"/>
        <v>-2.0274579296186701E-3</v>
      </c>
      <c r="BG36" s="38">
        <f t="shared" si="36"/>
        <v>4.6123750809723418E-3</v>
      </c>
      <c r="BH36" s="38">
        <f t="shared" si="37"/>
        <v>-1.0229628648851907E-2</v>
      </c>
      <c r="BI36" s="38">
        <f t="shared" si="38"/>
        <v>-8.39394926895487E-3</v>
      </c>
      <c r="BJ36" s="38">
        <f t="shared" si="39"/>
        <v>3.3986667798614256E-2</v>
      </c>
      <c r="BK36" s="38">
        <f t="shared" si="40"/>
        <v>3.9164601616775485E-2</v>
      </c>
      <c r="BL36" s="38">
        <f t="shared" si="41"/>
        <v>-2.6325941542086895E-3</v>
      </c>
      <c r="BM36" s="38">
        <f t="shared" si="42"/>
        <v>-3.1555212544464695E-2</v>
      </c>
      <c r="BN36" s="38">
        <f t="shared" si="43"/>
        <v>9.4122252652617533E-3</v>
      </c>
      <c r="BO36" s="7"/>
      <c r="BX36" s="7"/>
      <c r="CN36" s="7"/>
      <c r="CO36" s="8"/>
      <c r="CP36" s="7"/>
      <c r="DG36" s="7"/>
      <c r="DO36" s="7"/>
      <c r="EE36" s="7"/>
      <c r="EF36" s="7"/>
      <c r="GH36" s="7"/>
      <c r="GJ36" s="9"/>
    </row>
    <row r="37" spans="1:192" x14ac:dyDescent="0.25">
      <c r="A37" s="7">
        <v>1905</v>
      </c>
      <c r="B37" s="8">
        <v>3089.7773363000638</v>
      </c>
      <c r="C37" s="8">
        <v>3881.6399999999994</v>
      </c>
      <c r="D37" s="8">
        <v>718.14227865820123</v>
      </c>
      <c r="E37" s="8">
        <v>3561.8170613039251</v>
      </c>
      <c r="F37" s="8">
        <v>3345.9741697416976</v>
      </c>
      <c r="G37" s="8">
        <v>1741.8236784938447</v>
      </c>
      <c r="H37" s="8">
        <v>2894.020322817315</v>
      </c>
      <c r="I37" s="8">
        <v>3104.0454948502834</v>
      </c>
      <c r="J37" s="8">
        <v>1984.4338110303054</v>
      </c>
      <c r="K37" s="8">
        <v>1156.7547459907321</v>
      </c>
      <c r="L37" s="8">
        <v>3594.4874797333814</v>
      </c>
      <c r="M37" s="8">
        <v>4850.0010881392818</v>
      </c>
      <c r="N37" s="8">
        <v>1892.0972555472067</v>
      </c>
      <c r="O37" s="8">
        <v>1232.9253148838036</v>
      </c>
      <c r="P37" s="8">
        <v>1777.2957717033398</v>
      </c>
      <c r="Q37" s="8">
        <v>1178.8729180926307</v>
      </c>
      <c r="R37" s="8">
        <v>2366.0477453580902</v>
      </c>
      <c r="S37" s="8">
        <v>3913.0309159202543</v>
      </c>
      <c r="T37" s="8">
        <v>4520.47579162886</v>
      </c>
      <c r="U37" s="8">
        <v>4642.1638917608461</v>
      </c>
      <c r="V37" s="8">
        <v>2334.3403826787512</v>
      </c>
      <c r="W37" s="7"/>
      <c r="X37" s="35">
        <f t="shared" si="1"/>
        <v>8.0358543078455664</v>
      </c>
      <c r="Y37" s="35">
        <f t="shared" si="2"/>
        <v>8.2640130237254876</v>
      </c>
      <c r="Z37" s="35">
        <f t="shared" si="3"/>
        <v>6.5766677091082739</v>
      </c>
      <c r="AA37" s="35">
        <f t="shared" si="4"/>
        <v>8.1780261041095859</v>
      </c>
      <c r="AB37" s="35">
        <f t="shared" si="5"/>
        <v>8.1155131617745031</v>
      </c>
      <c r="AC37" s="35">
        <f t="shared" si="6"/>
        <v>7.4626879344329993</v>
      </c>
      <c r="AD37" s="35">
        <f t="shared" si="7"/>
        <v>7.9704019295639092</v>
      </c>
      <c r="AE37" s="35">
        <f t="shared" si="8"/>
        <v>8.0404615380417948</v>
      </c>
      <c r="AF37" s="35">
        <f t="shared" si="9"/>
        <v>7.5930889186965294</v>
      </c>
      <c r="AG37" s="35">
        <f t="shared" si="10"/>
        <v>7.053373730645113</v>
      </c>
      <c r="AH37" s="35">
        <f t="shared" si="11"/>
        <v>8.1871566952445072</v>
      </c>
      <c r="AI37" s="35">
        <f t="shared" si="12"/>
        <v>8.4867342082901178</v>
      </c>
      <c r="AJ37" s="35">
        <f t="shared" si="13"/>
        <v>7.545441151856882</v>
      </c>
      <c r="AK37" s="35">
        <f t="shared" si="14"/>
        <v>7.1171449294593998</v>
      </c>
      <c r="AL37" s="35">
        <f t="shared" si="15"/>
        <v>7.4828482587068734</v>
      </c>
      <c r="AM37" s="35">
        <f t="shared" si="16"/>
        <v>7.0723141068505129</v>
      </c>
      <c r="AN37" s="35">
        <f t="shared" si="17"/>
        <v>7.7689762241141356</v>
      </c>
      <c r="AO37" s="35">
        <f t="shared" si="18"/>
        <v>8.2720675230021641</v>
      </c>
      <c r="AP37" s="35">
        <f t="shared" si="19"/>
        <v>8.4163725309211532</v>
      </c>
      <c r="AQ37" s="35">
        <f t="shared" si="20"/>
        <v>8.4429358924930877</v>
      </c>
      <c r="AR37" s="35">
        <f t="shared" si="21"/>
        <v>7.7554846388366618</v>
      </c>
      <c r="AS37" s="38"/>
      <c r="AT37" s="38">
        <f t="shared" si="23"/>
        <v>4.4312706128606827E-2</v>
      </c>
      <c r="AU37" s="38">
        <f t="shared" si="24"/>
        <v>1.5788678735850326E-2</v>
      </c>
      <c r="AV37" s="38">
        <f t="shared" si="25"/>
        <v>7.5107829922318459E-3</v>
      </c>
      <c r="AW37" s="38">
        <f t="shared" si="26"/>
        <v>8.2560267991263814E-2</v>
      </c>
      <c r="AX37" s="38">
        <f t="shared" si="27"/>
        <v>6.1137855633397464E-3</v>
      </c>
      <c r="AY37" s="38">
        <f t="shared" si="28"/>
        <v>6.2409833906507117E-3</v>
      </c>
      <c r="AZ37" s="38">
        <f t="shared" si="29"/>
        <v>1.6483387334922384E-2</v>
      </c>
      <c r="BA37" s="38">
        <f t="shared" si="30"/>
        <v>6.6884580463142385E-3</v>
      </c>
      <c r="BB37" s="38">
        <f t="shared" si="31"/>
        <v>4.5805894975353922E-2</v>
      </c>
      <c r="BC37" s="38">
        <f t="shared" si="32"/>
        <v>-2.6727053598308181E-2</v>
      </c>
      <c r="BD37" s="38">
        <f t="shared" si="33"/>
        <v>1.6814828653846092E-2</v>
      </c>
      <c r="BE37" s="38">
        <f t="shared" si="34"/>
        <v>5.9373594590898193E-2</v>
      </c>
      <c r="BF37" s="38">
        <f t="shared" si="35"/>
        <v>2.3471273893544975E-3</v>
      </c>
      <c r="BG37" s="38">
        <f t="shared" si="36"/>
        <v>-3.6642566532357534E-2</v>
      </c>
      <c r="BH37" s="38">
        <f t="shared" si="37"/>
        <v>-1.8364365585807896E-2</v>
      </c>
      <c r="BI37" s="38">
        <f t="shared" si="38"/>
        <v>-3.0361197528155692E-2</v>
      </c>
      <c r="BJ37" s="38">
        <f t="shared" si="39"/>
        <v>-1.1748328225534621E-2</v>
      </c>
      <c r="BK37" s="38">
        <f t="shared" si="40"/>
        <v>2.7085303243444159E-2</v>
      </c>
      <c r="BL37" s="38">
        <f t="shared" si="41"/>
        <v>2.0681893420938735E-2</v>
      </c>
      <c r="BM37" s="38">
        <f t="shared" si="42"/>
        <v>5.141204668881727E-2</v>
      </c>
      <c r="BN37" s="38">
        <f t="shared" si="43"/>
        <v>-0.12294099398403713</v>
      </c>
      <c r="BO37" s="7"/>
      <c r="BX37" s="7"/>
      <c r="CN37" s="7"/>
      <c r="CO37" s="8"/>
      <c r="CP37" s="7"/>
      <c r="DG37" s="7"/>
      <c r="DO37" s="7"/>
      <c r="EE37" s="7"/>
      <c r="EF37" s="7"/>
      <c r="GH37" s="7"/>
      <c r="GJ37" s="9"/>
    </row>
    <row r="38" spans="1:192" x14ac:dyDescent="0.25">
      <c r="A38" s="7">
        <v>1906</v>
      </c>
      <c r="B38" s="8">
        <v>3176.2326569136385</v>
      </c>
      <c r="C38" s="8">
        <v>3917.4721686414996</v>
      </c>
      <c r="D38" s="8">
        <v>770.3040093993244</v>
      </c>
      <c r="E38" s="8">
        <v>3846.2069404648205</v>
      </c>
      <c r="F38" s="8">
        <v>3401.7986136446552</v>
      </c>
      <c r="G38" s="8">
        <v>1794.3281922525105</v>
      </c>
      <c r="H38" s="8">
        <v>2943.2813736505304</v>
      </c>
      <c r="I38" s="8">
        <v>3152.1373211613795</v>
      </c>
      <c r="J38" s="8">
        <v>2042.309623153257</v>
      </c>
      <c r="K38" s="8">
        <v>1297.2095411523071</v>
      </c>
      <c r="L38" s="8">
        <v>3668.5014204545455</v>
      </c>
      <c r="M38" s="8">
        <v>5157.6786469344615</v>
      </c>
      <c r="N38" s="8">
        <v>1962.0530597751617</v>
      </c>
      <c r="O38" s="8">
        <v>1230.5663032008442</v>
      </c>
      <c r="P38" s="8">
        <v>1851.3149720439014</v>
      </c>
      <c r="Q38" s="8">
        <v>1190.4441453566621</v>
      </c>
      <c r="R38" s="8">
        <v>2544.4967074317969</v>
      </c>
      <c r="S38" s="8">
        <v>4205.6179775280898</v>
      </c>
      <c r="T38" s="8">
        <v>4631.0853531975745</v>
      </c>
      <c r="U38" s="8">
        <v>5079.124239244491</v>
      </c>
      <c r="V38" s="8">
        <v>2533.2011892963328</v>
      </c>
      <c r="W38" s="7"/>
      <c r="X38" s="35">
        <f t="shared" si="1"/>
        <v>8.0634510743797616</v>
      </c>
      <c r="Y38" s="35">
        <f t="shared" si="2"/>
        <v>8.2732018698377416</v>
      </c>
      <c r="Z38" s="35">
        <f t="shared" si="3"/>
        <v>6.6467852543295676</v>
      </c>
      <c r="AA38" s="35">
        <f t="shared" si="4"/>
        <v>8.2548427313743176</v>
      </c>
      <c r="AB38" s="35">
        <f t="shared" si="5"/>
        <v>8.1320595747440905</v>
      </c>
      <c r="AC38" s="35">
        <f t="shared" si="6"/>
        <v>7.4923859647127315</v>
      </c>
      <c r="AD38" s="35">
        <f t="shared" si="7"/>
        <v>7.9872803514277084</v>
      </c>
      <c r="AE38" s="35">
        <f t="shared" si="8"/>
        <v>8.0558360163870883</v>
      </c>
      <c r="AF38" s="35">
        <f t="shared" si="9"/>
        <v>7.6218366146315413</v>
      </c>
      <c r="AG38" s="35">
        <f t="shared" si="10"/>
        <v>7.1679707295959894</v>
      </c>
      <c r="AH38" s="35">
        <f t="shared" si="11"/>
        <v>8.2075385253570659</v>
      </c>
      <c r="AI38" s="35">
        <f t="shared" si="12"/>
        <v>8.5482418826265558</v>
      </c>
      <c r="AJ38" s="35">
        <f t="shared" si="13"/>
        <v>7.5817466834778608</v>
      </c>
      <c r="AK38" s="35">
        <f t="shared" si="14"/>
        <v>7.1152297515170888</v>
      </c>
      <c r="AL38" s="35">
        <f t="shared" si="15"/>
        <v>7.5236514612761551</v>
      </c>
      <c r="AM38" s="35">
        <f t="shared" si="16"/>
        <v>7.0820817478642182</v>
      </c>
      <c r="AN38" s="35">
        <f t="shared" si="17"/>
        <v>7.841688152033865</v>
      </c>
      <c r="AO38" s="35">
        <f t="shared" si="18"/>
        <v>8.34417652416038</v>
      </c>
      <c r="AP38" s="35">
        <f t="shared" si="19"/>
        <v>8.4405465371460551</v>
      </c>
      <c r="AQ38" s="35">
        <f t="shared" si="20"/>
        <v>8.5328941318614895</v>
      </c>
      <c r="AR38" s="35">
        <f t="shared" si="21"/>
        <v>7.8372390741259537</v>
      </c>
      <c r="AS38" s="38"/>
      <c r="AT38" s="38">
        <f t="shared" si="23"/>
        <v>2.7596766534195183E-2</v>
      </c>
      <c r="AU38" s="38">
        <f t="shared" si="24"/>
        <v>9.1888461122540122E-3</v>
      </c>
      <c r="AV38" s="38">
        <f t="shared" si="25"/>
        <v>7.0117545221293653E-2</v>
      </c>
      <c r="AW38" s="38">
        <f t="shared" si="26"/>
        <v>7.6816627264731707E-2</v>
      </c>
      <c r="AX38" s="38">
        <f t="shared" si="27"/>
        <v>1.6546412969587365E-2</v>
      </c>
      <c r="AY38" s="38">
        <f t="shared" si="28"/>
        <v>2.9698030279732279E-2</v>
      </c>
      <c r="AZ38" s="38">
        <f t="shared" si="29"/>
        <v>1.6878421863799176E-2</v>
      </c>
      <c r="BA38" s="38">
        <f t="shared" si="30"/>
        <v>1.5374478345293596E-2</v>
      </c>
      <c r="BB38" s="38">
        <f t="shared" si="31"/>
        <v>2.8747695935011919E-2</v>
      </c>
      <c r="BC38" s="38">
        <f t="shared" si="32"/>
        <v>0.11459699895087638</v>
      </c>
      <c r="BD38" s="38">
        <f t="shared" si="33"/>
        <v>2.0381830112558674E-2</v>
      </c>
      <c r="BE38" s="38">
        <f t="shared" si="34"/>
        <v>6.1507674336438001E-2</v>
      </c>
      <c r="BF38" s="38">
        <f t="shared" si="35"/>
        <v>3.6305531620978826E-2</v>
      </c>
      <c r="BG38" s="38">
        <f t="shared" si="36"/>
        <v>-1.9151779423109971E-3</v>
      </c>
      <c r="BH38" s="38">
        <f t="shared" si="37"/>
        <v>4.0803202569281716E-2</v>
      </c>
      <c r="BI38" s="38">
        <f t="shared" si="38"/>
        <v>9.7676410137053082E-3</v>
      </c>
      <c r="BJ38" s="38">
        <f t="shared" si="39"/>
        <v>7.2711927919729469E-2</v>
      </c>
      <c r="BK38" s="38">
        <f t="shared" si="40"/>
        <v>7.2109001158215946E-2</v>
      </c>
      <c r="BL38" s="38">
        <f t="shared" si="41"/>
        <v>2.4174006224901845E-2</v>
      </c>
      <c r="BM38" s="38">
        <f t="shared" si="42"/>
        <v>8.9958239368401749E-2</v>
      </c>
      <c r="BN38" s="38">
        <f t="shared" si="43"/>
        <v>8.1754435289291827E-2</v>
      </c>
      <c r="BO38" s="7"/>
      <c r="BX38" s="7"/>
      <c r="CN38" s="7"/>
      <c r="CO38" s="8"/>
      <c r="CP38" s="7"/>
      <c r="DG38" s="7"/>
      <c r="DO38" s="7"/>
      <c r="EE38" s="7"/>
      <c r="EF38" s="7"/>
      <c r="GH38" s="7"/>
      <c r="GJ38" s="9"/>
    </row>
    <row r="39" spans="1:192" x14ac:dyDescent="0.25">
      <c r="A39" s="7">
        <v>1907</v>
      </c>
      <c r="B39" s="8">
        <v>3338.142656907024</v>
      </c>
      <c r="C39" s="8">
        <v>3932.0692286726626</v>
      </c>
      <c r="D39" s="8">
        <v>755.22531160115045</v>
      </c>
      <c r="E39" s="8">
        <v>3874.8502122498489</v>
      </c>
      <c r="F39" s="8">
        <v>3486.2810810810815</v>
      </c>
      <c r="G39" s="8">
        <v>1834.4877702942219</v>
      </c>
      <c r="H39" s="8">
        <v>3070.3294904987542</v>
      </c>
      <c r="I39" s="8">
        <v>3244.8733033923863</v>
      </c>
      <c r="J39" s="8">
        <v>2253.5903329015027</v>
      </c>
      <c r="K39" s="8">
        <v>1325.1545574636725</v>
      </c>
      <c r="L39" s="8">
        <v>3621.5411558669002</v>
      </c>
      <c r="M39" s="8">
        <v>5339.5201238390091</v>
      </c>
      <c r="N39" s="8">
        <v>2038.4699920347362</v>
      </c>
      <c r="O39" s="8">
        <v>1249.3461203138622</v>
      </c>
      <c r="P39" s="8">
        <v>1896.4010282776349</v>
      </c>
      <c r="Q39" s="8">
        <v>1233.266174166107</v>
      </c>
      <c r="R39" s="8">
        <v>2689.9383983572893</v>
      </c>
      <c r="S39" s="8">
        <v>4192.5638179800226</v>
      </c>
      <c r="T39" s="8">
        <v>4678.5787319660694</v>
      </c>
      <c r="U39" s="8">
        <v>5064.8904269570303</v>
      </c>
      <c r="V39" s="8">
        <v>2757.3099415204679</v>
      </c>
      <c r="W39" s="7"/>
      <c r="X39" s="35">
        <f t="shared" si="1"/>
        <v>8.113169840548542</v>
      </c>
      <c r="Y39" s="35">
        <f t="shared" si="2"/>
        <v>8.2769210875903614</v>
      </c>
      <c r="Z39" s="35">
        <f t="shared" si="3"/>
        <v>6.6270161306906434</v>
      </c>
      <c r="AA39" s="35">
        <f t="shared" si="4"/>
        <v>8.2622622861370623</v>
      </c>
      <c r="AB39" s="35">
        <f t="shared" si="5"/>
        <v>8.1565908542353611</v>
      </c>
      <c r="AC39" s="35">
        <f t="shared" si="6"/>
        <v>7.5145205772668318</v>
      </c>
      <c r="AD39" s="35">
        <f t="shared" si="7"/>
        <v>8.0295401607175911</v>
      </c>
      <c r="AE39" s="35">
        <f t="shared" si="8"/>
        <v>8.0848315847372572</v>
      </c>
      <c r="AF39" s="35">
        <f t="shared" si="9"/>
        <v>7.720279926928141</v>
      </c>
      <c r="AG39" s="35">
        <f t="shared" si="10"/>
        <v>7.1892843787599681</v>
      </c>
      <c r="AH39" s="35">
        <f t="shared" si="11"/>
        <v>8.1946549478858426</v>
      </c>
      <c r="AI39" s="35">
        <f t="shared" si="12"/>
        <v>8.5828910634665654</v>
      </c>
      <c r="AJ39" s="35">
        <f t="shared" si="13"/>
        <v>7.6199548015400866</v>
      </c>
      <c r="AK39" s="35">
        <f t="shared" si="14"/>
        <v>7.1303755896809378</v>
      </c>
      <c r="AL39" s="35">
        <f t="shared" si="15"/>
        <v>7.5477131732539471</v>
      </c>
      <c r="AM39" s="35">
        <f t="shared" si="16"/>
        <v>7.117421355102735</v>
      </c>
      <c r="AN39" s="35">
        <f t="shared" si="17"/>
        <v>7.8972735720947442</v>
      </c>
      <c r="AO39" s="35">
        <f t="shared" si="18"/>
        <v>8.341067715520694</v>
      </c>
      <c r="AP39" s="35">
        <f t="shared" si="19"/>
        <v>8.4507496530377821</v>
      </c>
      <c r="AQ39" s="35">
        <f t="shared" si="20"/>
        <v>8.5300877830740571</v>
      </c>
      <c r="AR39" s="35">
        <f t="shared" si="21"/>
        <v>7.9220108245529897</v>
      </c>
      <c r="AS39" s="38"/>
      <c r="AT39" s="38">
        <f t="shared" si="23"/>
        <v>4.9718766168780348E-2</v>
      </c>
      <c r="AU39" s="38">
        <f t="shared" si="24"/>
        <v>3.7192177526197412E-3</v>
      </c>
      <c r="AV39" s="38">
        <f t="shared" si="25"/>
        <v>-1.9769123638924135E-2</v>
      </c>
      <c r="AW39" s="38">
        <f t="shared" si="26"/>
        <v>7.4195547627446956E-3</v>
      </c>
      <c r="AX39" s="38">
        <f t="shared" si="27"/>
        <v>2.4531279491270652E-2</v>
      </c>
      <c r="AY39" s="38">
        <f t="shared" si="28"/>
        <v>2.2134612554100208E-2</v>
      </c>
      <c r="AZ39" s="38">
        <f t="shared" si="29"/>
        <v>4.225980928988271E-2</v>
      </c>
      <c r="BA39" s="38">
        <f t="shared" si="30"/>
        <v>2.899556835016881E-2</v>
      </c>
      <c r="BB39" s="38">
        <f t="shared" si="31"/>
        <v>9.844331229659975E-2</v>
      </c>
      <c r="BC39" s="38">
        <f t="shared" si="32"/>
        <v>2.131364916397871E-2</v>
      </c>
      <c r="BD39" s="38">
        <f t="shared" si="33"/>
        <v>-1.2883577471223262E-2</v>
      </c>
      <c r="BE39" s="38">
        <f t="shared" si="34"/>
        <v>3.4649180840009564E-2</v>
      </c>
      <c r="BF39" s="38">
        <f t="shared" si="35"/>
        <v>3.8208118062225793E-2</v>
      </c>
      <c r="BG39" s="38">
        <f t="shared" si="36"/>
        <v>1.5145838163848957E-2</v>
      </c>
      <c r="BH39" s="38">
        <f t="shared" si="37"/>
        <v>2.4061711977791944E-2</v>
      </c>
      <c r="BI39" s="38">
        <f t="shared" si="38"/>
        <v>3.5339607238516813E-2</v>
      </c>
      <c r="BJ39" s="38">
        <f t="shared" si="39"/>
        <v>5.5585420060879187E-2</v>
      </c>
      <c r="BK39" s="38">
        <f t="shared" si="40"/>
        <v>-3.1088086396859893E-3</v>
      </c>
      <c r="BL39" s="38">
        <f t="shared" si="41"/>
        <v>1.0203115891727066E-2</v>
      </c>
      <c r="BM39" s="38">
        <f t="shared" si="42"/>
        <v>-2.8063487874323556E-3</v>
      </c>
      <c r="BN39" s="38">
        <f t="shared" si="43"/>
        <v>8.4771750427035997E-2</v>
      </c>
      <c r="BO39" s="7"/>
      <c r="BX39" s="7"/>
      <c r="CN39" s="7"/>
      <c r="CO39" s="8"/>
      <c r="CP39" s="7"/>
      <c r="DG39" s="7"/>
      <c r="DO39" s="7"/>
      <c r="EE39" s="7"/>
      <c r="EF39" s="7"/>
      <c r="GH39" s="7"/>
      <c r="GJ39" s="9"/>
    </row>
    <row r="40" spans="1:192" x14ac:dyDescent="0.25">
      <c r="A40" s="7">
        <v>1908</v>
      </c>
      <c r="B40" s="8">
        <v>3319.6635312259054</v>
      </c>
      <c r="C40" s="8">
        <v>3932.6200242882201</v>
      </c>
      <c r="D40" s="8">
        <v>734.12195465427408</v>
      </c>
      <c r="E40" s="8">
        <v>3572.0610597387349</v>
      </c>
      <c r="F40" s="8">
        <v>3552.1003915984338</v>
      </c>
      <c r="G40" s="8">
        <v>1828.9377839916115</v>
      </c>
      <c r="H40" s="8">
        <v>3044.9492033328461</v>
      </c>
      <c r="I40" s="8">
        <v>3254.3113406442544</v>
      </c>
      <c r="J40" s="8">
        <v>2288.3448583376708</v>
      </c>
      <c r="K40" s="8">
        <v>1318.4389556568585</v>
      </c>
      <c r="L40" s="8">
        <v>3576.5641202903562</v>
      </c>
      <c r="M40" s="8">
        <v>4834.9126506024104</v>
      </c>
      <c r="N40" s="8">
        <v>2088.0395869540071</v>
      </c>
      <c r="O40" s="8">
        <v>1219.2254495159061</v>
      </c>
      <c r="P40" s="8">
        <v>1957.1610926729638</v>
      </c>
      <c r="Q40" s="8">
        <v>1221.2389380530972</v>
      </c>
      <c r="R40" s="8">
        <v>2621.9467061435971</v>
      </c>
      <c r="S40" s="8">
        <v>4078.1464217164789</v>
      </c>
      <c r="T40" s="8">
        <v>4449.1916417369239</v>
      </c>
      <c r="U40" s="8">
        <v>4560.6159676604348</v>
      </c>
      <c r="V40" s="8">
        <v>2973.1543624161072</v>
      </c>
      <c r="W40" s="7"/>
      <c r="X40" s="35">
        <f t="shared" si="1"/>
        <v>8.1076187107583859</v>
      </c>
      <c r="Y40" s="35">
        <f t="shared" si="2"/>
        <v>8.2770611555825582</v>
      </c>
      <c r="Z40" s="35">
        <f t="shared" si="3"/>
        <v>6.5986751655681495</v>
      </c>
      <c r="AA40" s="35">
        <f t="shared" si="4"/>
        <v>8.1808980358420964</v>
      </c>
      <c r="AB40" s="35">
        <f t="shared" si="5"/>
        <v>8.1752943671131177</v>
      </c>
      <c r="AC40" s="35">
        <f t="shared" si="6"/>
        <v>7.5114906314053025</v>
      </c>
      <c r="AD40" s="35">
        <f t="shared" si="7"/>
        <v>8.0212394980123545</v>
      </c>
      <c r="AE40" s="35">
        <f t="shared" si="8"/>
        <v>8.0877359625640999</v>
      </c>
      <c r="AF40" s="35">
        <f t="shared" si="9"/>
        <v>7.7355840659397801</v>
      </c>
      <c r="AG40" s="35">
        <f t="shared" si="10"/>
        <v>7.184203706395305</v>
      </c>
      <c r="AH40" s="35">
        <f t="shared" si="11"/>
        <v>8.1821578756109528</v>
      </c>
      <c r="AI40" s="35">
        <f t="shared" si="12"/>
        <v>8.4836183416647213</v>
      </c>
      <c r="AJ40" s="35">
        <f t="shared" si="13"/>
        <v>7.6439809080919652</v>
      </c>
      <c r="AK40" s="35">
        <f t="shared" si="14"/>
        <v>7.1059710586612974</v>
      </c>
      <c r="AL40" s="35">
        <f t="shared" si="15"/>
        <v>7.5792502801416379</v>
      </c>
      <c r="AM40" s="35">
        <f t="shared" si="16"/>
        <v>7.1076211454270011</v>
      </c>
      <c r="AN40" s="35">
        <f t="shared" si="17"/>
        <v>7.8716723384662739</v>
      </c>
      <c r="AO40" s="35">
        <f t="shared" si="18"/>
        <v>8.3133978557660555</v>
      </c>
      <c r="AP40" s="35">
        <f t="shared" si="19"/>
        <v>8.4004777051170194</v>
      </c>
      <c r="AQ40" s="35">
        <f t="shared" si="20"/>
        <v>8.4252129740131529</v>
      </c>
      <c r="AR40" s="35">
        <f t="shared" si="21"/>
        <v>7.9973787430818133</v>
      </c>
      <c r="AS40" s="38"/>
      <c r="AT40" s="38">
        <f t="shared" si="23"/>
        <v>-5.5511297901560397E-3</v>
      </c>
      <c r="AU40" s="38">
        <f t="shared" si="24"/>
        <v>1.4006799219679067E-4</v>
      </c>
      <c r="AV40" s="38">
        <f t="shared" si="25"/>
        <v>-2.8340965122493955E-2</v>
      </c>
      <c r="AW40" s="38">
        <f t="shared" si="26"/>
        <v>-8.1364250294965856E-2</v>
      </c>
      <c r="AX40" s="38">
        <f t="shared" si="27"/>
        <v>1.8703512877756623E-2</v>
      </c>
      <c r="AY40" s="38">
        <f t="shared" si="28"/>
        <v>-3.0299458615292707E-3</v>
      </c>
      <c r="AZ40" s="38">
        <f t="shared" si="29"/>
        <v>-8.3006627052366611E-3</v>
      </c>
      <c r="BA40" s="38">
        <f t="shared" si="30"/>
        <v>2.9043778268427189E-3</v>
      </c>
      <c r="BB40" s="38">
        <f t="shared" si="31"/>
        <v>1.5304139011639073E-2</v>
      </c>
      <c r="BC40" s="38">
        <f t="shared" si="32"/>
        <v>-5.0806723646630303E-3</v>
      </c>
      <c r="BD40" s="38">
        <f t="shared" si="33"/>
        <v>-1.2497072274889831E-2</v>
      </c>
      <c r="BE40" s="38">
        <f t="shared" si="34"/>
        <v>-9.9272721801844099E-2</v>
      </c>
      <c r="BF40" s="38">
        <f t="shared" si="35"/>
        <v>2.4026106551878534E-2</v>
      </c>
      <c r="BG40" s="38">
        <f t="shared" si="36"/>
        <v>-2.4404531019640352E-2</v>
      </c>
      <c r="BH40" s="38">
        <f t="shared" si="37"/>
        <v>3.1537106887690847E-2</v>
      </c>
      <c r="BI40" s="38">
        <f t="shared" si="38"/>
        <v>-9.8002096757339174E-3</v>
      </c>
      <c r="BJ40" s="38">
        <f t="shared" si="39"/>
        <v>-2.5601233628470332E-2</v>
      </c>
      <c r="BK40" s="38">
        <f t="shared" si="40"/>
        <v>-2.7669859754638537E-2</v>
      </c>
      <c r="BL40" s="38">
        <f t="shared" si="41"/>
        <v>-5.0271947920762727E-2</v>
      </c>
      <c r="BM40" s="38">
        <f t="shared" si="42"/>
        <v>-0.10487480906090418</v>
      </c>
      <c r="BN40" s="38">
        <f t="shared" si="43"/>
        <v>7.536791852882363E-2</v>
      </c>
      <c r="BO40" s="7"/>
      <c r="BX40" s="7"/>
      <c r="CN40" s="7"/>
      <c r="CO40" s="8"/>
      <c r="CP40" s="7"/>
      <c r="DG40" s="7"/>
      <c r="DO40" s="7"/>
      <c r="EE40" s="7"/>
      <c r="EF40" s="7"/>
      <c r="GH40" s="7"/>
      <c r="GJ40" s="9"/>
    </row>
    <row r="41" spans="1:192" x14ac:dyDescent="0.25">
      <c r="A41" s="7">
        <v>1909</v>
      </c>
      <c r="B41" s="8">
        <v>3275.9793893129772</v>
      </c>
      <c r="C41" s="8">
        <v>3970.9208344477138</v>
      </c>
      <c r="D41" s="8">
        <v>776.22506205755258</v>
      </c>
      <c r="E41" s="8">
        <v>3849.5975975975975</v>
      </c>
      <c r="F41" s="8">
        <v>3642.5166959578205</v>
      </c>
      <c r="G41" s="8">
        <v>1884.3032080027597</v>
      </c>
      <c r="H41" s="8">
        <v>3166.8147850835576</v>
      </c>
      <c r="I41" s="8">
        <v>3274.7056965085912</v>
      </c>
      <c r="J41" s="8">
        <v>2443.7001958676365</v>
      </c>
      <c r="K41" s="8">
        <v>1300.5424911498087</v>
      </c>
      <c r="L41" s="8">
        <v>3660.3548277038553</v>
      </c>
      <c r="M41" s="8">
        <v>4770.4541015625</v>
      </c>
      <c r="N41" s="8">
        <v>2114.7121959356568</v>
      </c>
      <c r="O41" s="8">
        <v>1208.0905039424065</v>
      </c>
      <c r="P41" s="8">
        <v>1977.485928705441</v>
      </c>
      <c r="Q41" s="8">
        <v>1152.8898582333698</v>
      </c>
      <c r="R41" s="8">
        <v>2617.0915092609571</v>
      </c>
      <c r="S41" s="8">
        <v>4239.5014901110808</v>
      </c>
      <c r="T41" s="8">
        <v>4510.5231805929925</v>
      </c>
      <c r="U41" s="8">
        <v>5017.4959876713074</v>
      </c>
      <c r="V41" s="8">
        <v>2956.6854990583806</v>
      </c>
      <c r="W41" s="7"/>
      <c r="X41" s="35">
        <f t="shared" si="1"/>
        <v>8.094372153534664</v>
      </c>
      <c r="Y41" s="35">
        <f t="shared" si="2"/>
        <v>8.2867532950090119</v>
      </c>
      <c r="Z41" s="35">
        <f t="shared" si="3"/>
        <v>6.6544425065577864</v>
      </c>
      <c r="AA41" s="35">
        <f t="shared" si="4"/>
        <v>8.2557239017147026</v>
      </c>
      <c r="AB41" s="35">
        <f t="shared" si="5"/>
        <v>8.2004301217123405</v>
      </c>
      <c r="AC41" s="35">
        <f t="shared" si="6"/>
        <v>7.5413133806174484</v>
      </c>
      <c r="AD41" s="35">
        <f t="shared" si="7"/>
        <v>8.0604815620635542</v>
      </c>
      <c r="AE41" s="35">
        <f t="shared" si="8"/>
        <v>8.0939832803698728</v>
      </c>
      <c r="AF41" s="35">
        <f t="shared" si="9"/>
        <v>7.8012686433183802</v>
      </c>
      <c r="AG41" s="35">
        <f t="shared" si="10"/>
        <v>7.1705367572882972</v>
      </c>
      <c r="AH41" s="35">
        <f t="shared" si="11"/>
        <v>8.2053153691563807</v>
      </c>
      <c r="AI41" s="35">
        <f t="shared" si="12"/>
        <v>8.4701967788401973</v>
      </c>
      <c r="AJ41" s="35">
        <f t="shared" si="13"/>
        <v>7.6566740046491919</v>
      </c>
      <c r="AK41" s="35">
        <f t="shared" si="14"/>
        <v>7.0967962961704858</v>
      </c>
      <c r="AL41" s="35">
        <f t="shared" si="15"/>
        <v>7.5895815839176004</v>
      </c>
      <c r="AM41" s="35">
        <f t="shared" si="16"/>
        <v>7.0500269894558061</v>
      </c>
      <c r="AN41" s="35">
        <f t="shared" si="17"/>
        <v>7.8698188691564663</v>
      </c>
      <c r="AO41" s="35">
        <f t="shared" si="18"/>
        <v>8.3522009682267377</v>
      </c>
      <c r="AP41" s="35">
        <f t="shared" si="19"/>
        <v>8.4141684303347883</v>
      </c>
      <c r="AQ41" s="35">
        <f t="shared" si="20"/>
        <v>8.52068628100327</v>
      </c>
      <c r="AR41" s="35">
        <f t="shared" si="21"/>
        <v>7.9918241560825516</v>
      </c>
      <c r="AS41" s="38"/>
      <c r="AT41" s="38">
        <f t="shared" si="23"/>
        <v>-1.3246557223721922E-2</v>
      </c>
      <c r="AU41" s="38">
        <f t="shared" si="24"/>
        <v>9.6921394264537497E-3</v>
      </c>
      <c r="AV41" s="38">
        <f t="shared" si="25"/>
        <v>5.5767340989636871E-2</v>
      </c>
      <c r="AW41" s="38">
        <f t="shared" si="26"/>
        <v>7.4825865872606201E-2</v>
      </c>
      <c r="AX41" s="38">
        <f t="shared" si="27"/>
        <v>2.5135754599222793E-2</v>
      </c>
      <c r="AY41" s="38">
        <f t="shared" si="28"/>
        <v>2.9822749212145894E-2</v>
      </c>
      <c r="AZ41" s="38">
        <f t="shared" si="29"/>
        <v>3.9242064051199677E-2</v>
      </c>
      <c r="BA41" s="38">
        <f t="shared" si="30"/>
        <v>6.2473178057729228E-3</v>
      </c>
      <c r="BB41" s="38">
        <f t="shared" si="31"/>
        <v>6.5684577378600117E-2</v>
      </c>
      <c r="BC41" s="38">
        <f t="shared" si="32"/>
        <v>-1.3666949107007831E-2</v>
      </c>
      <c r="BD41" s="38">
        <f t="shared" si="33"/>
        <v>2.3157493545427954E-2</v>
      </c>
      <c r="BE41" s="38">
        <f t="shared" si="34"/>
        <v>-1.3421562824524003E-2</v>
      </c>
      <c r="BF41" s="38">
        <f t="shared" si="35"/>
        <v>1.2693096557226724E-2</v>
      </c>
      <c r="BG41" s="38">
        <f t="shared" si="36"/>
        <v>-9.1747624908116165E-3</v>
      </c>
      <c r="BH41" s="38">
        <f t="shared" si="37"/>
        <v>1.0331303775962475E-2</v>
      </c>
      <c r="BI41" s="38">
        <f t="shared" si="38"/>
        <v>-5.7594155971194994E-2</v>
      </c>
      <c r="BJ41" s="38">
        <f t="shared" si="39"/>
        <v>-1.853469309807565E-3</v>
      </c>
      <c r="BK41" s="38">
        <f t="shared" si="40"/>
        <v>3.8803112460682243E-2</v>
      </c>
      <c r="BL41" s="38">
        <f t="shared" si="41"/>
        <v>1.3690725217768929E-2</v>
      </c>
      <c r="BM41" s="38">
        <f t="shared" si="42"/>
        <v>9.5473306990117024E-2</v>
      </c>
      <c r="BN41" s="38">
        <f t="shared" si="43"/>
        <v>-5.5545869992617014E-3</v>
      </c>
      <c r="BO41" s="7"/>
      <c r="BX41" s="7"/>
      <c r="CN41" s="7"/>
      <c r="CO41" s="8"/>
      <c r="CP41" s="7"/>
      <c r="DG41" s="7"/>
      <c r="DO41" s="7"/>
      <c r="EE41" s="7"/>
      <c r="EF41" s="7"/>
      <c r="GH41" s="7"/>
      <c r="GJ41" s="9"/>
    </row>
    <row r="42" spans="1:192" x14ac:dyDescent="0.25">
      <c r="A42" s="7">
        <v>1910</v>
      </c>
      <c r="B42" s="8">
        <v>3290.3731478681584</v>
      </c>
      <c r="C42" s="8">
        <v>4063.8668978394239</v>
      </c>
      <c r="D42" s="8">
        <v>768.72524306805906</v>
      </c>
      <c r="E42" s="8">
        <v>4065.7612687813021</v>
      </c>
      <c r="F42" s="8">
        <v>3705.0832755031229</v>
      </c>
      <c r="G42" s="8">
        <v>1906.4479344486176</v>
      </c>
      <c r="H42" s="8">
        <v>2965.207015330875</v>
      </c>
      <c r="I42" s="8">
        <v>3347.6477959417348</v>
      </c>
      <c r="J42" s="8">
        <v>2331.9758661687583</v>
      </c>
      <c r="K42" s="8">
        <v>1303.7552607132759</v>
      </c>
      <c r="L42" s="8">
        <v>3788.9226612630869</v>
      </c>
      <c r="M42" s="8">
        <v>5316.3071770334927</v>
      </c>
      <c r="N42" s="8">
        <v>2185.9659711598574</v>
      </c>
      <c r="O42" s="8">
        <v>1227.906186267845</v>
      </c>
      <c r="P42" s="8">
        <v>1895.1052472555141</v>
      </c>
      <c r="Q42" s="8">
        <v>1208.011996572408</v>
      </c>
      <c r="R42" s="8">
        <v>2775.9592653209675</v>
      </c>
      <c r="S42" s="8">
        <v>4331.1914323962519</v>
      </c>
      <c r="T42" s="8">
        <v>4610.7800338409479</v>
      </c>
      <c r="U42" s="8">
        <v>4963.7357034290217</v>
      </c>
      <c r="V42" s="8">
        <v>3135.9851988899168</v>
      </c>
      <c r="W42" s="7"/>
      <c r="X42" s="35">
        <f t="shared" si="1"/>
        <v>8.0987562561329032</v>
      </c>
      <c r="Y42" s="35">
        <f t="shared" si="2"/>
        <v>8.3098902372060852</v>
      </c>
      <c r="Z42" s="35">
        <f t="shared" si="3"/>
        <v>6.6447336144630533</v>
      </c>
      <c r="AA42" s="35">
        <f t="shared" si="4"/>
        <v>8.3103562784412652</v>
      </c>
      <c r="AB42" s="35">
        <f t="shared" si="5"/>
        <v>8.2174610139966564</v>
      </c>
      <c r="AC42" s="35">
        <f t="shared" si="6"/>
        <v>7.5529970694301456</v>
      </c>
      <c r="AD42" s="35">
        <f t="shared" si="7"/>
        <v>7.9947021286676909</v>
      </c>
      <c r="AE42" s="35">
        <f t="shared" si="8"/>
        <v>8.1160132277308694</v>
      </c>
      <c r="AF42" s="35">
        <f t="shared" si="9"/>
        <v>7.7544711984325945</v>
      </c>
      <c r="AG42" s="35">
        <f t="shared" si="10"/>
        <v>7.1730040413697571</v>
      </c>
      <c r="AH42" s="35">
        <f t="shared" si="11"/>
        <v>8.2398369994255098</v>
      </c>
      <c r="AI42" s="35">
        <f t="shared" si="12"/>
        <v>8.5785342016538575</v>
      </c>
      <c r="AJ42" s="35">
        <f t="shared" si="13"/>
        <v>7.6898131018997944</v>
      </c>
      <c r="AK42" s="35">
        <f t="shared" si="14"/>
        <v>7.1130657102414414</v>
      </c>
      <c r="AL42" s="35">
        <f t="shared" si="15"/>
        <v>7.5470296554230885</v>
      </c>
      <c r="AM42" s="35">
        <f t="shared" si="16"/>
        <v>7.0967313093828723</v>
      </c>
      <c r="AN42" s="35">
        <f t="shared" si="17"/>
        <v>7.9287516476433009</v>
      </c>
      <c r="AO42" s="35">
        <f t="shared" si="18"/>
        <v>8.3735979407449133</v>
      </c>
      <c r="AP42" s="35">
        <f t="shared" si="19"/>
        <v>8.4361523264149199</v>
      </c>
      <c r="AQ42" s="35">
        <f t="shared" si="20"/>
        <v>8.5099139022456995</v>
      </c>
      <c r="AR42" s="35">
        <f t="shared" si="21"/>
        <v>8.0506986617174245</v>
      </c>
      <c r="AS42" s="38"/>
      <c r="AT42" s="38">
        <f t="shared" si="23"/>
        <v>4.3841025982391812E-3</v>
      </c>
      <c r="AU42" s="38">
        <f t="shared" si="24"/>
        <v>2.3136942197073296E-2</v>
      </c>
      <c r="AV42" s="38">
        <f t="shared" si="25"/>
        <v>-9.7088920947330237E-3</v>
      </c>
      <c r="AW42" s="38">
        <f t="shared" si="26"/>
        <v>5.4632376726562626E-2</v>
      </c>
      <c r="AX42" s="38">
        <f t="shared" si="27"/>
        <v>1.7030892284315868E-2</v>
      </c>
      <c r="AY42" s="38">
        <f t="shared" si="28"/>
        <v>1.1683688812697213E-2</v>
      </c>
      <c r="AZ42" s="38">
        <f t="shared" si="29"/>
        <v>-6.5779433395863229E-2</v>
      </c>
      <c r="BA42" s="38">
        <f t="shared" si="30"/>
        <v>2.2029947360996616E-2</v>
      </c>
      <c r="BB42" s="38">
        <f t="shared" si="31"/>
        <v>-4.6797444885785744E-2</v>
      </c>
      <c r="BC42" s="38">
        <f t="shared" si="32"/>
        <v>2.4672840814599084E-3</v>
      </c>
      <c r="BD42" s="38">
        <f t="shared" si="33"/>
        <v>3.4521630269129133E-2</v>
      </c>
      <c r="BE42" s="38">
        <f t="shared" si="34"/>
        <v>0.10833742281366021</v>
      </c>
      <c r="BF42" s="38">
        <f t="shared" si="35"/>
        <v>3.3139097250602489E-2</v>
      </c>
      <c r="BG42" s="38">
        <f t="shared" si="36"/>
        <v>1.6269414070955612E-2</v>
      </c>
      <c r="BH42" s="38">
        <f t="shared" si="37"/>
        <v>-4.2551928494511948E-2</v>
      </c>
      <c r="BI42" s="38">
        <f t="shared" si="38"/>
        <v>4.6704319927066251E-2</v>
      </c>
      <c r="BJ42" s="38">
        <f t="shared" si="39"/>
        <v>5.8932778486834536E-2</v>
      </c>
      <c r="BK42" s="38">
        <f t="shared" si="40"/>
        <v>2.1396972518175517E-2</v>
      </c>
      <c r="BL42" s="38">
        <f t="shared" si="41"/>
        <v>2.1983896080131515E-2</v>
      </c>
      <c r="BM42" s="38">
        <f t="shared" si="42"/>
        <v>-1.0772378757570422E-2</v>
      </c>
      <c r="BN42" s="38">
        <f t="shared" si="43"/>
        <v>5.8874505634872953E-2</v>
      </c>
      <c r="BO42" s="7"/>
      <c r="BX42" s="7"/>
      <c r="CN42" s="7"/>
      <c r="CO42" s="8"/>
      <c r="CP42" s="7"/>
      <c r="DG42" s="7"/>
      <c r="DO42" s="7"/>
      <c r="EE42" s="7"/>
      <c r="EF42" s="7"/>
      <c r="GH42" s="7"/>
      <c r="GJ42" s="9"/>
    </row>
    <row r="43" spans="1:192" x14ac:dyDescent="0.25">
      <c r="A43" s="7">
        <v>1911</v>
      </c>
      <c r="B43" s="8">
        <v>3365.2132253711206</v>
      </c>
      <c r="C43" s="8">
        <v>4148.2649993348405</v>
      </c>
      <c r="D43" s="8">
        <v>835.67681932384187</v>
      </c>
      <c r="E43" s="8">
        <v>4212.5376518218627</v>
      </c>
      <c r="F43" s="8">
        <v>3856.6609530339388</v>
      </c>
      <c r="G43" s="8">
        <v>1939.1326806212023</v>
      </c>
      <c r="H43" s="8">
        <v>3249.5770934708407</v>
      </c>
      <c r="I43" s="8">
        <v>3408.4044979013975</v>
      </c>
      <c r="J43" s="8">
        <v>2460.6150194287757</v>
      </c>
      <c r="K43" s="8">
        <v>1355.578014537489</v>
      </c>
      <c r="L43" s="8">
        <v>3887.5334224598932</v>
      </c>
      <c r="M43" s="8">
        <v>5493.8462980318654</v>
      </c>
      <c r="N43" s="8">
        <v>2255.0903953290299</v>
      </c>
      <c r="O43" s="8">
        <v>1241.6175231676496</v>
      </c>
      <c r="P43" s="8">
        <v>2017.2051615484645</v>
      </c>
      <c r="Q43" s="8">
        <v>1160.1849905402564</v>
      </c>
      <c r="R43" s="8">
        <v>2813.9660772284374</v>
      </c>
      <c r="S43" s="8">
        <v>4377.6483050847455</v>
      </c>
      <c r="T43" s="8">
        <v>4708.8999293098886</v>
      </c>
      <c r="U43" s="8">
        <v>5045.6839038988055</v>
      </c>
      <c r="V43" s="8">
        <v>2956.8345323741005</v>
      </c>
      <c r="W43" s="7"/>
      <c r="X43" s="35">
        <f t="shared" si="1"/>
        <v>8.1212466057090875</v>
      </c>
      <c r="Y43" s="35">
        <f t="shared" si="2"/>
        <v>8.3304454533586565</v>
      </c>
      <c r="Z43" s="35">
        <f t="shared" si="3"/>
        <v>6.728241958587315</v>
      </c>
      <c r="AA43" s="35">
        <f t="shared" si="4"/>
        <v>8.3458205127386229</v>
      </c>
      <c r="AB43" s="35">
        <f t="shared" si="5"/>
        <v>8.2575570500234257</v>
      </c>
      <c r="AC43" s="35">
        <f t="shared" si="6"/>
        <v>7.5699960802462201</v>
      </c>
      <c r="AD43" s="35">
        <f t="shared" si="7"/>
        <v>8.0862801417708852</v>
      </c>
      <c r="AE43" s="35">
        <f t="shared" si="8"/>
        <v>8.1339995716047895</v>
      </c>
      <c r="AF43" s="35">
        <f t="shared" si="9"/>
        <v>7.8081666055775178</v>
      </c>
      <c r="AG43" s="35">
        <f t="shared" si="10"/>
        <v>7.2119832213493051</v>
      </c>
      <c r="AH43" s="35">
        <f t="shared" si="11"/>
        <v>8.2655301538678678</v>
      </c>
      <c r="AI43" s="35">
        <f t="shared" si="12"/>
        <v>8.6113838899318509</v>
      </c>
      <c r="AJ43" s="35">
        <f t="shared" si="13"/>
        <v>7.7209453377537436</v>
      </c>
      <c r="AK43" s="35">
        <f t="shared" si="14"/>
        <v>7.124170262705368</v>
      </c>
      <c r="AL43" s="35">
        <f t="shared" si="15"/>
        <v>7.6094682489681169</v>
      </c>
      <c r="AM43" s="35">
        <f t="shared" si="16"/>
        <v>7.0563347459893571</v>
      </c>
      <c r="AN43" s="35">
        <f t="shared" si="17"/>
        <v>7.9423501826011167</v>
      </c>
      <c r="AO43" s="35">
        <f t="shared" si="18"/>
        <v>8.3842669425318164</v>
      </c>
      <c r="AP43" s="35">
        <f t="shared" si="19"/>
        <v>8.4572095990748508</v>
      </c>
      <c r="AQ43" s="35">
        <f t="shared" si="20"/>
        <v>8.526288484333346</v>
      </c>
      <c r="AR43" s="35">
        <f t="shared" si="21"/>
        <v>7.9918745603476795</v>
      </c>
      <c r="AS43" s="38"/>
      <c r="AT43" s="38">
        <f t="shared" si="23"/>
        <v>2.2490349576184343E-2</v>
      </c>
      <c r="AU43" s="38">
        <f t="shared" si="24"/>
        <v>2.0555216152571276E-2</v>
      </c>
      <c r="AV43" s="38">
        <f t="shared" si="25"/>
        <v>8.3508344124261669E-2</v>
      </c>
      <c r="AW43" s="38">
        <f t="shared" si="26"/>
        <v>3.5464234297357677E-2</v>
      </c>
      <c r="AX43" s="38">
        <f t="shared" si="27"/>
        <v>4.0096036026769255E-2</v>
      </c>
      <c r="AY43" s="38">
        <f t="shared" si="28"/>
        <v>1.6999010816074467E-2</v>
      </c>
      <c r="AZ43" s="38">
        <f t="shared" si="29"/>
        <v>9.1578013103194245E-2</v>
      </c>
      <c r="BA43" s="38">
        <f t="shared" si="30"/>
        <v>1.7986343873920063E-2</v>
      </c>
      <c r="BB43" s="38">
        <f t="shared" si="31"/>
        <v>5.3695407144923379E-2</v>
      </c>
      <c r="BC43" s="38">
        <f t="shared" si="32"/>
        <v>3.8979179979548029E-2</v>
      </c>
      <c r="BD43" s="38">
        <f t="shared" si="33"/>
        <v>2.5693154442357979E-2</v>
      </c>
      <c r="BE43" s="38">
        <f t="shared" si="34"/>
        <v>3.2849688277993394E-2</v>
      </c>
      <c r="BF43" s="38">
        <f t="shared" si="35"/>
        <v>3.1132235853949197E-2</v>
      </c>
      <c r="BG43" s="38">
        <f t="shared" si="36"/>
        <v>1.1104552463926609E-2</v>
      </c>
      <c r="BH43" s="38">
        <f t="shared" si="37"/>
        <v>6.2438593545028453E-2</v>
      </c>
      <c r="BI43" s="38">
        <f t="shared" si="38"/>
        <v>-4.0396563393515272E-2</v>
      </c>
      <c r="BJ43" s="38">
        <f t="shared" si="39"/>
        <v>1.3598534957815822E-2</v>
      </c>
      <c r="BK43" s="38">
        <f t="shared" si="40"/>
        <v>1.066900178690311E-2</v>
      </c>
      <c r="BL43" s="38">
        <f t="shared" si="41"/>
        <v>2.1057272659930959E-2</v>
      </c>
      <c r="BM43" s="38">
        <f t="shared" si="42"/>
        <v>1.6374582087646417E-2</v>
      </c>
      <c r="BN43" s="38">
        <f t="shared" si="43"/>
        <v>-5.882410136974503E-2</v>
      </c>
      <c r="BO43" s="7"/>
      <c r="BX43" s="7"/>
      <c r="CN43" s="7"/>
      <c r="CO43" s="8"/>
      <c r="CP43" s="7"/>
      <c r="DG43" s="7"/>
      <c r="DO43" s="7"/>
      <c r="EE43" s="7"/>
      <c r="EF43" s="7"/>
      <c r="GH43" s="7"/>
      <c r="GJ43" s="9"/>
    </row>
    <row r="44" spans="1:192" x14ac:dyDescent="0.25">
      <c r="A44" s="7">
        <v>1912</v>
      </c>
      <c r="B44" s="8">
        <v>3505.0944378346226</v>
      </c>
      <c r="C44" s="8">
        <v>4206.3885375494074</v>
      </c>
      <c r="D44" s="8">
        <v>809.17645027624303</v>
      </c>
      <c r="E44" s="8">
        <v>4377.130755064456</v>
      </c>
      <c r="F44" s="8">
        <v>3812.226363944425</v>
      </c>
      <c r="G44" s="8">
        <v>2022.4019346230823</v>
      </c>
      <c r="H44" s="8">
        <v>3514.4934355279374</v>
      </c>
      <c r="I44" s="8">
        <v>3523.6936872643782</v>
      </c>
      <c r="J44" s="8">
        <v>2464.9738593964012</v>
      </c>
      <c r="K44" s="8">
        <v>1384.082605366993</v>
      </c>
      <c r="L44" s="8">
        <v>3954.8450889914302</v>
      </c>
      <c r="M44" s="8">
        <v>5209.2527472527472</v>
      </c>
      <c r="N44" s="8">
        <v>2344.4584140119273</v>
      </c>
      <c r="O44" s="8">
        <v>1256.5392354124749</v>
      </c>
      <c r="P44" s="8">
        <v>1988.6724960254371</v>
      </c>
      <c r="Q44" s="8">
        <v>1156.5635451505016</v>
      </c>
      <c r="R44" s="8">
        <v>2900.0537345513162</v>
      </c>
      <c r="S44" s="8">
        <v>4373.1343283582091</v>
      </c>
      <c r="T44" s="8">
        <v>4761.7473253203007</v>
      </c>
      <c r="U44" s="8">
        <v>5200.6984734020871</v>
      </c>
      <c r="V44" s="8">
        <v>3507.867132867133</v>
      </c>
      <c r="W44" s="7"/>
      <c r="X44" s="35">
        <f t="shared" si="1"/>
        <v>8.1619727428531093</v>
      </c>
      <c r="Y44" s="35">
        <f t="shared" si="2"/>
        <v>8.3443597289693852</v>
      </c>
      <c r="Z44" s="35">
        <f t="shared" si="3"/>
        <v>6.6960170023938854</v>
      </c>
      <c r="AA44" s="35">
        <f t="shared" si="4"/>
        <v>8.3841487099602485</v>
      </c>
      <c r="AB44" s="35">
        <f t="shared" si="5"/>
        <v>8.2459686449482081</v>
      </c>
      <c r="AC44" s="35">
        <f t="shared" si="6"/>
        <v>7.6120411605497287</v>
      </c>
      <c r="AD44" s="35">
        <f t="shared" si="7"/>
        <v>8.1646506787889024</v>
      </c>
      <c r="AE44" s="35">
        <f t="shared" si="8"/>
        <v>8.1672650613894877</v>
      </c>
      <c r="AF44" s="35">
        <f t="shared" si="9"/>
        <v>7.8099364817132182</v>
      </c>
      <c r="AG44" s="35">
        <f t="shared" si="10"/>
        <v>7.2327928203552885</v>
      </c>
      <c r="AH44" s="35">
        <f t="shared" si="11"/>
        <v>8.2826967110380476</v>
      </c>
      <c r="AI44" s="35">
        <f t="shared" si="12"/>
        <v>8.55819169782988</v>
      </c>
      <c r="AJ44" s="35">
        <f t="shared" si="13"/>
        <v>7.7598097006934728</v>
      </c>
      <c r="AK44" s="35">
        <f t="shared" si="14"/>
        <v>7.136116582451141</v>
      </c>
      <c r="AL44" s="35">
        <f t="shared" si="15"/>
        <v>7.5952226076923166</v>
      </c>
      <c r="AM44" s="35">
        <f t="shared" si="16"/>
        <v>7.0532084262497792</v>
      </c>
      <c r="AN44" s="35">
        <f t="shared" si="17"/>
        <v>7.9724845449585287</v>
      </c>
      <c r="AO44" s="35">
        <f t="shared" si="18"/>
        <v>8.3832352686082388</v>
      </c>
      <c r="AP44" s="35">
        <f t="shared" si="19"/>
        <v>8.4683699650175193</v>
      </c>
      <c r="AQ44" s="35">
        <f t="shared" si="20"/>
        <v>8.5565482173572462</v>
      </c>
      <c r="AR44" s="35">
        <f t="shared" si="21"/>
        <v>8.1627634773093103</v>
      </c>
      <c r="AS44" s="38"/>
      <c r="AT44" s="38">
        <f t="shared" si="23"/>
        <v>4.0726137144021735E-2</v>
      </c>
      <c r="AU44" s="38">
        <f t="shared" si="24"/>
        <v>1.3914275610728666E-2</v>
      </c>
      <c r="AV44" s="38">
        <f t="shared" si="25"/>
        <v>-3.2224956193429577E-2</v>
      </c>
      <c r="AW44" s="38">
        <f t="shared" si="26"/>
        <v>3.8328197221625615E-2</v>
      </c>
      <c r="AX44" s="38">
        <f t="shared" si="27"/>
        <v>-1.1588405075217523E-2</v>
      </c>
      <c r="AY44" s="38">
        <f t="shared" si="28"/>
        <v>4.204508030350862E-2</v>
      </c>
      <c r="AZ44" s="38">
        <f t="shared" si="29"/>
        <v>7.8370537018017217E-2</v>
      </c>
      <c r="BA44" s="38">
        <f t="shared" si="30"/>
        <v>3.3265489784698232E-2</v>
      </c>
      <c r="BB44" s="38">
        <f t="shared" si="31"/>
        <v>1.7698761357003434E-3</v>
      </c>
      <c r="BC44" s="38">
        <f t="shared" si="32"/>
        <v>2.0809599005983337E-2</v>
      </c>
      <c r="BD44" s="38">
        <f t="shared" si="33"/>
        <v>1.7166557170179786E-2</v>
      </c>
      <c r="BE44" s="38">
        <f t="shared" si="34"/>
        <v>-5.3192192101970903E-2</v>
      </c>
      <c r="BF44" s="38">
        <f t="shared" si="35"/>
        <v>3.8864362939729169E-2</v>
      </c>
      <c r="BG44" s="38">
        <f t="shared" si="36"/>
        <v>1.1946319745772982E-2</v>
      </c>
      <c r="BH44" s="38">
        <f t="shared" si="37"/>
        <v>-1.4245641275800303E-2</v>
      </c>
      <c r="BI44" s="38">
        <f t="shared" si="38"/>
        <v>-3.1263197395778874E-3</v>
      </c>
      <c r="BJ44" s="38">
        <f t="shared" si="39"/>
        <v>3.0134362357411959E-2</v>
      </c>
      <c r="BK44" s="38">
        <f t="shared" si="40"/>
        <v>-1.031673923577614E-3</v>
      </c>
      <c r="BL44" s="38">
        <f t="shared" si="41"/>
        <v>1.1160365942668449E-2</v>
      </c>
      <c r="BM44" s="38">
        <f t="shared" si="42"/>
        <v>3.0259733023900282E-2</v>
      </c>
      <c r="BN44" s="38">
        <f t="shared" si="43"/>
        <v>0.17088891696163078</v>
      </c>
      <c r="BO44" s="7"/>
      <c r="BX44" s="7"/>
      <c r="CN44" s="7"/>
      <c r="CO44" s="8"/>
      <c r="CP44" s="7"/>
      <c r="DG44" s="7"/>
      <c r="DO44" s="7"/>
      <c r="EE44" s="7"/>
      <c r="EF44" s="7"/>
      <c r="GH44" s="7"/>
      <c r="GJ44" s="9"/>
    </row>
    <row r="45" spans="1:192" x14ac:dyDescent="0.25">
      <c r="A45" s="7">
        <v>1913</v>
      </c>
      <c r="B45" s="8">
        <v>3465.4943106250926</v>
      </c>
      <c r="C45" s="8">
        <v>4219.5408296373598</v>
      </c>
      <c r="D45" s="8">
        <v>810.98901098901104</v>
      </c>
      <c r="E45" s="8">
        <v>4446.7651553744272</v>
      </c>
      <c r="F45" s="8">
        <v>3912.168957425411</v>
      </c>
      <c r="G45" s="8">
        <v>2110.6706309877763</v>
      </c>
      <c r="H45" s="8">
        <v>3484.7695535778889</v>
      </c>
      <c r="I45" s="8">
        <v>3648.006394294322</v>
      </c>
      <c r="J45" s="8">
        <v>2563.5470360824743</v>
      </c>
      <c r="K45" s="8">
        <v>1386.6891159622232</v>
      </c>
      <c r="L45" s="8">
        <v>4048.5074626865671</v>
      </c>
      <c r="M45" s="8">
        <v>5152.4064171122991</v>
      </c>
      <c r="N45" s="8">
        <v>2447.0649770419286</v>
      </c>
      <c r="O45" s="8">
        <v>1250.3348961821837</v>
      </c>
      <c r="P45" s="8">
        <v>2055.6186152099885</v>
      </c>
      <c r="Q45" s="8">
        <v>1234.2548326751196</v>
      </c>
      <c r="R45" s="8">
        <v>3072.9407578722644</v>
      </c>
      <c r="S45" s="8">
        <v>4265.7867494824022</v>
      </c>
      <c r="T45" s="8">
        <v>4920.5459046200358</v>
      </c>
      <c r="U45" s="8">
        <v>5300.7294633526626</v>
      </c>
      <c r="V45" s="8">
        <v>3310.1104502973662</v>
      </c>
      <c r="W45" s="7"/>
      <c r="X45" s="35">
        <f t="shared" si="1"/>
        <v>8.150610559638352</v>
      </c>
      <c r="Y45" s="35">
        <f t="shared" si="2"/>
        <v>8.3474815929672168</v>
      </c>
      <c r="Z45" s="35">
        <f t="shared" si="3"/>
        <v>6.6982545040717136</v>
      </c>
      <c r="AA45" s="35">
        <f t="shared" si="4"/>
        <v>8.3999321794410253</v>
      </c>
      <c r="AB45" s="35">
        <f t="shared" si="5"/>
        <v>8.2718472197479898</v>
      </c>
      <c r="AC45" s="35">
        <f t="shared" si="6"/>
        <v>7.6547610105627619</v>
      </c>
      <c r="AD45" s="35">
        <f t="shared" si="7"/>
        <v>8.156157195779528</v>
      </c>
      <c r="AE45" s="35">
        <f t="shared" si="8"/>
        <v>8.2019361040145942</v>
      </c>
      <c r="AF45" s="35">
        <f t="shared" si="9"/>
        <v>7.8491471394394612</v>
      </c>
      <c r="AG45" s="35">
        <f t="shared" si="10"/>
        <v>7.2346742538519866</v>
      </c>
      <c r="AH45" s="35">
        <f t="shared" si="11"/>
        <v>8.3061035644458396</v>
      </c>
      <c r="AI45" s="35">
        <f t="shared" si="12"/>
        <v>8.5472191499819719</v>
      </c>
      <c r="AJ45" s="35">
        <f t="shared" si="13"/>
        <v>7.8026446168465338</v>
      </c>
      <c r="AK45" s="35">
        <f t="shared" si="14"/>
        <v>7.131166711358758</v>
      </c>
      <c r="AL45" s="35">
        <f t="shared" si="15"/>
        <v>7.6283321109293709</v>
      </c>
      <c r="AM45" s="35">
        <f t="shared" si="16"/>
        <v>7.1182226926063885</v>
      </c>
      <c r="AN45" s="35">
        <f t="shared" si="17"/>
        <v>8.0303902836733467</v>
      </c>
      <c r="AO45" s="35">
        <f t="shared" si="18"/>
        <v>8.3583819093810838</v>
      </c>
      <c r="AP45" s="35">
        <f t="shared" si="19"/>
        <v>8.5011747595547522</v>
      </c>
      <c r="AQ45" s="35">
        <f t="shared" si="20"/>
        <v>8.5755997246642828</v>
      </c>
      <c r="AR45" s="35">
        <f t="shared" si="21"/>
        <v>8.1047368364842853</v>
      </c>
      <c r="AS45" s="38"/>
      <c r="AT45" s="38">
        <f t="shared" si="23"/>
        <v>-1.1362183214757238E-2</v>
      </c>
      <c r="AU45" s="38">
        <f t="shared" si="24"/>
        <v>3.1218639978316531E-3</v>
      </c>
      <c r="AV45" s="38">
        <f t="shared" si="25"/>
        <v>2.2375016778282131E-3</v>
      </c>
      <c r="AW45" s="38">
        <f t="shared" si="26"/>
        <v>1.5783469480776802E-2</v>
      </c>
      <c r="AX45" s="38">
        <f t="shared" si="27"/>
        <v>2.5878574799781617E-2</v>
      </c>
      <c r="AY45" s="38">
        <f t="shared" si="28"/>
        <v>4.2719850013033245E-2</v>
      </c>
      <c r="AZ45" s="38">
        <f t="shared" si="29"/>
        <v>-8.4934830093743585E-3</v>
      </c>
      <c r="BA45" s="38">
        <f t="shared" si="30"/>
        <v>3.4671042625106452E-2</v>
      </c>
      <c r="BB45" s="38">
        <f t="shared" si="31"/>
        <v>3.9210657726242992E-2</v>
      </c>
      <c r="BC45" s="38">
        <f t="shared" si="32"/>
        <v>1.881433496698115E-3</v>
      </c>
      <c r="BD45" s="38">
        <f t="shared" si="33"/>
        <v>2.3406853407792028E-2</v>
      </c>
      <c r="BE45" s="38">
        <f t="shared" si="34"/>
        <v>-1.0972547847908132E-2</v>
      </c>
      <c r="BF45" s="38">
        <f t="shared" si="35"/>
        <v>4.2834916153061009E-2</v>
      </c>
      <c r="BG45" s="38">
        <f t="shared" si="36"/>
        <v>-4.9498710923829847E-3</v>
      </c>
      <c r="BH45" s="38">
        <f t="shared" si="37"/>
        <v>3.3109503237054305E-2</v>
      </c>
      <c r="BI45" s="38">
        <f t="shared" si="38"/>
        <v>6.501426635660934E-2</v>
      </c>
      <c r="BJ45" s="38">
        <f t="shared" si="39"/>
        <v>5.7905738714818078E-2</v>
      </c>
      <c r="BK45" s="38">
        <f t="shared" si="40"/>
        <v>-2.4853359227154925E-2</v>
      </c>
      <c r="BL45" s="38">
        <f t="shared" si="41"/>
        <v>3.2804794537232951E-2</v>
      </c>
      <c r="BM45" s="38">
        <f t="shared" si="42"/>
        <v>1.905150730703653E-2</v>
      </c>
      <c r="BN45" s="38">
        <f t="shared" si="43"/>
        <v>-5.8026640825024955E-2</v>
      </c>
      <c r="BO45" s="7"/>
      <c r="BX45" s="7"/>
      <c r="CN45" s="7"/>
      <c r="CO45" s="8"/>
      <c r="CP45" s="7"/>
      <c r="DG45" s="7"/>
      <c r="DO45" s="7"/>
      <c r="EE45" s="7"/>
      <c r="EF45" s="7"/>
      <c r="GH45" s="7"/>
      <c r="GJ45" s="9"/>
    </row>
    <row r="46" spans="1:192" x14ac:dyDescent="0.25">
      <c r="A46" s="7">
        <v>1914</v>
      </c>
      <c r="B46" s="8">
        <v>2875.6295285672309</v>
      </c>
      <c r="C46" s="8">
        <v>3923.3325132720447</v>
      </c>
      <c r="D46" s="8">
        <v>779.93460535573854</v>
      </c>
      <c r="E46" s="8">
        <v>4025.284566909675</v>
      </c>
      <c r="F46" s="8">
        <v>4110.4075546719687</v>
      </c>
      <c r="G46" s="8">
        <v>2000.6170979364556</v>
      </c>
      <c r="H46" s="8">
        <v>3236.3362185360215</v>
      </c>
      <c r="I46" s="8">
        <v>3059.2904865649971</v>
      </c>
      <c r="J46" s="8">
        <v>2542.5725515532522</v>
      </c>
      <c r="K46" s="8">
        <v>1326.502213909459</v>
      </c>
      <c r="L46" s="8">
        <v>3868.283415644416</v>
      </c>
      <c r="M46" s="8">
        <v>5189.2440944881882</v>
      </c>
      <c r="N46" s="8">
        <v>2472.2794637567554</v>
      </c>
      <c r="O46" s="8">
        <v>1257.5250836120401</v>
      </c>
      <c r="P46" s="8">
        <v>2013.677811550152</v>
      </c>
      <c r="Q46" s="8">
        <v>1209.7974369574206</v>
      </c>
      <c r="R46" s="8">
        <v>3100.0176709666021</v>
      </c>
      <c r="S46" s="8">
        <v>4233.1244780367188</v>
      </c>
      <c r="T46" s="8">
        <v>4926.5821190471015</v>
      </c>
      <c r="U46" s="8">
        <v>4799.2011356213252</v>
      </c>
      <c r="V46" s="8">
        <v>2654.1291905151265</v>
      </c>
      <c r="W46" s="7"/>
      <c r="X46" s="35">
        <f t="shared" si="1"/>
        <v>7.9640268957199618</v>
      </c>
      <c r="Y46" s="35">
        <f t="shared" si="2"/>
        <v>8.2746967025646221</v>
      </c>
      <c r="Z46" s="35">
        <f t="shared" si="3"/>
        <v>6.6592100768814131</v>
      </c>
      <c r="AA46" s="35">
        <f t="shared" si="4"/>
        <v>8.3003508872068821</v>
      </c>
      <c r="AB46" s="35">
        <f t="shared" si="5"/>
        <v>8.3212774642947558</v>
      </c>
      <c r="AC46" s="35">
        <f t="shared" si="6"/>
        <v>7.6012109609188663</v>
      </c>
      <c r="AD46" s="35">
        <f t="shared" si="7"/>
        <v>8.0821971722051984</v>
      </c>
      <c r="AE46" s="35">
        <f t="shared" si="8"/>
        <v>8.0259383009254641</v>
      </c>
      <c r="AF46" s="35">
        <f t="shared" si="9"/>
        <v>7.8409316630330883</v>
      </c>
      <c r="AG46" s="35">
        <f t="shared" si="10"/>
        <v>7.1903008425620474</v>
      </c>
      <c r="AH46" s="35">
        <f t="shared" si="11"/>
        <v>8.2605661257721827</v>
      </c>
      <c r="AI46" s="35">
        <f t="shared" si="12"/>
        <v>8.5543433190183809</v>
      </c>
      <c r="AJ46" s="35">
        <f t="shared" si="13"/>
        <v>7.8128958638692572</v>
      </c>
      <c r="AK46" s="35">
        <f t="shared" si="14"/>
        <v>7.1369008489813455</v>
      </c>
      <c r="AL46" s="35">
        <f t="shared" si="15"/>
        <v>7.6077180860771421</v>
      </c>
      <c r="AM46" s="35">
        <f t="shared" si="16"/>
        <v>7.0982082171033856</v>
      </c>
      <c r="AN46" s="35">
        <f t="shared" si="17"/>
        <v>8.0391630907687972</v>
      </c>
      <c r="AO46" s="35">
        <f t="shared" si="18"/>
        <v>8.3506956466646791</v>
      </c>
      <c r="AP46" s="35">
        <f t="shared" si="19"/>
        <v>8.5024007444649943</v>
      </c>
      <c r="AQ46" s="35">
        <f t="shared" si="20"/>
        <v>8.4762047529660691</v>
      </c>
      <c r="AR46" s="35">
        <f t="shared" si="21"/>
        <v>7.883871891369501</v>
      </c>
      <c r="AS46" s="38"/>
      <c r="AT46" s="38">
        <f t="shared" si="23"/>
        <v>-0.18658366391839021</v>
      </c>
      <c r="AU46" s="38">
        <f t="shared" si="24"/>
        <v>-7.2784890402594726E-2</v>
      </c>
      <c r="AV46" s="38">
        <f t="shared" si="25"/>
        <v>-3.9044427190300546E-2</v>
      </c>
      <c r="AW46" s="38">
        <f t="shared" si="26"/>
        <v>-9.9581292234143248E-2</v>
      </c>
      <c r="AX46" s="38">
        <f t="shared" si="27"/>
        <v>4.9430244546766033E-2</v>
      </c>
      <c r="AY46" s="38">
        <f t="shared" si="28"/>
        <v>-5.3550049643895647E-2</v>
      </c>
      <c r="AZ46" s="38">
        <f t="shared" si="29"/>
        <v>-7.3960023574329625E-2</v>
      </c>
      <c r="BA46" s="38">
        <f t="shared" si="30"/>
        <v>-0.17599780308913004</v>
      </c>
      <c r="BB46" s="38">
        <f t="shared" si="31"/>
        <v>-8.2154764063728791E-3</v>
      </c>
      <c r="BC46" s="38">
        <f t="shared" si="32"/>
        <v>-4.4373411289939213E-2</v>
      </c>
      <c r="BD46" s="38">
        <f t="shared" si="33"/>
        <v>-4.5537438673656894E-2</v>
      </c>
      <c r="BE46" s="38">
        <f t="shared" si="34"/>
        <v>7.1241690364090005E-3</v>
      </c>
      <c r="BF46" s="38">
        <f t="shared" si="35"/>
        <v>1.0251247022723398E-2</v>
      </c>
      <c r="BG46" s="38">
        <f t="shared" si="36"/>
        <v>5.7341376225874541E-3</v>
      </c>
      <c r="BH46" s="38">
        <f t="shared" si="37"/>
        <v>-2.0614024852228852E-2</v>
      </c>
      <c r="BI46" s="38">
        <f t="shared" si="38"/>
        <v>-2.0014475503002949E-2</v>
      </c>
      <c r="BJ46" s="38">
        <f t="shared" si="39"/>
        <v>8.7728070954504744E-3</v>
      </c>
      <c r="BK46" s="38">
        <f t="shared" si="40"/>
        <v>-7.6862627164047126E-3</v>
      </c>
      <c r="BL46" s="38">
        <f t="shared" si="41"/>
        <v>1.2259849102420617E-3</v>
      </c>
      <c r="BM46" s="38">
        <f t="shared" si="42"/>
        <v>-9.9394971698213652E-2</v>
      </c>
      <c r="BN46" s="38">
        <f t="shared" si="43"/>
        <v>-0.22086494511478438</v>
      </c>
      <c r="BO46" s="7"/>
      <c r="BX46" s="7"/>
      <c r="CN46" s="7"/>
      <c r="CO46" s="8"/>
      <c r="CP46" s="7"/>
      <c r="DG46" s="7"/>
      <c r="DO46" s="7"/>
      <c r="EE46" s="7"/>
      <c r="EF46" s="7"/>
      <c r="GH46" s="7"/>
      <c r="GJ46" s="9"/>
    </row>
    <row r="47" spans="1:192" x14ac:dyDescent="0.25">
      <c r="A47" s="7">
        <v>1915</v>
      </c>
      <c r="B47" s="8">
        <v>2652.9919834658986</v>
      </c>
      <c r="C47" s="8">
        <v>3858.079391674185</v>
      </c>
      <c r="D47" s="8">
        <v>797.92494123368726</v>
      </c>
      <c r="E47" s="8">
        <v>4232.8882920278347</v>
      </c>
      <c r="F47" s="8">
        <v>3777.9476268412436</v>
      </c>
      <c r="G47" s="8">
        <v>1881.6775867661368</v>
      </c>
      <c r="H47" s="8">
        <v>3248.0667473629601</v>
      </c>
      <c r="I47" s="8">
        <v>2899.0123508983843</v>
      </c>
      <c r="J47" s="8">
        <v>2810.0049572931621</v>
      </c>
      <c r="K47" s="8">
        <v>1429.7150064001203</v>
      </c>
      <c r="L47" s="8">
        <v>3925.6810007818608</v>
      </c>
      <c r="M47" s="8">
        <v>5173.794270833333</v>
      </c>
      <c r="N47" s="8">
        <v>2554.2310596303842</v>
      </c>
      <c r="O47" s="8">
        <v>1227.7889111556447</v>
      </c>
      <c r="P47" s="8">
        <v>2032.919405892379</v>
      </c>
      <c r="Q47" s="8">
        <v>1136.3914373088685</v>
      </c>
      <c r="R47" s="8">
        <v>3126.9311797752807</v>
      </c>
      <c r="S47" s="8">
        <v>4290.0641725001751</v>
      </c>
      <c r="T47" s="8">
        <v>5288.2658178679321</v>
      </c>
      <c r="U47" s="8">
        <v>4864.1926174696109</v>
      </c>
      <c r="V47" s="8">
        <v>2470.3049759229534</v>
      </c>
      <c r="W47" s="7"/>
      <c r="X47" s="35">
        <f t="shared" si="1"/>
        <v>7.8834433324467437</v>
      </c>
      <c r="Y47" s="35">
        <f t="shared" si="2"/>
        <v>8.2579247717075912</v>
      </c>
      <c r="Z47" s="35">
        <f t="shared" si="3"/>
        <v>6.6820145344216186</v>
      </c>
      <c r="AA47" s="35">
        <f t="shared" si="4"/>
        <v>8.3506398503848107</v>
      </c>
      <c r="AB47" s="35">
        <f t="shared" si="5"/>
        <v>8.2369361852976173</v>
      </c>
      <c r="AC47" s="35">
        <f t="shared" si="6"/>
        <v>7.539918991317486</v>
      </c>
      <c r="AD47" s="35">
        <f t="shared" si="7"/>
        <v>8.0858152513668919</v>
      </c>
      <c r="AE47" s="35">
        <f t="shared" si="8"/>
        <v>7.9721253893121604</v>
      </c>
      <c r="AF47" s="35">
        <f t="shared" si="9"/>
        <v>7.940941526487503</v>
      </c>
      <c r="AG47" s="35">
        <f t="shared" si="10"/>
        <v>7.2652304071681293</v>
      </c>
      <c r="AH47" s="35">
        <f t="shared" si="11"/>
        <v>8.2752951185504511</v>
      </c>
      <c r="AI47" s="35">
        <f t="shared" si="12"/>
        <v>8.5513615998435988</v>
      </c>
      <c r="AJ47" s="35">
        <f t="shared" si="13"/>
        <v>7.8455065022068409</v>
      </c>
      <c r="AK47" s="35">
        <f t="shared" si="14"/>
        <v>7.1129701974781412</v>
      </c>
      <c r="AL47" s="35">
        <f t="shared" si="15"/>
        <v>7.6172281698973299</v>
      </c>
      <c r="AM47" s="35">
        <f t="shared" si="16"/>
        <v>7.0356131150245673</v>
      </c>
      <c r="AN47" s="35">
        <f t="shared" si="17"/>
        <v>8.0478073488291102</v>
      </c>
      <c r="AO47" s="35">
        <f t="shared" si="18"/>
        <v>8.3640569704349321</v>
      </c>
      <c r="AP47" s="35">
        <f t="shared" si="19"/>
        <v>8.5732456483974584</v>
      </c>
      <c r="AQ47" s="35">
        <f t="shared" si="20"/>
        <v>8.4896560234930067</v>
      </c>
      <c r="AR47" s="35">
        <f t="shared" si="21"/>
        <v>7.8120968940335631</v>
      </c>
      <c r="AS47" s="38"/>
      <c r="AT47" s="38">
        <f t="shared" si="23"/>
        <v>-8.0583563273218139E-2</v>
      </c>
      <c r="AU47" s="38">
        <f t="shared" si="24"/>
        <v>-1.6771930857030881E-2</v>
      </c>
      <c r="AV47" s="38">
        <f t="shared" si="25"/>
        <v>2.2804457540205547E-2</v>
      </c>
      <c r="AW47" s="38">
        <f t="shared" si="26"/>
        <v>5.0288963177928636E-2</v>
      </c>
      <c r="AX47" s="38">
        <f t="shared" si="27"/>
        <v>-8.4341278997138502E-2</v>
      </c>
      <c r="AY47" s="38">
        <f t="shared" si="28"/>
        <v>-6.1291969601380281E-2</v>
      </c>
      <c r="AZ47" s="38">
        <f t="shared" si="29"/>
        <v>3.6180791616935437E-3</v>
      </c>
      <c r="BA47" s="38">
        <f t="shared" si="30"/>
        <v>-5.3812911613303704E-2</v>
      </c>
      <c r="BB47" s="38">
        <f t="shared" si="31"/>
        <v>0.10000986345441465</v>
      </c>
      <c r="BC47" s="38">
        <f t="shared" si="32"/>
        <v>7.4929564606081911E-2</v>
      </c>
      <c r="BD47" s="38">
        <f t="shared" si="33"/>
        <v>1.4728992778268335E-2</v>
      </c>
      <c r="BE47" s="38">
        <f t="shared" si="34"/>
        <v>-2.9817191747820715E-3</v>
      </c>
      <c r="BF47" s="38">
        <f t="shared" si="35"/>
        <v>3.2610638337583708E-2</v>
      </c>
      <c r="BG47" s="38">
        <f t="shared" si="36"/>
        <v>-2.3930651503204281E-2</v>
      </c>
      <c r="BH47" s="38">
        <f t="shared" si="37"/>
        <v>9.5100838201878091E-3</v>
      </c>
      <c r="BI47" s="38">
        <f t="shared" si="38"/>
        <v>-6.2595102078818243E-2</v>
      </c>
      <c r="BJ47" s="38">
        <f t="shared" si="39"/>
        <v>8.6442580603129926E-3</v>
      </c>
      <c r="BK47" s="38">
        <f t="shared" si="40"/>
        <v>1.3361323770253009E-2</v>
      </c>
      <c r="BL47" s="38">
        <f t="shared" si="41"/>
        <v>7.0844903932464121E-2</v>
      </c>
      <c r="BM47" s="38">
        <f t="shared" si="42"/>
        <v>1.345127052693762E-2</v>
      </c>
      <c r="BN47" s="38">
        <f t="shared" si="43"/>
        <v>-7.177499733593784E-2</v>
      </c>
      <c r="BO47" s="7"/>
      <c r="BX47" s="7"/>
      <c r="CN47" s="7"/>
      <c r="CO47" s="8"/>
      <c r="CP47" s="7"/>
      <c r="DG47" s="7"/>
      <c r="DO47" s="7"/>
      <c r="EE47" s="7"/>
      <c r="EF47" s="7"/>
      <c r="GH47" s="7"/>
      <c r="GJ47" s="9"/>
    </row>
    <row r="48" spans="1:192" x14ac:dyDescent="0.25">
      <c r="A48" s="7">
        <v>1916</v>
      </c>
      <c r="B48" s="8">
        <v>2627.5918995290426</v>
      </c>
      <c r="C48" s="8">
        <v>4080.4346817830456</v>
      </c>
      <c r="D48" s="8">
        <v>804.1830376632139</v>
      </c>
      <c r="E48" s="8">
        <v>4646.1149257365469</v>
      </c>
      <c r="F48" s="8">
        <v>3891.2580853816303</v>
      </c>
      <c r="G48" s="8">
        <v>1893.0370370370372</v>
      </c>
      <c r="H48" s="8">
        <v>3463.3307592016845</v>
      </c>
      <c r="I48" s="8">
        <v>2934.503359767541</v>
      </c>
      <c r="J48" s="8">
        <v>3139.486046983191</v>
      </c>
      <c r="K48" s="8">
        <v>1629.7179596766703</v>
      </c>
      <c r="L48" s="8">
        <v>3956.1870779619398</v>
      </c>
      <c r="M48" s="8">
        <v>5120.3142857142857</v>
      </c>
      <c r="N48" s="8">
        <v>2627.837431640603</v>
      </c>
      <c r="O48" s="8">
        <v>1233.6557705136756</v>
      </c>
      <c r="P48" s="8">
        <v>2113.2394911236879</v>
      </c>
      <c r="Q48" s="8">
        <v>1172.6010863005431</v>
      </c>
      <c r="R48" s="8">
        <v>3265.0392327811683</v>
      </c>
      <c r="S48" s="8">
        <v>4276.5576288249476</v>
      </c>
      <c r="T48" s="8">
        <v>5384.3804015995183</v>
      </c>
      <c r="U48" s="8">
        <v>5458.6928998476023</v>
      </c>
      <c r="V48" s="8">
        <v>2508.274231678487</v>
      </c>
      <c r="W48" s="7"/>
      <c r="X48" s="35">
        <f t="shared" si="1"/>
        <v>7.8738230781733476</v>
      </c>
      <c r="Y48" s="35">
        <f t="shared" si="2"/>
        <v>8.3139588013759695</v>
      </c>
      <c r="Z48" s="35">
        <f t="shared" si="3"/>
        <v>6.6898269020537295</v>
      </c>
      <c r="AA48" s="35">
        <f t="shared" si="4"/>
        <v>8.4437866495152747</v>
      </c>
      <c r="AB48" s="35">
        <f t="shared" si="5"/>
        <v>8.2664877995902497</v>
      </c>
      <c r="AC48" s="35">
        <f t="shared" si="6"/>
        <v>7.5459377162778498</v>
      </c>
      <c r="AD48" s="35">
        <f t="shared" si="7"/>
        <v>8.1499860521722454</v>
      </c>
      <c r="AE48" s="35">
        <f t="shared" si="8"/>
        <v>7.984293504917666</v>
      </c>
      <c r="AF48" s="35">
        <f t="shared" si="9"/>
        <v>8.0518143862006628</v>
      </c>
      <c r="AG48" s="35">
        <f t="shared" si="10"/>
        <v>7.3961622479560312</v>
      </c>
      <c r="AH48" s="35">
        <f t="shared" si="11"/>
        <v>8.2830359813014116</v>
      </c>
      <c r="AI48" s="35">
        <f t="shared" si="12"/>
        <v>8.5409711000782078</v>
      </c>
      <c r="AJ48" s="35">
        <f t="shared" si="13"/>
        <v>7.8739165175847701</v>
      </c>
      <c r="AK48" s="35">
        <f t="shared" si="14"/>
        <v>7.1177372113475164</v>
      </c>
      <c r="AL48" s="35">
        <f t="shared" si="15"/>
        <v>7.6559773529461754</v>
      </c>
      <c r="AM48" s="35">
        <f t="shared" si="16"/>
        <v>7.0669797109330146</v>
      </c>
      <c r="AN48" s="35">
        <f t="shared" si="17"/>
        <v>8.0910270578040855</v>
      </c>
      <c r="AO48" s="35">
        <f t="shared" si="18"/>
        <v>8.3609036726286128</v>
      </c>
      <c r="AP48" s="35">
        <f t="shared" si="19"/>
        <v>8.5912575229147734</v>
      </c>
      <c r="AQ48" s="35">
        <f t="shared" si="20"/>
        <v>8.6049646444469357</v>
      </c>
      <c r="AR48" s="35">
        <f t="shared" si="21"/>
        <v>7.8273502385498421</v>
      </c>
      <c r="AS48" s="38"/>
      <c r="AT48" s="38">
        <f t="shared" si="23"/>
        <v>-9.6202542733960783E-3</v>
      </c>
      <c r="AU48" s="38">
        <f t="shared" si="24"/>
        <v>5.6034029668378338E-2</v>
      </c>
      <c r="AV48" s="38">
        <f t="shared" si="25"/>
        <v>7.8123676321109059E-3</v>
      </c>
      <c r="AW48" s="38">
        <f t="shared" si="26"/>
        <v>9.3146799130463975E-2</v>
      </c>
      <c r="AX48" s="38">
        <f t="shared" si="27"/>
        <v>2.9551614292632422E-2</v>
      </c>
      <c r="AY48" s="38">
        <f t="shared" si="28"/>
        <v>6.0187249603638193E-3</v>
      </c>
      <c r="AZ48" s="38">
        <f t="shared" si="29"/>
        <v>6.4170800805353423E-2</v>
      </c>
      <c r="BA48" s="38">
        <f t="shared" si="30"/>
        <v>1.2168115605505569E-2</v>
      </c>
      <c r="BB48" s="38">
        <f t="shared" si="31"/>
        <v>0.11087285971315985</v>
      </c>
      <c r="BC48" s="38">
        <f t="shared" si="32"/>
        <v>0.13093184078790188</v>
      </c>
      <c r="BD48" s="38">
        <f t="shared" si="33"/>
        <v>7.740862750960531E-3</v>
      </c>
      <c r="BE48" s="38">
        <f t="shared" si="34"/>
        <v>-1.039049976539097E-2</v>
      </c>
      <c r="BF48" s="38">
        <f t="shared" si="35"/>
        <v>2.8410015377929199E-2</v>
      </c>
      <c r="BG48" s="38">
        <f t="shared" si="36"/>
        <v>4.7670138693751696E-3</v>
      </c>
      <c r="BH48" s="38">
        <f t="shared" si="37"/>
        <v>3.8749183048845559E-2</v>
      </c>
      <c r="BI48" s="38">
        <f t="shared" si="38"/>
        <v>3.1366595908447259E-2</v>
      </c>
      <c r="BJ48" s="38">
        <f t="shared" si="39"/>
        <v>4.3219708974975291E-2</v>
      </c>
      <c r="BK48" s="38">
        <f t="shared" si="40"/>
        <v>-3.153297806319344E-3</v>
      </c>
      <c r="BL48" s="38">
        <f t="shared" si="41"/>
        <v>1.8011874517315007E-2</v>
      </c>
      <c r="BM48" s="38">
        <f t="shared" si="42"/>
        <v>0.11530862095392891</v>
      </c>
      <c r="BN48" s="38">
        <f t="shared" si="43"/>
        <v>1.5253344516279022E-2</v>
      </c>
      <c r="BO48" s="7"/>
      <c r="BX48" s="7"/>
      <c r="CN48" s="7"/>
      <c r="CO48" s="8"/>
      <c r="CP48" s="7"/>
      <c r="DG48" s="7"/>
      <c r="DO48" s="7"/>
      <c r="EE48" s="7"/>
      <c r="EF48" s="7"/>
      <c r="GH48" s="7"/>
      <c r="GJ48" s="9"/>
    </row>
    <row r="49" spans="1:192" x14ac:dyDescent="0.25">
      <c r="A49" s="7">
        <v>1917</v>
      </c>
      <c r="B49" s="8">
        <v>2586.3004105695341</v>
      </c>
      <c r="C49" s="8">
        <v>3519.1106223314791</v>
      </c>
      <c r="D49" s="8">
        <v>841.90890719726406</v>
      </c>
      <c r="E49" s="8">
        <v>4800.5808867947317</v>
      </c>
      <c r="F49" s="8">
        <v>3616.5814696485622</v>
      </c>
      <c r="G49" s="8">
        <v>1580.8889244558254</v>
      </c>
      <c r="H49" s="8">
        <v>2978.9271533292608</v>
      </c>
      <c r="I49" s="8">
        <v>2952.0790718184994</v>
      </c>
      <c r="J49" s="8">
        <v>3301.2079815482689</v>
      </c>
      <c r="K49" s="8">
        <v>1665.0631923140511</v>
      </c>
      <c r="L49" s="8">
        <v>3626.6133152990683</v>
      </c>
      <c r="M49" s="8">
        <v>5008.192708333333</v>
      </c>
      <c r="N49" s="8">
        <v>2361.3115719114462</v>
      </c>
      <c r="O49" s="8">
        <v>1212.4895920066613</v>
      </c>
      <c r="P49" s="8">
        <v>2073.4227091442026</v>
      </c>
      <c r="Q49" s="8">
        <v>1217.6587301587301</v>
      </c>
      <c r="R49" s="8">
        <v>3021.9761204360616</v>
      </c>
      <c r="S49" s="8">
        <v>3803.9471099887764</v>
      </c>
      <c r="T49" s="8">
        <v>5421.0162183035136</v>
      </c>
      <c r="U49" s="8">
        <v>5247.7368735370892</v>
      </c>
      <c r="V49" s="8">
        <v>2717.4922600619198</v>
      </c>
      <c r="W49" s="7"/>
      <c r="X49" s="35">
        <f t="shared" si="1"/>
        <v>7.8579837206318146</v>
      </c>
      <c r="Y49" s="35">
        <f t="shared" si="2"/>
        <v>8.165963572556814</v>
      </c>
      <c r="Z49" s="35">
        <f t="shared" si="3"/>
        <v>6.7356718221632477</v>
      </c>
      <c r="AA49" s="35">
        <f t="shared" si="4"/>
        <v>8.4764922076561202</v>
      </c>
      <c r="AB49" s="35">
        <f t="shared" si="5"/>
        <v>8.1932845132438317</v>
      </c>
      <c r="AC49" s="35">
        <f t="shared" si="6"/>
        <v>7.3657425782301882</v>
      </c>
      <c r="AD49" s="35">
        <f t="shared" si="7"/>
        <v>7.9993184990169315</v>
      </c>
      <c r="AE49" s="35">
        <f t="shared" si="8"/>
        <v>7.9902649712080036</v>
      </c>
      <c r="AF49" s="35">
        <f t="shared" si="9"/>
        <v>8.102043735487408</v>
      </c>
      <c r="AG49" s="35">
        <f t="shared" si="10"/>
        <v>7.4176183550361063</v>
      </c>
      <c r="AH49" s="35">
        <f t="shared" si="11"/>
        <v>8.1960545207785813</v>
      </c>
      <c r="AI49" s="35">
        <f t="shared" si="12"/>
        <v>8.5188303921381028</v>
      </c>
      <c r="AJ49" s="35">
        <f t="shared" si="13"/>
        <v>7.7669724944573018</v>
      </c>
      <c r="AK49" s="35">
        <f t="shared" si="14"/>
        <v>7.1004310388627641</v>
      </c>
      <c r="AL49" s="35">
        <f t="shared" si="15"/>
        <v>7.6369560034403001</v>
      </c>
      <c r="AM49" s="35">
        <f t="shared" si="16"/>
        <v>7.1046852203058197</v>
      </c>
      <c r="AN49" s="35">
        <f t="shared" si="17"/>
        <v>8.013666240894139</v>
      </c>
      <c r="AO49" s="35">
        <f t="shared" si="18"/>
        <v>8.2437945197801827</v>
      </c>
      <c r="AP49" s="35">
        <f t="shared" si="19"/>
        <v>8.5980385710108003</v>
      </c>
      <c r="AQ49" s="35">
        <f t="shared" si="20"/>
        <v>8.5655521909403305</v>
      </c>
      <c r="AR49" s="35">
        <f t="shared" si="21"/>
        <v>7.9074647708080219</v>
      </c>
      <c r="AS49" s="38"/>
      <c r="AT49" s="38">
        <f t="shared" si="23"/>
        <v>-1.5839357541532983E-2</v>
      </c>
      <c r="AU49" s="38">
        <f t="shared" si="24"/>
        <v>-0.1479952288191555</v>
      </c>
      <c r="AV49" s="38">
        <f t="shared" si="25"/>
        <v>4.5844920109518128E-2</v>
      </c>
      <c r="AW49" s="38">
        <f t="shared" si="26"/>
        <v>3.2705558140845525E-2</v>
      </c>
      <c r="AX49" s="38">
        <f t="shared" si="27"/>
        <v>-7.3203286346418039E-2</v>
      </c>
      <c r="AY49" s="38">
        <f t="shared" si="28"/>
        <v>-0.18019513804766163</v>
      </c>
      <c r="AZ49" s="38">
        <f t="shared" si="29"/>
        <v>-0.15066755315531388</v>
      </c>
      <c r="BA49" s="38">
        <f t="shared" si="30"/>
        <v>5.9714662903376237E-3</v>
      </c>
      <c r="BB49" s="38">
        <f t="shared" si="31"/>
        <v>5.0229349286745162E-2</v>
      </c>
      <c r="BC49" s="38">
        <f t="shared" si="32"/>
        <v>2.1456107080075171E-2</v>
      </c>
      <c r="BD49" s="38">
        <f t="shared" si="33"/>
        <v>-8.698146052283029E-2</v>
      </c>
      <c r="BE49" s="38">
        <f t="shared" si="34"/>
        <v>-2.2140707940105031E-2</v>
      </c>
      <c r="BF49" s="38">
        <f t="shared" si="35"/>
        <v>-0.10694402312746831</v>
      </c>
      <c r="BG49" s="38">
        <f t="shared" si="36"/>
        <v>-1.7306172484752302E-2</v>
      </c>
      <c r="BH49" s="38">
        <f t="shared" si="37"/>
        <v>-1.9021349505875307E-2</v>
      </c>
      <c r="BI49" s="38">
        <f t="shared" si="38"/>
        <v>3.7705509372805146E-2</v>
      </c>
      <c r="BJ49" s="38">
        <f t="shared" si="39"/>
        <v>-7.736081690994645E-2</v>
      </c>
      <c r="BK49" s="38">
        <f t="shared" si="40"/>
        <v>-0.11710915284843004</v>
      </c>
      <c r="BL49" s="38">
        <f t="shared" si="41"/>
        <v>6.7810480960268649E-3</v>
      </c>
      <c r="BM49" s="38">
        <f t="shared" si="42"/>
        <v>-3.9412453506605161E-2</v>
      </c>
      <c r="BN49" s="38">
        <f t="shared" si="43"/>
        <v>8.0114532258179771E-2</v>
      </c>
      <c r="BO49" s="7"/>
      <c r="BX49" s="7"/>
      <c r="CN49" s="7"/>
      <c r="CO49" s="8"/>
      <c r="CP49" s="7"/>
      <c r="DG49" s="7"/>
      <c r="DO49" s="7"/>
      <c r="EE49" s="7"/>
      <c r="EF49" s="7"/>
      <c r="GH49" s="7"/>
      <c r="GJ49" s="9"/>
    </row>
    <row r="50" spans="1:192" x14ac:dyDescent="0.25">
      <c r="A50" s="7">
        <v>1918</v>
      </c>
      <c r="B50" s="8">
        <v>2554.8138631102806</v>
      </c>
      <c r="C50" s="8">
        <v>2861.2797650130551</v>
      </c>
      <c r="D50" s="8">
        <v>807.66449746926969</v>
      </c>
      <c r="E50" s="8">
        <v>4440.5946978743732</v>
      </c>
      <c r="F50" s="8">
        <v>3458.5971563981038</v>
      </c>
      <c r="G50" s="8">
        <v>1369.8016</v>
      </c>
      <c r="H50" s="8">
        <v>2395.5287997509208</v>
      </c>
      <c r="I50" s="8">
        <v>2983.1574106718576</v>
      </c>
      <c r="J50" s="8">
        <v>3391.5049600428692</v>
      </c>
      <c r="K50" s="8">
        <v>1668.4133294464891</v>
      </c>
      <c r="L50" s="8">
        <v>3352.2193424170619</v>
      </c>
      <c r="M50" s="8">
        <v>4910.8494809688591</v>
      </c>
      <c r="N50" s="8">
        <v>2242.8816490908457</v>
      </c>
      <c r="O50" s="8">
        <v>1149.6757026442708</v>
      </c>
      <c r="P50" s="8">
        <v>2045.0596658711215</v>
      </c>
      <c r="Q50" s="8">
        <v>1107.4574280681152</v>
      </c>
      <c r="R50" s="8">
        <v>2820.0447735491648</v>
      </c>
      <c r="S50" s="8">
        <v>3798.273313027179</v>
      </c>
      <c r="T50" s="8">
        <v>5459.3145679012341</v>
      </c>
      <c r="U50" s="8">
        <v>5658.9843937575033</v>
      </c>
      <c r="V50" s="8">
        <v>2827.5075987841947</v>
      </c>
      <c r="W50" s="7"/>
      <c r="X50" s="35">
        <f t="shared" si="1"/>
        <v>7.8457346479723364</v>
      </c>
      <c r="Y50" s="35">
        <f t="shared" si="2"/>
        <v>7.9590242740132116</v>
      </c>
      <c r="Z50" s="35">
        <f t="shared" si="3"/>
        <v>6.6941467463865791</v>
      </c>
      <c r="AA50" s="35">
        <f t="shared" si="4"/>
        <v>8.3985435874196774</v>
      </c>
      <c r="AB50" s="35">
        <f t="shared" si="5"/>
        <v>8.1486183397085501</v>
      </c>
      <c r="AC50" s="35">
        <f t="shared" si="6"/>
        <v>7.2224211908168527</v>
      </c>
      <c r="AD50" s="35">
        <f t="shared" si="7"/>
        <v>7.7813592786891963</v>
      </c>
      <c r="AE50" s="35">
        <f t="shared" si="8"/>
        <v>8.0007375523722022</v>
      </c>
      <c r="AF50" s="35">
        <f t="shared" si="9"/>
        <v>8.1290290428774341</v>
      </c>
      <c r="AG50" s="35">
        <f t="shared" si="10"/>
        <v>7.4196283516498358</v>
      </c>
      <c r="AH50" s="35">
        <f t="shared" si="11"/>
        <v>8.1173778957430525</v>
      </c>
      <c r="AI50" s="35">
        <f t="shared" si="12"/>
        <v>8.499202216204619</v>
      </c>
      <c r="AJ50" s="35">
        <f t="shared" si="13"/>
        <v>7.7155167685676309</v>
      </c>
      <c r="AK50" s="35">
        <f t="shared" si="14"/>
        <v>7.0472351838878335</v>
      </c>
      <c r="AL50" s="35">
        <f t="shared" si="15"/>
        <v>7.6231822445163733</v>
      </c>
      <c r="AM50" s="35">
        <f t="shared" si="16"/>
        <v>7.0098220615128515</v>
      </c>
      <c r="AN50" s="35">
        <f t="shared" si="17"/>
        <v>7.944508040951213</v>
      </c>
      <c r="AO50" s="35">
        <f t="shared" si="18"/>
        <v>8.2423018511388264</v>
      </c>
      <c r="AP50" s="35">
        <f t="shared" si="19"/>
        <v>8.6050785238440941</v>
      </c>
      <c r="AQ50" s="35">
        <f t="shared" si="20"/>
        <v>8.6409997193648209</v>
      </c>
      <c r="AR50" s="35">
        <f t="shared" si="21"/>
        <v>7.9471508954434968</v>
      </c>
      <c r="AS50" s="38"/>
      <c r="AT50" s="38">
        <f t="shared" si="23"/>
        <v>-1.2249072659478166E-2</v>
      </c>
      <c r="AU50" s="38">
        <f t="shared" si="24"/>
        <v>-0.20693929854360249</v>
      </c>
      <c r="AV50" s="38">
        <f t="shared" si="25"/>
        <v>-4.152507577666853E-2</v>
      </c>
      <c r="AW50" s="38">
        <f t="shared" si="26"/>
        <v>-7.7948620236442778E-2</v>
      </c>
      <c r="AX50" s="38">
        <f t="shared" si="27"/>
        <v>-4.4666173535281573E-2</v>
      </c>
      <c r="AY50" s="38">
        <f t="shared" si="28"/>
        <v>-0.14332138741333544</v>
      </c>
      <c r="AZ50" s="38">
        <f t="shared" si="29"/>
        <v>-0.21795922032773518</v>
      </c>
      <c r="BA50" s="38">
        <f t="shared" si="30"/>
        <v>1.047258116419858E-2</v>
      </c>
      <c r="BB50" s="38">
        <f t="shared" si="31"/>
        <v>2.6985307390026136E-2</v>
      </c>
      <c r="BC50" s="38">
        <f t="shared" si="32"/>
        <v>2.00999661372947E-3</v>
      </c>
      <c r="BD50" s="38">
        <f t="shared" si="33"/>
        <v>-7.8676625035528858E-2</v>
      </c>
      <c r="BE50" s="38">
        <f t="shared" si="34"/>
        <v>-1.962817593348376E-2</v>
      </c>
      <c r="BF50" s="38">
        <f t="shared" si="35"/>
        <v>-5.1455725889670845E-2</v>
      </c>
      <c r="BG50" s="38">
        <f t="shared" si="36"/>
        <v>-5.3195854974930512E-2</v>
      </c>
      <c r="BH50" s="38">
        <f t="shared" si="37"/>
        <v>-1.3773758923926849E-2</v>
      </c>
      <c r="BI50" s="38">
        <f t="shared" si="38"/>
        <v>-9.486315879296825E-2</v>
      </c>
      <c r="BJ50" s="38">
        <f t="shared" si="39"/>
        <v>-6.9158199942926046E-2</v>
      </c>
      <c r="BK50" s="38">
        <f t="shared" si="40"/>
        <v>-1.4926686413563317E-3</v>
      </c>
      <c r="BL50" s="38">
        <f t="shared" si="41"/>
        <v>7.0399528332938388E-3</v>
      </c>
      <c r="BM50" s="38">
        <f t="shared" si="42"/>
        <v>7.5447528424490429E-2</v>
      </c>
      <c r="BN50" s="38">
        <f t="shared" si="43"/>
        <v>3.968612463547494E-2</v>
      </c>
      <c r="BO50" s="7"/>
      <c r="BX50" s="7"/>
      <c r="CN50" s="7"/>
      <c r="CO50" s="8"/>
      <c r="CP50" s="7"/>
      <c r="DG50" s="7"/>
      <c r="DO50" s="7"/>
      <c r="EE50" s="7"/>
      <c r="EF50" s="7"/>
      <c r="GH50" s="7"/>
      <c r="GJ50" s="9"/>
    </row>
    <row r="51" spans="1:192" x14ac:dyDescent="0.25">
      <c r="A51" s="7">
        <v>1919</v>
      </c>
      <c r="B51" s="8">
        <v>2258.9981975967958</v>
      </c>
      <c r="C51" s="8">
        <v>3389.4199003670687</v>
      </c>
      <c r="D51" s="8">
        <v>895.24874231414196</v>
      </c>
      <c r="E51" s="8">
        <v>4019.3430042115119</v>
      </c>
      <c r="F51" s="8">
        <v>3859.6283572767024</v>
      </c>
      <c r="G51" s="8">
        <v>1658.2293872313121</v>
      </c>
      <c r="H51" s="8">
        <v>2811.3751162790695</v>
      </c>
      <c r="I51" s="8">
        <v>2586.271821890432</v>
      </c>
      <c r="J51" s="8">
        <v>2845.0929626519387</v>
      </c>
      <c r="K51" s="8">
        <v>1827.2143955984293</v>
      </c>
      <c r="L51" s="8">
        <v>4121.8839088905215</v>
      </c>
      <c r="M51" s="8">
        <v>5282.7213389121343</v>
      </c>
      <c r="N51" s="8">
        <v>2601.9567881530925</v>
      </c>
      <c r="O51" s="8">
        <v>1173.2270386978907</v>
      </c>
      <c r="P51" s="8">
        <v>2044.0946375231142</v>
      </c>
      <c r="Q51" s="8">
        <v>1166.4413979532728</v>
      </c>
      <c r="R51" s="8">
        <v>2938.0789022298454</v>
      </c>
      <c r="S51" s="8">
        <v>4059.6537982565383</v>
      </c>
      <c r="T51" s="8">
        <v>4870.4079167920236</v>
      </c>
      <c r="U51" s="8">
        <v>5680.4064926568881</v>
      </c>
      <c r="V51" s="8">
        <v>3134.9739000745712</v>
      </c>
      <c r="W51" s="7"/>
      <c r="X51" s="35">
        <f t="shared" si="1"/>
        <v>7.7226767185911003</v>
      </c>
      <c r="Y51" s="35">
        <f t="shared" si="2"/>
        <v>8.1284140648959831</v>
      </c>
      <c r="Z51" s="35">
        <f t="shared" si="3"/>
        <v>6.7971016040343741</v>
      </c>
      <c r="AA51" s="35">
        <f t="shared" si="4"/>
        <v>8.2988737364684564</v>
      </c>
      <c r="AB51" s="35">
        <f t="shared" si="5"/>
        <v>8.2583261773253476</v>
      </c>
      <c r="AC51" s="35">
        <f t="shared" si="6"/>
        <v>7.4135056778934976</v>
      </c>
      <c r="AD51" s="35">
        <f t="shared" si="7"/>
        <v>7.9414290078515481</v>
      </c>
      <c r="AE51" s="35">
        <f t="shared" si="8"/>
        <v>7.857972666681162</v>
      </c>
      <c r="AF51" s="35">
        <f t="shared" si="9"/>
        <v>7.9533510218269186</v>
      </c>
      <c r="AG51" s="35">
        <f t="shared" si="10"/>
        <v>7.5105478979324234</v>
      </c>
      <c r="AH51" s="35">
        <f t="shared" si="11"/>
        <v>8.3240655972717796</v>
      </c>
      <c r="AI51" s="35">
        <f t="shared" si="12"/>
        <v>8.5721966490217163</v>
      </c>
      <c r="AJ51" s="35">
        <f t="shared" si="13"/>
        <v>7.8640190517681754</v>
      </c>
      <c r="AK51" s="35">
        <f t="shared" si="14"/>
        <v>7.0675133838014847</v>
      </c>
      <c r="AL51" s="35">
        <f t="shared" si="15"/>
        <v>7.6227102504098552</v>
      </c>
      <c r="AM51" s="35">
        <f t="shared" si="16"/>
        <v>7.0617128526969868</v>
      </c>
      <c r="AN51" s="35">
        <f t="shared" si="17"/>
        <v>7.9855112121355836</v>
      </c>
      <c r="AO51" s="35">
        <f t="shared" si="18"/>
        <v>8.3088529775945847</v>
      </c>
      <c r="AP51" s="35">
        <f t="shared" si="19"/>
        <v>8.4909329737171255</v>
      </c>
      <c r="AQ51" s="35">
        <f t="shared" si="20"/>
        <v>8.6447780747631082</v>
      </c>
      <c r="AR51" s="35">
        <f t="shared" si="21"/>
        <v>8.0503761276972998</v>
      </c>
      <c r="AS51" s="38"/>
      <c r="AT51" s="38">
        <f t="shared" si="23"/>
        <v>-0.12305792938123616</v>
      </c>
      <c r="AU51" s="38">
        <f t="shared" si="24"/>
        <v>0.16938979088277151</v>
      </c>
      <c r="AV51" s="38">
        <f t="shared" si="25"/>
        <v>0.102954857647795</v>
      </c>
      <c r="AW51" s="38">
        <f t="shared" si="26"/>
        <v>-9.9669850951221051E-2</v>
      </c>
      <c r="AX51" s="38">
        <f t="shared" si="27"/>
        <v>0.10970783761679748</v>
      </c>
      <c r="AY51" s="38">
        <f t="shared" si="28"/>
        <v>0.19108448707664483</v>
      </c>
      <c r="AZ51" s="38">
        <f t="shared" si="29"/>
        <v>0.16006972916235185</v>
      </c>
      <c r="BA51" s="38">
        <f t="shared" si="30"/>
        <v>-0.14276488569104018</v>
      </c>
      <c r="BB51" s="38">
        <f t="shared" si="31"/>
        <v>-0.17567802105051555</v>
      </c>
      <c r="BC51" s="38">
        <f t="shared" si="32"/>
        <v>9.0919546282587582E-2</v>
      </c>
      <c r="BD51" s="38">
        <f t="shared" si="33"/>
        <v>0.20668770152872717</v>
      </c>
      <c r="BE51" s="38">
        <f t="shared" si="34"/>
        <v>7.2994432817097277E-2</v>
      </c>
      <c r="BF51" s="38">
        <f t="shared" si="35"/>
        <v>0.14850228320054448</v>
      </c>
      <c r="BG51" s="38">
        <f t="shared" si="36"/>
        <v>2.0278199913651207E-2</v>
      </c>
      <c r="BH51" s="38">
        <f t="shared" si="37"/>
        <v>-4.7199410651810325E-4</v>
      </c>
      <c r="BI51" s="38">
        <f t="shared" si="38"/>
        <v>5.189079118413531E-2</v>
      </c>
      <c r="BJ51" s="38">
        <f t="shared" si="39"/>
        <v>4.1003171184370579E-2</v>
      </c>
      <c r="BK51" s="38">
        <f t="shared" si="40"/>
        <v>6.6551126455758336E-2</v>
      </c>
      <c r="BL51" s="38">
        <f t="shared" si="41"/>
        <v>-0.11414555012696859</v>
      </c>
      <c r="BM51" s="38">
        <f t="shared" si="42"/>
        <v>3.778355398287303E-3</v>
      </c>
      <c r="BN51" s="38">
        <f t="shared" si="43"/>
        <v>0.10322523225380298</v>
      </c>
      <c r="BO51" s="7"/>
      <c r="BX51" s="7"/>
      <c r="CN51" s="7"/>
      <c r="CO51" s="8"/>
      <c r="CP51" s="7"/>
      <c r="DG51" s="7"/>
      <c r="DO51" s="7"/>
      <c r="EE51" s="7"/>
      <c r="EF51" s="7"/>
      <c r="GH51" s="7"/>
      <c r="GJ51" s="9"/>
    </row>
    <row r="52" spans="1:192" x14ac:dyDescent="0.25">
      <c r="A52" s="7">
        <v>1920</v>
      </c>
      <c r="B52" s="8">
        <v>2412.31045701007</v>
      </c>
      <c r="C52" s="8">
        <v>3961.9935116525421</v>
      </c>
      <c r="D52" s="8">
        <v>963.10757553641804</v>
      </c>
      <c r="E52" s="8">
        <v>3861.4762446010454</v>
      </c>
      <c r="F52" s="8">
        <v>3991.9895126465149</v>
      </c>
      <c r="G52" s="8">
        <v>1845.5298436003832</v>
      </c>
      <c r="H52" s="8">
        <v>3226.9209999999994</v>
      </c>
      <c r="I52" s="8">
        <v>2795.595625184747</v>
      </c>
      <c r="J52" s="8">
        <v>2587.2326131753639</v>
      </c>
      <c r="K52" s="8">
        <v>1695.7542907305885</v>
      </c>
      <c r="L52" s="8">
        <v>4219.9021612149527</v>
      </c>
      <c r="M52" s="8">
        <v>5641.2497985495575</v>
      </c>
      <c r="N52" s="8">
        <v>2739.0610630108922</v>
      </c>
      <c r="O52" s="8">
        <v>1229.2254105158399</v>
      </c>
      <c r="P52" s="8">
        <v>2177.1853805576488</v>
      </c>
      <c r="Q52" s="8">
        <v>1092</v>
      </c>
      <c r="R52" s="8">
        <v>3110.9598366235532</v>
      </c>
      <c r="S52" s="8">
        <v>4314.0958566839399</v>
      </c>
      <c r="T52" s="8">
        <v>4547.9136285000313</v>
      </c>
      <c r="U52" s="8">
        <v>5552.3273640778061</v>
      </c>
      <c r="V52" s="8">
        <v>2673.9606126914659</v>
      </c>
      <c r="W52" s="7"/>
      <c r="X52" s="35">
        <f t="shared" si="1"/>
        <v>7.7883402630841312</v>
      </c>
      <c r="Y52" s="35">
        <f t="shared" si="2"/>
        <v>8.2845025896126678</v>
      </c>
      <c r="Z52" s="35">
        <f t="shared" si="3"/>
        <v>6.8701651143197253</v>
      </c>
      <c r="AA52" s="35">
        <f t="shared" si="4"/>
        <v>8.2588048361325797</v>
      </c>
      <c r="AB52" s="35">
        <f t="shared" si="5"/>
        <v>8.2920450103353467</v>
      </c>
      <c r="AC52" s="35">
        <f t="shared" si="6"/>
        <v>7.5205216933500774</v>
      </c>
      <c r="AD52" s="35">
        <f t="shared" si="7"/>
        <v>8.0792837108102464</v>
      </c>
      <c r="AE52" s="35">
        <f t="shared" si="8"/>
        <v>7.9358004667086126</v>
      </c>
      <c r="AF52" s="35">
        <f t="shared" si="9"/>
        <v>7.8583440943306542</v>
      </c>
      <c r="AG52" s="35">
        <f t="shared" si="10"/>
        <v>7.4358829301078693</v>
      </c>
      <c r="AH52" s="35">
        <f t="shared" si="11"/>
        <v>8.3475672222150727</v>
      </c>
      <c r="AI52" s="35">
        <f t="shared" si="12"/>
        <v>8.6378609154309611</v>
      </c>
      <c r="AJ52" s="35">
        <f t="shared" si="13"/>
        <v>7.9153704629214339</v>
      </c>
      <c r="AK52" s="35">
        <f t="shared" si="14"/>
        <v>7.1141395024440905</v>
      </c>
      <c r="AL52" s="35">
        <f t="shared" si="15"/>
        <v>7.6857882117467824</v>
      </c>
      <c r="AM52" s="35">
        <f t="shared" si="16"/>
        <v>6.9957661563048505</v>
      </c>
      <c r="AN52" s="35">
        <f t="shared" si="17"/>
        <v>8.0426865866965098</v>
      </c>
      <c r="AO52" s="35">
        <f t="shared" si="18"/>
        <v>8.3696430466104346</v>
      </c>
      <c r="AP52" s="35">
        <f t="shared" si="19"/>
        <v>8.4224238635951139</v>
      </c>
      <c r="AQ52" s="35">
        <f t="shared" si="20"/>
        <v>8.6219724637188726</v>
      </c>
      <c r="AR52" s="35">
        <f t="shared" si="21"/>
        <v>7.8913160278194727</v>
      </c>
      <c r="AS52" s="38"/>
      <c r="AT52" s="38">
        <f t="shared" si="23"/>
        <v>6.5663544493030912E-2</v>
      </c>
      <c r="AU52" s="38">
        <f t="shared" si="24"/>
        <v>0.15608852471668477</v>
      </c>
      <c r="AV52" s="38">
        <f t="shared" si="25"/>
        <v>7.3063510285351185E-2</v>
      </c>
      <c r="AW52" s="38">
        <f t="shared" si="26"/>
        <v>-4.0068900335876734E-2</v>
      </c>
      <c r="AX52" s="38">
        <f t="shared" si="27"/>
        <v>3.3718833009999116E-2</v>
      </c>
      <c r="AY52" s="38">
        <f t="shared" si="28"/>
        <v>0.10701601545657979</v>
      </c>
      <c r="AZ52" s="38">
        <f t="shared" si="29"/>
        <v>0.13785470295869828</v>
      </c>
      <c r="BA52" s="38">
        <f t="shared" si="30"/>
        <v>7.78278000274506E-2</v>
      </c>
      <c r="BB52" s="38">
        <f t="shared" si="31"/>
        <v>-9.5006927496264382E-2</v>
      </c>
      <c r="BC52" s="38">
        <f t="shared" si="32"/>
        <v>-7.4664967824554118E-2</v>
      </c>
      <c r="BD52" s="38">
        <f t="shared" si="33"/>
        <v>2.3501624943293109E-2</v>
      </c>
      <c r="BE52" s="38">
        <f t="shared" si="34"/>
        <v>6.5664266409244831E-2</v>
      </c>
      <c r="BF52" s="38">
        <f t="shared" si="35"/>
        <v>5.1351411153258475E-2</v>
      </c>
      <c r="BG52" s="38">
        <f t="shared" si="36"/>
        <v>4.6626118642605796E-2</v>
      </c>
      <c r="BH52" s="38">
        <f t="shared" si="37"/>
        <v>6.3077961336927224E-2</v>
      </c>
      <c r="BI52" s="38">
        <f t="shared" si="38"/>
        <v>-6.5946696392136239E-2</v>
      </c>
      <c r="BJ52" s="38">
        <f t="shared" si="39"/>
        <v>5.7175374560926251E-2</v>
      </c>
      <c r="BK52" s="38">
        <f t="shared" si="40"/>
        <v>6.0790069015849824E-2</v>
      </c>
      <c r="BL52" s="38">
        <f t="shared" si="41"/>
        <v>-6.8509110122011663E-2</v>
      </c>
      <c r="BM52" s="38">
        <f t="shared" si="42"/>
        <v>-2.2805611044235619E-2</v>
      </c>
      <c r="BN52" s="38">
        <f t="shared" si="43"/>
        <v>-0.1590600998778271</v>
      </c>
      <c r="BO52" s="7"/>
      <c r="BX52" s="7"/>
      <c r="CN52" s="7"/>
      <c r="CO52" s="8"/>
      <c r="CP52" s="7"/>
      <c r="DG52" s="7"/>
      <c r="DO52" s="7"/>
      <c r="EE52" s="7"/>
      <c r="EF52" s="7"/>
      <c r="GH52" s="7"/>
      <c r="GJ52" s="9"/>
    </row>
    <row r="53" spans="1:192" x14ac:dyDescent="0.25">
      <c r="A53" s="7">
        <v>1921</v>
      </c>
      <c r="B53" s="8">
        <v>2650.136070110701</v>
      </c>
      <c r="C53" s="8">
        <v>4056.3069029850744</v>
      </c>
      <c r="D53" s="8">
        <v>963.35228288462224</v>
      </c>
      <c r="E53" s="8">
        <v>3357.0101905183869</v>
      </c>
      <c r="F53" s="8">
        <v>3826.0547945205481</v>
      </c>
      <c r="G53" s="8">
        <v>1884.4526813880127</v>
      </c>
      <c r="H53" s="8">
        <v>3074.6257645259939</v>
      </c>
      <c r="I53" s="8">
        <v>3077.8263199779126</v>
      </c>
      <c r="J53" s="8">
        <v>2528.1003028846876</v>
      </c>
      <c r="K53" s="8">
        <v>1859.5025314214904</v>
      </c>
      <c r="L53" s="8">
        <v>4431.3964744979057</v>
      </c>
      <c r="M53" s="8">
        <v>5128.0870588235293</v>
      </c>
      <c r="N53" s="8">
        <v>2442.8996652013498</v>
      </c>
      <c r="O53" s="8">
        <v>1289.902816669412</v>
      </c>
      <c r="P53" s="8">
        <v>2212.4141796272943</v>
      </c>
      <c r="Q53" s="8">
        <v>1059.0120663650075</v>
      </c>
      <c r="R53" s="8">
        <v>2820.0371057513912</v>
      </c>
      <c r="S53" s="8">
        <v>4208.1211886668543</v>
      </c>
      <c r="T53" s="8">
        <v>4439.1513432564889</v>
      </c>
      <c r="U53" s="8">
        <v>5322.7335909107596</v>
      </c>
      <c r="V53" s="8">
        <v>2751.0699001426533</v>
      </c>
      <c r="W53" s="7"/>
      <c r="X53" s="35">
        <f t="shared" si="1"/>
        <v>7.8823662648736299</v>
      </c>
      <c r="Y53" s="35">
        <f t="shared" si="2"/>
        <v>8.3080282088248989</v>
      </c>
      <c r="Z53" s="35">
        <f t="shared" si="3"/>
        <v>6.8704191630593874</v>
      </c>
      <c r="AA53" s="35">
        <f t="shared" si="4"/>
        <v>8.1188060325781635</v>
      </c>
      <c r="AB53" s="35">
        <f t="shared" si="5"/>
        <v>8.2495894715182789</v>
      </c>
      <c r="AC53" s="35">
        <f t="shared" si="6"/>
        <v>7.5413927030197039</v>
      </c>
      <c r="AD53" s="35">
        <f t="shared" si="7"/>
        <v>8.0309384702410842</v>
      </c>
      <c r="AE53" s="35">
        <f t="shared" si="8"/>
        <v>8.0319788865488153</v>
      </c>
      <c r="AF53" s="35">
        <f t="shared" si="9"/>
        <v>7.8352234312536515</v>
      </c>
      <c r="AG53" s="35">
        <f t="shared" si="10"/>
        <v>7.5280642747094468</v>
      </c>
      <c r="AH53" s="35">
        <f t="shared" si="11"/>
        <v>8.3964700446278808</v>
      </c>
      <c r="AI53" s="35">
        <f t="shared" si="12"/>
        <v>8.5424879756060701</v>
      </c>
      <c r="AJ53" s="35">
        <f t="shared" si="13"/>
        <v>7.8009410000915116</v>
      </c>
      <c r="AK53" s="35">
        <f t="shared" si="14"/>
        <v>7.1623221586026409</v>
      </c>
      <c r="AL53" s="35">
        <f t="shared" si="15"/>
        <v>7.701839587260757</v>
      </c>
      <c r="AM53" s="35">
        <f t="shared" si="16"/>
        <v>6.9650917396488712</v>
      </c>
      <c r="AN53" s="35">
        <f t="shared" si="17"/>
        <v>7.9445053219134616</v>
      </c>
      <c r="AO53" s="35">
        <f t="shared" si="18"/>
        <v>8.3447715535909772</v>
      </c>
      <c r="AP53" s="35">
        <f t="shared" si="19"/>
        <v>8.3982184982507047</v>
      </c>
      <c r="AQ53" s="35">
        <f t="shared" si="20"/>
        <v>8.5797422832467429</v>
      </c>
      <c r="AR53" s="35">
        <f t="shared" si="21"/>
        <v>7.9197451695958296</v>
      </c>
      <c r="AS53" s="38"/>
      <c r="AT53" s="38">
        <f t="shared" si="23"/>
        <v>9.4026001789498714E-2</v>
      </c>
      <c r="AU53" s="38">
        <f t="shared" si="24"/>
        <v>2.3525619212231064E-2</v>
      </c>
      <c r="AV53" s="38">
        <f t="shared" si="25"/>
        <v>2.5404873966206054E-4</v>
      </c>
      <c r="AW53" s="38">
        <f t="shared" si="26"/>
        <v>-0.13999880355441618</v>
      </c>
      <c r="AX53" s="38">
        <f t="shared" si="27"/>
        <v>-4.2455538817067762E-2</v>
      </c>
      <c r="AY53" s="38">
        <f t="shared" si="28"/>
        <v>2.0871009669626517E-2</v>
      </c>
      <c r="AZ53" s="38">
        <f t="shared" si="29"/>
        <v>-4.8345240569162229E-2</v>
      </c>
      <c r="BA53" s="38">
        <f t="shared" si="30"/>
        <v>9.61784198402027E-2</v>
      </c>
      <c r="BB53" s="38">
        <f t="shared" si="31"/>
        <v>-2.3120663077002668E-2</v>
      </c>
      <c r="BC53" s="38">
        <f t="shared" si="32"/>
        <v>9.2181344601577564E-2</v>
      </c>
      <c r="BD53" s="38">
        <f t="shared" si="33"/>
        <v>4.8902822412808078E-2</v>
      </c>
      <c r="BE53" s="38">
        <f t="shared" si="34"/>
        <v>-9.5372939824891034E-2</v>
      </c>
      <c r="BF53" s="38">
        <f t="shared" si="35"/>
        <v>-0.11442946282992228</v>
      </c>
      <c r="BG53" s="38">
        <f t="shared" si="36"/>
        <v>4.818265615855033E-2</v>
      </c>
      <c r="BH53" s="38">
        <f t="shared" si="37"/>
        <v>1.6051375513974619E-2</v>
      </c>
      <c r="BI53" s="38">
        <f t="shared" si="38"/>
        <v>-3.0674416655979364E-2</v>
      </c>
      <c r="BJ53" s="38">
        <f t="shared" si="39"/>
        <v>-9.8181264783048228E-2</v>
      </c>
      <c r="BK53" s="38">
        <f t="shared" si="40"/>
        <v>-2.4871493019457347E-2</v>
      </c>
      <c r="BL53" s="38">
        <f t="shared" si="41"/>
        <v>-2.4205365344409202E-2</v>
      </c>
      <c r="BM53" s="38">
        <f t="shared" si="42"/>
        <v>-4.2230180472129675E-2</v>
      </c>
      <c r="BN53" s="38">
        <f t="shared" si="43"/>
        <v>2.8429141776356914E-2</v>
      </c>
      <c r="BO53" s="7"/>
      <c r="BX53" s="7"/>
      <c r="CN53" s="7"/>
      <c r="CO53" s="8"/>
      <c r="CP53" s="7"/>
      <c r="DG53" s="7"/>
      <c r="DO53" s="7"/>
      <c r="EE53" s="7"/>
      <c r="EF53" s="7"/>
      <c r="GH53" s="7"/>
      <c r="GJ53" s="9"/>
    </row>
    <row r="54" spans="1:192" x14ac:dyDescent="0.25">
      <c r="A54" s="7">
        <v>1922</v>
      </c>
      <c r="B54" s="8">
        <v>2877.489430147059</v>
      </c>
      <c r="C54" s="8">
        <v>4413.4791969356756</v>
      </c>
      <c r="D54" s="8">
        <v>1009.0743465769742</v>
      </c>
      <c r="E54" s="8">
        <v>3793.1455399061028</v>
      </c>
      <c r="F54" s="8">
        <v>4166.351595424444</v>
      </c>
      <c r="G54" s="8">
        <v>2058.0143302180691</v>
      </c>
      <c r="H54" s="8">
        <v>3610.3923135464233</v>
      </c>
      <c r="I54" s="8">
        <v>3330.9854604200323</v>
      </c>
      <c r="J54" s="8">
        <v>2631.1542875798655</v>
      </c>
      <c r="K54" s="8">
        <v>1831.1224807285566</v>
      </c>
      <c r="L54" s="8">
        <v>4599.2150170648465</v>
      </c>
      <c r="M54" s="8">
        <v>4841.1441717791422</v>
      </c>
      <c r="N54" s="8">
        <v>2678.0801117008164</v>
      </c>
      <c r="O54" s="8">
        <v>1429.8730881874392</v>
      </c>
      <c r="P54" s="8">
        <v>2283.6138339189938</v>
      </c>
      <c r="Q54" s="8">
        <v>1086.4542574995342</v>
      </c>
      <c r="R54" s="8">
        <v>3105.0075364260592</v>
      </c>
      <c r="S54" s="8">
        <v>4617.9785281832255</v>
      </c>
      <c r="T54" s="8">
        <v>4636.935184350491</v>
      </c>
      <c r="U54" s="8">
        <v>5539.843678722711</v>
      </c>
      <c r="V54" s="8">
        <v>3078.1577110956036</v>
      </c>
      <c r="W54" s="7"/>
      <c r="X54" s="35">
        <f t="shared" si="1"/>
        <v>7.9646734673128563</v>
      </c>
      <c r="Y54" s="35">
        <f t="shared" si="2"/>
        <v>8.3924185909419116</v>
      </c>
      <c r="Z54" s="35">
        <f t="shared" si="3"/>
        <v>6.9167887010652578</v>
      </c>
      <c r="AA54" s="35">
        <f t="shared" si="4"/>
        <v>8.2409509116108453</v>
      </c>
      <c r="AB54" s="35">
        <f t="shared" si="5"/>
        <v>8.3347960146650326</v>
      </c>
      <c r="AC54" s="35">
        <f t="shared" si="6"/>
        <v>7.6294968795466565</v>
      </c>
      <c r="AD54" s="35">
        <f t="shared" si="7"/>
        <v>8.191571719534906</v>
      </c>
      <c r="AE54" s="35">
        <f t="shared" si="8"/>
        <v>8.1110234732547131</v>
      </c>
      <c r="AF54" s="35">
        <f t="shared" si="9"/>
        <v>7.8751779215025364</v>
      </c>
      <c r="AG54" s="35">
        <f t="shared" si="10"/>
        <v>7.5126844352437079</v>
      </c>
      <c r="AH54" s="35">
        <f t="shared" si="11"/>
        <v>8.4336409194509159</v>
      </c>
      <c r="AI54" s="35">
        <f t="shared" si="12"/>
        <v>8.4849063709007275</v>
      </c>
      <c r="AJ54" s="35">
        <f t="shared" si="13"/>
        <v>7.8928554405537987</v>
      </c>
      <c r="AK54" s="35">
        <f t="shared" si="14"/>
        <v>7.2653409697962079</v>
      </c>
      <c r="AL54" s="35">
        <f t="shared" si="15"/>
        <v>7.733514482014912</v>
      </c>
      <c r="AM54" s="35">
        <f t="shared" si="16"/>
        <v>6.9906746980274646</v>
      </c>
      <c r="AN54" s="35">
        <f t="shared" si="17"/>
        <v>8.0407714215549912</v>
      </c>
      <c r="AO54" s="35">
        <f t="shared" si="18"/>
        <v>8.4377123403114318</v>
      </c>
      <c r="AP54" s="35">
        <f t="shared" si="19"/>
        <v>8.4418089063663349</v>
      </c>
      <c r="AQ54" s="35">
        <f t="shared" si="20"/>
        <v>8.6197215625061716</v>
      </c>
      <c r="AR54" s="35">
        <f t="shared" si="21"/>
        <v>8.0320865512589048</v>
      </c>
      <c r="AS54" s="38"/>
      <c r="AT54" s="38">
        <f t="shared" si="23"/>
        <v>8.2307202439226401E-2</v>
      </c>
      <c r="AU54" s="38">
        <f t="shared" si="24"/>
        <v>8.4390382117012663E-2</v>
      </c>
      <c r="AV54" s="38">
        <f t="shared" si="25"/>
        <v>4.6369538005870403E-2</v>
      </c>
      <c r="AW54" s="38">
        <f t="shared" si="26"/>
        <v>0.12214487903268179</v>
      </c>
      <c r="AX54" s="38">
        <f t="shared" si="27"/>
        <v>8.5206543146753688E-2</v>
      </c>
      <c r="AY54" s="38">
        <f t="shared" si="28"/>
        <v>8.8104176526952571E-2</v>
      </c>
      <c r="AZ54" s="38">
        <f t="shared" si="29"/>
        <v>0.16063324929382183</v>
      </c>
      <c r="BA54" s="38">
        <f t="shared" si="30"/>
        <v>7.9044586705897757E-2</v>
      </c>
      <c r="BB54" s="38">
        <f t="shared" si="31"/>
        <v>3.9954490248884866E-2</v>
      </c>
      <c r="BC54" s="38">
        <f t="shared" si="32"/>
        <v>-1.5379839465738954E-2</v>
      </c>
      <c r="BD54" s="38">
        <f t="shared" si="33"/>
        <v>3.7170874823035049E-2</v>
      </c>
      <c r="BE54" s="38">
        <f t="shared" si="34"/>
        <v>-5.7581604705342571E-2</v>
      </c>
      <c r="BF54" s="38">
        <f t="shared" si="35"/>
        <v>9.1914440462287139E-2</v>
      </c>
      <c r="BG54" s="38">
        <f t="shared" si="36"/>
        <v>0.10301881119356704</v>
      </c>
      <c r="BH54" s="38">
        <f t="shared" si="37"/>
        <v>3.167489475415497E-2</v>
      </c>
      <c r="BI54" s="38">
        <f t="shared" si="38"/>
        <v>2.5582958378593368E-2</v>
      </c>
      <c r="BJ54" s="38">
        <f t="shared" si="39"/>
        <v>9.6266099641529657E-2</v>
      </c>
      <c r="BK54" s="38">
        <f t="shared" si="40"/>
        <v>9.2940786720454582E-2</v>
      </c>
      <c r="BL54" s="38">
        <f t="shared" si="41"/>
        <v>4.3590408115630197E-2</v>
      </c>
      <c r="BM54" s="38">
        <f t="shared" si="42"/>
        <v>3.9979279259428679E-2</v>
      </c>
      <c r="BN54" s="38">
        <f t="shared" si="43"/>
        <v>0.11234138166307517</v>
      </c>
      <c r="BO54" s="7"/>
      <c r="BX54" s="7"/>
      <c r="CN54" s="7"/>
      <c r="CO54" s="8"/>
      <c r="CP54" s="7"/>
      <c r="DG54" s="7"/>
      <c r="DO54" s="7"/>
      <c r="EE54" s="7"/>
      <c r="EF54" s="7"/>
      <c r="GH54" s="7"/>
      <c r="GJ54" s="9"/>
    </row>
    <row r="55" spans="1:192" x14ac:dyDescent="0.25">
      <c r="A55" s="7">
        <v>1923</v>
      </c>
      <c r="B55" s="8">
        <v>2842.2196240256767</v>
      </c>
      <c r="C55" s="8">
        <v>4533.2403405370005</v>
      </c>
      <c r="D55" s="8">
        <v>1045.5950010300076</v>
      </c>
      <c r="E55" s="8">
        <v>3975.9576490924815</v>
      </c>
      <c r="F55" s="8">
        <v>4558.8110846245527</v>
      </c>
      <c r="G55" s="8">
        <v>2186.799259944496</v>
      </c>
      <c r="H55" s="8">
        <v>3753.525677031093</v>
      </c>
      <c r="I55" s="8">
        <v>2749.5786990225815</v>
      </c>
      <c r="J55" s="8">
        <v>2763.0230971264423</v>
      </c>
      <c r="K55" s="8">
        <v>1809.3504841465731</v>
      </c>
      <c r="L55" s="8">
        <v>4634.9986013986017</v>
      </c>
      <c r="M55" s="8">
        <v>5144.4796380090493</v>
      </c>
      <c r="N55" s="8">
        <v>2732.1248314814598</v>
      </c>
      <c r="O55" s="8">
        <v>1473.4051100755264</v>
      </c>
      <c r="P55" s="8">
        <v>2289.9253902137593</v>
      </c>
      <c r="Q55" s="8">
        <v>1065.6100258016957</v>
      </c>
      <c r="R55" s="8">
        <v>3248.9578122394528</v>
      </c>
      <c r="S55" s="8">
        <v>4873.9327605178742</v>
      </c>
      <c r="T55" s="8">
        <v>4759.7096152121267</v>
      </c>
      <c r="U55" s="8">
        <v>6164.1990354756335</v>
      </c>
      <c r="V55" s="8">
        <v>3169.9658703071673</v>
      </c>
      <c r="W55" s="7"/>
      <c r="X55" s="35">
        <f t="shared" si="1"/>
        <v>7.9523405836535499</v>
      </c>
      <c r="Y55" s="35">
        <f t="shared" si="2"/>
        <v>8.4191922697287982</v>
      </c>
      <c r="Z55" s="35">
        <f t="shared" si="3"/>
        <v>6.9523413813402888</v>
      </c>
      <c r="AA55" s="35">
        <f t="shared" si="4"/>
        <v>8.2880209160830365</v>
      </c>
      <c r="AB55" s="35">
        <f t="shared" si="5"/>
        <v>8.4248171414572042</v>
      </c>
      <c r="AC55" s="35">
        <f t="shared" si="6"/>
        <v>7.6901942286014053</v>
      </c>
      <c r="AD55" s="35">
        <f t="shared" si="7"/>
        <v>8.2304508578131816</v>
      </c>
      <c r="AE55" s="35">
        <f t="shared" si="8"/>
        <v>7.9192029785688192</v>
      </c>
      <c r="AF55" s="35">
        <f t="shared" si="9"/>
        <v>7.9240806843262046</v>
      </c>
      <c r="AG55" s="35">
        <f t="shared" si="10"/>
        <v>7.5007232113205227</v>
      </c>
      <c r="AH55" s="35">
        <f t="shared" si="11"/>
        <v>8.4413911762520364</v>
      </c>
      <c r="AI55" s="35">
        <f t="shared" si="12"/>
        <v>8.5456795037963786</v>
      </c>
      <c r="AJ55" s="35">
        <f t="shared" si="13"/>
        <v>7.9128349119899575</v>
      </c>
      <c r="AK55" s="35">
        <f t="shared" si="14"/>
        <v>7.2953314024628204</v>
      </c>
      <c r="AL55" s="35">
        <f t="shared" si="15"/>
        <v>7.7362745153248413</v>
      </c>
      <c r="AM55" s="35">
        <f t="shared" si="16"/>
        <v>6.9713027083395511</v>
      </c>
      <c r="AN55" s="35">
        <f t="shared" si="17"/>
        <v>8.086089550740061</v>
      </c>
      <c r="AO55" s="35">
        <f t="shared" si="18"/>
        <v>8.4916564385458546</v>
      </c>
      <c r="AP55" s="35">
        <f t="shared" si="19"/>
        <v>8.4679419401570364</v>
      </c>
      <c r="AQ55" s="35">
        <f t="shared" si="20"/>
        <v>8.7265134859050093</v>
      </c>
      <c r="AR55" s="35">
        <f t="shared" si="21"/>
        <v>8.0614761003487523</v>
      </c>
      <c r="AS55" s="38"/>
      <c r="AT55" s="38">
        <f t="shared" si="23"/>
        <v>-1.2332883659306404E-2</v>
      </c>
      <c r="AU55" s="38">
        <f t="shared" si="24"/>
        <v>2.6773678786886634E-2</v>
      </c>
      <c r="AV55" s="38">
        <f t="shared" si="25"/>
        <v>3.5552680275031001E-2</v>
      </c>
      <c r="AW55" s="38">
        <f t="shared" si="26"/>
        <v>4.7070004472191229E-2</v>
      </c>
      <c r="AX55" s="38">
        <f t="shared" si="27"/>
        <v>9.0021126792171557E-2</v>
      </c>
      <c r="AY55" s="38">
        <f t="shared" si="28"/>
        <v>6.0697349054748884E-2</v>
      </c>
      <c r="AZ55" s="38">
        <f t="shared" si="29"/>
        <v>3.8879138278275605E-2</v>
      </c>
      <c r="BA55" s="38">
        <f t="shared" si="30"/>
        <v>-0.19182049468589391</v>
      </c>
      <c r="BB55" s="38">
        <f t="shared" si="31"/>
        <v>4.8902762823668233E-2</v>
      </c>
      <c r="BC55" s="38">
        <f t="shared" si="32"/>
        <v>-1.1961223923185216E-2</v>
      </c>
      <c r="BD55" s="38">
        <f t="shared" si="33"/>
        <v>7.7502568011205142E-3</v>
      </c>
      <c r="BE55" s="38">
        <f t="shared" si="34"/>
        <v>6.0773132895651116E-2</v>
      </c>
      <c r="BF55" s="38">
        <f t="shared" si="35"/>
        <v>1.9979471436158747E-2</v>
      </c>
      <c r="BG55" s="38">
        <f t="shared" si="36"/>
        <v>2.9990432666612499E-2</v>
      </c>
      <c r="BH55" s="38">
        <f t="shared" si="37"/>
        <v>2.760033309929355E-3</v>
      </c>
      <c r="BI55" s="38">
        <f t="shared" si="38"/>
        <v>-1.9371989687913427E-2</v>
      </c>
      <c r="BJ55" s="38">
        <f t="shared" si="39"/>
        <v>4.5318129185069722E-2</v>
      </c>
      <c r="BK55" s="38">
        <f t="shared" si="40"/>
        <v>5.394409823442281E-2</v>
      </c>
      <c r="BL55" s="38">
        <f t="shared" si="41"/>
        <v>2.6133033790701532E-2</v>
      </c>
      <c r="BM55" s="38">
        <f t="shared" si="42"/>
        <v>0.1067919233988377</v>
      </c>
      <c r="BN55" s="38">
        <f t="shared" si="43"/>
        <v>2.9389549089847478E-2</v>
      </c>
      <c r="BO55" s="7"/>
      <c r="BX55" s="7"/>
      <c r="CN55" s="7"/>
      <c r="CO55" s="8"/>
      <c r="CP55" s="7"/>
      <c r="DG55" s="7"/>
      <c r="DO55" s="7"/>
      <c r="EE55" s="7"/>
      <c r="EF55" s="7"/>
      <c r="GH55" s="7"/>
      <c r="GJ55" s="9"/>
    </row>
    <row r="56" spans="1:192" x14ac:dyDescent="0.25">
      <c r="A56" s="7">
        <v>1924</v>
      </c>
      <c r="B56" s="8">
        <v>3162.7758305394696</v>
      </c>
      <c r="C56" s="8">
        <v>4637.7883742052672</v>
      </c>
      <c r="D56" s="8">
        <v>1023.920869360428</v>
      </c>
      <c r="E56" s="8">
        <v>3977.0193740685545</v>
      </c>
      <c r="F56" s="8">
        <v>4528.1941575686042</v>
      </c>
      <c r="G56" s="8">
        <v>2224.0437041564792</v>
      </c>
      <c r="H56" s="8">
        <v>4179.4635078144374</v>
      </c>
      <c r="I56" s="8">
        <v>3198.8292900776751</v>
      </c>
      <c r="J56" s="8">
        <v>2765.0662688738321</v>
      </c>
      <c r="K56" s="8">
        <v>1836.3172136455032</v>
      </c>
      <c r="L56" s="8">
        <v>4895.4949063876657</v>
      </c>
      <c r="M56" s="8">
        <v>5142.9488888888882</v>
      </c>
      <c r="N56" s="8">
        <v>2715.1208223831809</v>
      </c>
      <c r="O56" s="8">
        <v>1401.2698412698412</v>
      </c>
      <c r="P56" s="8">
        <v>2331.0072953011008</v>
      </c>
      <c r="Q56" s="8">
        <v>1127.6595744680851</v>
      </c>
      <c r="R56" s="8">
        <v>3407.0752366716492</v>
      </c>
      <c r="S56" s="8">
        <v>5038.8226386036949</v>
      </c>
      <c r="T56" s="8">
        <v>4920.9420460870533</v>
      </c>
      <c r="U56" s="8">
        <v>6232.5506730215266</v>
      </c>
      <c r="V56" s="8">
        <v>3397.1962616822429</v>
      </c>
      <c r="W56" s="7"/>
      <c r="X56" s="35">
        <f t="shared" si="1"/>
        <v>8.0592053483753219</v>
      </c>
      <c r="Y56" s="35">
        <f t="shared" si="2"/>
        <v>8.4419928880994402</v>
      </c>
      <c r="Z56" s="35">
        <f t="shared" si="3"/>
        <v>6.931394526598301</v>
      </c>
      <c r="AA56" s="35">
        <f t="shared" si="4"/>
        <v>8.2882879167242525</v>
      </c>
      <c r="AB56" s="35">
        <f t="shared" si="5"/>
        <v>8.418078498285416</v>
      </c>
      <c r="AC56" s="35">
        <f t="shared" si="6"/>
        <v>7.7070823063268881</v>
      </c>
      <c r="AD56" s="35">
        <f t="shared" si="7"/>
        <v>8.3379381698687531</v>
      </c>
      <c r="AE56" s="35">
        <f t="shared" si="8"/>
        <v>8.0705401749988059</v>
      </c>
      <c r="AF56" s="35">
        <f t="shared" si="9"/>
        <v>7.9248198807122074</v>
      </c>
      <c r="AG56" s="35">
        <f t="shared" si="10"/>
        <v>7.5155173305733953</v>
      </c>
      <c r="AH56" s="35">
        <f t="shared" si="11"/>
        <v>8.4960706543253313</v>
      </c>
      <c r="AI56" s="35">
        <f t="shared" si="12"/>
        <v>8.5453819077299844</v>
      </c>
      <c r="AJ56" s="35">
        <f t="shared" si="13"/>
        <v>7.9065917331764535</v>
      </c>
      <c r="AK56" s="35">
        <f t="shared" si="14"/>
        <v>7.24513413397914</v>
      </c>
      <c r="AL56" s="35">
        <f t="shared" si="15"/>
        <v>7.7540557687181613</v>
      </c>
      <c r="AM56" s="35">
        <f t="shared" si="16"/>
        <v>7.0278995908241999</v>
      </c>
      <c r="AN56" s="35">
        <f t="shared" si="17"/>
        <v>8.1336095003850453</v>
      </c>
      <c r="AO56" s="35">
        <f t="shared" si="18"/>
        <v>8.5249277303242295</v>
      </c>
      <c r="AP56" s="35">
        <f t="shared" si="19"/>
        <v>8.5012552639397025</v>
      </c>
      <c r="AQ56" s="35">
        <f t="shared" si="20"/>
        <v>8.737540945813361</v>
      </c>
      <c r="AR56" s="35">
        <f t="shared" si="21"/>
        <v>8.1307057414938058</v>
      </c>
      <c r="AS56" s="38"/>
      <c r="AT56" s="38">
        <f t="shared" si="23"/>
        <v>0.10686476472177198</v>
      </c>
      <c r="AU56" s="38">
        <f t="shared" si="24"/>
        <v>2.2800618370641956E-2</v>
      </c>
      <c r="AV56" s="38">
        <f t="shared" si="25"/>
        <v>-2.0946854741987764E-2</v>
      </c>
      <c r="AW56" s="38">
        <f t="shared" si="26"/>
        <v>2.6700064121598643E-4</v>
      </c>
      <c r="AX56" s="38">
        <f t="shared" si="27"/>
        <v>-6.7386431717881834E-3</v>
      </c>
      <c r="AY56" s="38">
        <f t="shared" si="28"/>
        <v>1.6888077725482731E-2</v>
      </c>
      <c r="AZ56" s="38">
        <f t="shared" si="29"/>
        <v>0.10748731205557149</v>
      </c>
      <c r="BA56" s="38">
        <f t="shared" si="30"/>
        <v>0.15133719642998678</v>
      </c>
      <c r="BB56" s="38">
        <f t="shared" si="31"/>
        <v>7.3919638600283832E-4</v>
      </c>
      <c r="BC56" s="38">
        <f t="shared" si="32"/>
        <v>1.4794119252872662E-2</v>
      </c>
      <c r="BD56" s="38">
        <f t="shared" si="33"/>
        <v>5.4679478073294874E-2</v>
      </c>
      <c r="BE56" s="38">
        <f t="shared" si="34"/>
        <v>-2.9759606639423453E-4</v>
      </c>
      <c r="BF56" s="38">
        <f t="shared" si="35"/>
        <v>-6.2431788135040023E-3</v>
      </c>
      <c r="BG56" s="38">
        <f t="shared" si="36"/>
        <v>-5.0197268483680446E-2</v>
      </c>
      <c r="BH56" s="38">
        <f t="shared" si="37"/>
        <v>1.7781253393319929E-2</v>
      </c>
      <c r="BI56" s="38">
        <f t="shared" si="38"/>
        <v>5.6596882484648781E-2</v>
      </c>
      <c r="BJ56" s="38">
        <f t="shared" si="39"/>
        <v>4.7519949644984294E-2</v>
      </c>
      <c r="BK56" s="38">
        <f t="shared" si="40"/>
        <v>3.3271291778374845E-2</v>
      </c>
      <c r="BL56" s="38">
        <f t="shared" si="41"/>
        <v>3.331332378266616E-2</v>
      </c>
      <c r="BM56" s="38">
        <f t="shared" si="42"/>
        <v>1.1027459908351744E-2</v>
      </c>
      <c r="BN56" s="38">
        <f t="shared" si="43"/>
        <v>6.9229641145053478E-2</v>
      </c>
      <c r="BO56" s="7"/>
      <c r="BX56" s="7"/>
      <c r="CN56" s="7"/>
      <c r="CO56" s="8"/>
      <c r="CP56" s="7"/>
      <c r="DG56" s="7"/>
      <c r="DO56" s="7"/>
      <c r="EE56" s="7"/>
      <c r="EF56" s="7"/>
      <c r="GH56" s="7"/>
      <c r="GJ56" s="9"/>
    </row>
    <row r="57" spans="1:192" x14ac:dyDescent="0.25">
      <c r="A57" s="7">
        <v>1925</v>
      </c>
      <c r="B57" s="8">
        <v>3366.939380127621</v>
      </c>
      <c r="C57" s="8">
        <v>4665.5526417277288</v>
      </c>
      <c r="D57" s="8">
        <v>1007.3849399973625</v>
      </c>
      <c r="E57" s="8">
        <v>4340.2756309561209</v>
      </c>
      <c r="F57" s="8">
        <v>4378.3795620437959</v>
      </c>
      <c r="G57" s="8">
        <v>2328.1949152542375</v>
      </c>
      <c r="H57" s="8">
        <v>4166.3782073380935</v>
      </c>
      <c r="I57" s="8">
        <v>3531.6784346008931</v>
      </c>
      <c r="J57" s="8">
        <v>2920.8872930006273</v>
      </c>
      <c r="K57" s="8">
        <v>1885.1617553173614</v>
      </c>
      <c r="L57" s="8">
        <v>5030.9767852294326</v>
      </c>
      <c r="M57" s="8">
        <v>5291.581041968162</v>
      </c>
      <c r="N57" s="8">
        <v>2863.1552407880599</v>
      </c>
      <c r="O57" s="8">
        <v>1446.0645970523676</v>
      </c>
      <c r="P57" s="8">
        <v>2450.5203660506008</v>
      </c>
      <c r="Q57" s="8">
        <v>1186.9209809264305</v>
      </c>
      <c r="R57" s="8">
        <v>3414.0612076095945</v>
      </c>
      <c r="S57" s="8">
        <v>5387.538107416879</v>
      </c>
      <c r="T57" s="8">
        <v>5144.4944628154199</v>
      </c>
      <c r="U57" s="8">
        <v>6282.4188710398676</v>
      </c>
      <c r="V57" s="8">
        <v>3187.7444589308993</v>
      </c>
      <c r="W57" s="7"/>
      <c r="X57" s="35">
        <f t="shared" si="1"/>
        <v>8.1217594148788983</v>
      </c>
      <c r="Y57" s="35">
        <f t="shared" si="2"/>
        <v>8.4479615718014465</v>
      </c>
      <c r="Z57" s="35">
        <f t="shared" si="3"/>
        <v>6.9151130838225612</v>
      </c>
      <c r="AA57" s="35">
        <f t="shared" si="4"/>
        <v>8.3756931345147052</v>
      </c>
      <c r="AB57" s="35">
        <f t="shared" si="5"/>
        <v>8.3844339719135963</v>
      </c>
      <c r="AC57" s="35">
        <f t="shared" si="6"/>
        <v>7.7528485318302414</v>
      </c>
      <c r="AD57" s="35">
        <f t="shared" si="7"/>
        <v>8.3348024019869023</v>
      </c>
      <c r="AE57" s="35">
        <f t="shared" si="8"/>
        <v>8.169528514147915</v>
      </c>
      <c r="AF57" s="35">
        <f t="shared" si="9"/>
        <v>7.979642716569928</v>
      </c>
      <c r="AG57" s="35">
        <f t="shared" si="10"/>
        <v>7.541768908039935</v>
      </c>
      <c r="AH57" s="35">
        <f t="shared" si="11"/>
        <v>8.5233694361354981</v>
      </c>
      <c r="AI57" s="35">
        <f t="shared" si="12"/>
        <v>8.5738723539164816</v>
      </c>
      <c r="AJ57" s="35">
        <f t="shared" si="13"/>
        <v>7.9596795267465232</v>
      </c>
      <c r="AK57" s="35">
        <f t="shared" si="14"/>
        <v>7.2766010746478527</v>
      </c>
      <c r="AL57" s="35">
        <f t="shared" si="15"/>
        <v>7.8040556752926626</v>
      </c>
      <c r="AM57" s="35">
        <f t="shared" si="16"/>
        <v>7.0791178219863724</v>
      </c>
      <c r="AN57" s="35">
        <f t="shared" si="17"/>
        <v>8.1356578316089028</v>
      </c>
      <c r="AO57" s="35">
        <f t="shared" si="18"/>
        <v>8.5918438076894237</v>
      </c>
      <c r="AP57" s="35">
        <f t="shared" si="19"/>
        <v>8.5456823854843336</v>
      </c>
      <c r="AQ57" s="35">
        <f t="shared" si="20"/>
        <v>8.7455103558508611</v>
      </c>
      <c r="AR57" s="35">
        <f t="shared" si="21"/>
        <v>8.0670688795238537</v>
      </c>
      <c r="AS57" s="38"/>
      <c r="AT57" s="38">
        <f t="shared" si="23"/>
        <v>6.2554066503576422E-2</v>
      </c>
      <c r="AU57" s="38">
        <f t="shared" si="24"/>
        <v>5.9686837020063166E-3</v>
      </c>
      <c r="AV57" s="38">
        <f t="shared" si="25"/>
        <v>-1.6281442775739841E-2</v>
      </c>
      <c r="AW57" s="38">
        <f t="shared" si="26"/>
        <v>8.7405217790452738E-2</v>
      </c>
      <c r="AX57" s="38">
        <f t="shared" si="27"/>
        <v>-3.3644526371819694E-2</v>
      </c>
      <c r="AY57" s="38">
        <f t="shared" si="28"/>
        <v>4.5766225503353297E-2</v>
      </c>
      <c r="AZ57" s="38">
        <f t="shared" si="29"/>
        <v>-3.1357678818508816E-3</v>
      </c>
      <c r="BA57" s="38">
        <f t="shared" si="30"/>
        <v>9.8988339149109095E-2</v>
      </c>
      <c r="BB57" s="38">
        <f t="shared" si="31"/>
        <v>5.482283585772052E-2</v>
      </c>
      <c r="BC57" s="38">
        <f t="shared" si="32"/>
        <v>2.6251577466539722E-2</v>
      </c>
      <c r="BD57" s="38">
        <f t="shared" si="33"/>
        <v>2.7298781810166872E-2</v>
      </c>
      <c r="BE57" s="38">
        <f t="shared" si="34"/>
        <v>2.8490446186497209E-2</v>
      </c>
      <c r="BF57" s="38">
        <f t="shared" si="35"/>
        <v>5.3087793570069763E-2</v>
      </c>
      <c r="BG57" s="38">
        <f t="shared" si="36"/>
        <v>3.1466940668712695E-2</v>
      </c>
      <c r="BH57" s="38">
        <f t="shared" si="37"/>
        <v>4.9999906574501374E-2</v>
      </c>
      <c r="BI57" s="38">
        <f t="shared" si="38"/>
        <v>5.1218231162172501E-2</v>
      </c>
      <c r="BJ57" s="38">
        <f t="shared" si="39"/>
        <v>2.0483312238575024E-3</v>
      </c>
      <c r="BK57" s="38">
        <f t="shared" si="40"/>
        <v>6.6916077365194226E-2</v>
      </c>
      <c r="BL57" s="38">
        <f t="shared" si="41"/>
        <v>4.4427121544631021E-2</v>
      </c>
      <c r="BM57" s="38">
        <f t="shared" si="42"/>
        <v>7.9694100375000687E-3</v>
      </c>
      <c r="BN57" s="38">
        <f t="shared" si="43"/>
        <v>-6.3636861969952108E-2</v>
      </c>
      <c r="BO57" s="7"/>
      <c r="BX57" s="7"/>
      <c r="CN57" s="7"/>
      <c r="CO57" s="8"/>
      <c r="CP57" s="7"/>
      <c r="DG57" s="7"/>
      <c r="DO57" s="7"/>
      <c r="EE57" s="7"/>
      <c r="EF57" s="7"/>
      <c r="GH57" s="7"/>
      <c r="GJ57" s="9"/>
    </row>
    <row r="58" spans="1:192" x14ac:dyDescent="0.25">
      <c r="A58" s="7">
        <v>1926</v>
      </c>
      <c r="B58" s="8">
        <v>3413.0563380281692</v>
      </c>
      <c r="C58" s="8">
        <v>4783.5951045385009</v>
      </c>
      <c r="D58" s="8">
        <v>1008.3029108648595</v>
      </c>
      <c r="E58" s="8">
        <v>4497.057139915577</v>
      </c>
      <c r="F58" s="8">
        <v>4597.6825028968715</v>
      </c>
      <c r="G58" s="8">
        <v>2391.8089248277929</v>
      </c>
      <c r="H58" s="8">
        <v>4249.4685099094695</v>
      </c>
      <c r="I58" s="8">
        <v>3604.6361779035046</v>
      </c>
      <c r="J58" s="8">
        <v>2926.303035505734</v>
      </c>
      <c r="K58" s="8">
        <v>1871.5777814514795</v>
      </c>
      <c r="L58" s="8">
        <v>5357.7593360995852</v>
      </c>
      <c r="M58" s="8">
        <v>4904.8427762039655</v>
      </c>
      <c r="N58" s="8">
        <v>2889.272777387007</v>
      </c>
      <c r="O58" s="8">
        <v>1419.0800681431006</v>
      </c>
      <c r="P58" s="8">
        <v>2416.9109157118751</v>
      </c>
      <c r="Q58" s="8">
        <v>1266.3660955816049</v>
      </c>
      <c r="R58" s="8">
        <v>3673.9775725593668</v>
      </c>
      <c r="S58" s="8">
        <v>5625.6831129196335</v>
      </c>
      <c r="T58" s="8">
        <v>4936.1136363636369</v>
      </c>
      <c r="U58" s="8">
        <v>6602.4422138693508</v>
      </c>
      <c r="V58" s="8">
        <v>3397.8357733927432</v>
      </c>
      <c r="W58" s="7"/>
      <c r="X58" s="35">
        <f t="shared" si="1"/>
        <v>8.1353634556641605</v>
      </c>
      <c r="Y58" s="35">
        <f t="shared" si="2"/>
        <v>8.4729476567097528</v>
      </c>
      <c r="Z58" s="35">
        <f t="shared" si="3"/>
        <v>6.9160239102985628</v>
      </c>
      <c r="AA58" s="35">
        <f t="shared" si="4"/>
        <v>8.4111784929198201</v>
      </c>
      <c r="AB58" s="35">
        <f t="shared" si="5"/>
        <v>8.4333076518073806</v>
      </c>
      <c r="AC58" s="35">
        <f t="shared" si="6"/>
        <v>7.7798052309550361</v>
      </c>
      <c r="AD58" s="35">
        <f t="shared" si="7"/>
        <v>8.3545491976063584</v>
      </c>
      <c r="AE58" s="35">
        <f t="shared" si="8"/>
        <v>8.1899761231014434</v>
      </c>
      <c r="AF58" s="35">
        <f t="shared" si="9"/>
        <v>7.9814951426923928</v>
      </c>
      <c r="AG58" s="35">
        <f t="shared" si="10"/>
        <v>7.5345370875022102</v>
      </c>
      <c r="AH58" s="35">
        <f t="shared" si="11"/>
        <v>8.5863011323543681</v>
      </c>
      <c r="AI58" s="35">
        <f t="shared" si="12"/>
        <v>8.4979783177046837</v>
      </c>
      <c r="AJ58" s="35">
        <f t="shared" si="13"/>
        <v>7.9687601153191574</v>
      </c>
      <c r="AK58" s="35">
        <f t="shared" si="14"/>
        <v>7.2577641013208831</v>
      </c>
      <c r="AL58" s="35">
        <f t="shared" si="15"/>
        <v>7.790245522643958</v>
      </c>
      <c r="AM58" s="35">
        <f t="shared" si="16"/>
        <v>7.1439067359260466</v>
      </c>
      <c r="AN58" s="35">
        <f t="shared" si="17"/>
        <v>8.2090301613904533</v>
      </c>
      <c r="AO58" s="35">
        <f t="shared" si="18"/>
        <v>8.6350976619959265</v>
      </c>
      <c r="AP58" s="35">
        <f t="shared" si="19"/>
        <v>8.5043335872739583</v>
      </c>
      <c r="AQ58" s="35">
        <f t="shared" si="20"/>
        <v>8.7951948919738587</v>
      </c>
      <c r="AR58" s="35">
        <f t="shared" si="21"/>
        <v>8.1308939706909857</v>
      </c>
      <c r="AS58" s="38"/>
      <c r="AT58" s="38">
        <f t="shared" si="23"/>
        <v>1.3604040785262228E-2</v>
      </c>
      <c r="AU58" s="38">
        <f t="shared" si="24"/>
        <v>2.4986084908306339E-2</v>
      </c>
      <c r="AV58" s="38">
        <f t="shared" si="25"/>
        <v>9.1082647600160271E-4</v>
      </c>
      <c r="AW58" s="38">
        <f t="shared" si="26"/>
        <v>3.5485358405114908E-2</v>
      </c>
      <c r="AX58" s="38">
        <f t="shared" si="27"/>
        <v>4.8873679893784328E-2</v>
      </c>
      <c r="AY58" s="38">
        <f t="shared" si="28"/>
        <v>2.6956699124794703E-2</v>
      </c>
      <c r="AZ58" s="38">
        <f t="shared" si="29"/>
        <v>1.9746795619456137E-2</v>
      </c>
      <c r="BA58" s="38">
        <f t="shared" si="30"/>
        <v>2.0447608953528373E-2</v>
      </c>
      <c r="BB58" s="38">
        <f t="shared" si="31"/>
        <v>1.8524261224648342E-3</v>
      </c>
      <c r="BC58" s="38">
        <f t="shared" si="32"/>
        <v>-7.2318205377248646E-3</v>
      </c>
      <c r="BD58" s="38">
        <f t="shared" si="33"/>
        <v>6.2931696218869959E-2</v>
      </c>
      <c r="BE58" s="38">
        <f t="shared" si="34"/>
        <v>-7.5894036211797911E-2</v>
      </c>
      <c r="BF58" s="38">
        <f t="shared" si="35"/>
        <v>9.0805885726341629E-3</v>
      </c>
      <c r="BG58" s="38">
        <f t="shared" si="36"/>
        <v>-1.8836973326969542E-2</v>
      </c>
      <c r="BH58" s="38">
        <f t="shared" si="37"/>
        <v>-1.3810152648704666E-2</v>
      </c>
      <c r="BI58" s="38">
        <f t="shared" si="38"/>
        <v>6.4788913939674231E-2</v>
      </c>
      <c r="BJ58" s="38">
        <f t="shared" si="39"/>
        <v>7.3372329781550505E-2</v>
      </c>
      <c r="BK58" s="38">
        <f t="shared" si="40"/>
        <v>4.3253854306502859E-2</v>
      </c>
      <c r="BL58" s="38">
        <f t="shared" si="41"/>
        <v>-4.1348798210375293E-2</v>
      </c>
      <c r="BM58" s="38">
        <f t="shared" si="42"/>
        <v>4.9684536122997613E-2</v>
      </c>
      <c r="BN58" s="38">
        <f t="shared" si="43"/>
        <v>6.3825091167132086E-2</v>
      </c>
      <c r="BO58" s="7"/>
      <c r="BX58" s="7"/>
      <c r="CN58" s="7"/>
      <c r="CO58" s="8"/>
      <c r="CP58" s="7"/>
      <c r="DG58" s="7"/>
      <c r="DO58" s="7"/>
      <c r="EE58" s="7"/>
      <c r="EF58" s="7"/>
      <c r="GH58" s="7"/>
      <c r="GJ58" s="9"/>
    </row>
    <row r="59" spans="1:192" x14ac:dyDescent="0.25">
      <c r="A59" s="7">
        <v>1927</v>
      </c>
      <c r="B59" s="8">
        <v>3505.4340933111889</v>
      </c>
      <c r="C59" s="8">
        <v>4923.2592358299589</v>
      </c>
      <c r="D59" s="8">
        <v>1059.8030835470288</v>
      </c>
      <c r="E59" s="8">
        <v>4846.9964664310955</v>
      </c>
      <c r="F59" s="8">
        <v>4657.9251798561154</v>
      </c>
      <c r="G59" s="8">
        <v>2557.1175771971498</v>
      </c>
      <c r="H59" s="8">
        <v>4153.9705178309732</v>
      </c>
      <c r="I59" s="8">
        <v>3941.0992924417787</v>
      </c>
      <c r="J59" s="8">
        <v>2838.1424324717145</v>
      </c>
      <c r="K59" s="8">
        <v>1869.7665472895978</v>
      </c>
      <c r="L59" s="8">
        <v>5504.1981256599793</v>
      </c>
      <c r="M59" s="8">
        <v>4682.7306889352813</v>
      </c>
      <c r="N59" s="8">
        <v>2985.567280364216</v>
      </c>
      <c r="O59" s="8">
        <v>1647.5986540226368</v>
      </c>
      <c r="P59" s="8">
        <v>2599.9032839495317</v>
      </c>
      <c r="Q59" s="8">
        <v>1261.4916830620639</v>
      </c>
      <c r="R59" s="8">
        <v>3779.9703996053281</v>
      </c>
      <c r="S59" s="8">
        <v>5891.5475227502538</v>
      </c>
      <c r="T59" s="8">
        <v>5314.9382449492168</v>
      </c>
      <c r="U59" s="8">
        <v>6576.4989456243411</v>
      </c>
      <c r="V59" s="8">
        <v>3797.2636815920396</v>
      </c>
      <c r="W59" s="7"/>
      <c r="X59" s="35">
        <f t="shared" si="1"/>
        <v>8.1620696415320957</v>
      </c>
      <c r="Y59" s="35">
        <f t="shared" si="2"/>
        <v>8.5017260364725544</v>
      </c>
      <c r="Z59" s="35">
        <f t="shared" si="3"/>
        <v>6.9658383996100328</v>
      </c>
      <c r="AA59" s="35">
        <f t="shared" si="4"/>
        <v>8.4861145068232613</v>
      </c>
      <c r="AB59" s="35">
        <f t="shared" si="5"/>
        <v>8.4463253875965414</v>
      </c>
      <c r="AC59" s="35">
        <f t="shared" si="6"/>
        <v>7.8466359567123787</v>
      </c>
      <c r="AD59" s="35">
        <f t="shared" si="7"/>
        <v>8.3318199071145251</v>
      </c>
      <c r="AE59" s="35">
        <f t="shared" si="8"/>
        <v>8.279214971610374</v>
      </c>
      <c r="AF59" s="35">
        <f t="shared" si="9"/>
        <v>7.9509050440828002</v>
      </c>
      <c r="AG59" s="35">
        <f t="shared" si="10"/>
        <v>7.5335688610337384</v>
      </c>
      <c r="AH59" s="35">
        <f t="shared" si="11"/>
        <v>8.6132663756331898</v>
      </c>
      <c r="AI59" s="35">
        <f t="shared" si="12"/>
        <v>8.4516366992948342</v>
      </c>
      <c r="AJ59" s="35">
        <f t="shared" si="13"/>
        <v>8.0015450514437951</v>
      </c>
      <c r="AK59" s="35">
        <f t="shared" si="14"/>
        <v>7.4070741456294709</v>
      </c>
      <c r="AL59" s="35">
        <f t="shared" si="15"/>
        <v>7.8632295248367434</v>
      </c>
      <c r="AM59" s="35">
        <f t="shared" si="16"/>
        <v>7.1400501751636707</v>
      </c>
      <c r="AN59" s="35">
        <f t="shared" si="17"/>
        <v>8.2374714577907309</v>
      </c>
      <c r="AO59" s="35">
        <f t="shared" si="18"/>
        <v>8.6812739794452707</v>
      </c>
      <c r="AP59" s="35">
        <f t="shared" si="19"/>
        <v>8.5782766716961696</v>
      </c>
      <c r="AQ59" s="35">
        <f t="shared" si="20"/>
        <v>8.7912578075840795</v>
      </c>
      <c r="AR59" s="35">
        <f t="shared" si="21"/>
        <v>8.2420360025380486</v>
      </c>
      <c r="AS59" s="38"/>
      <c r="AT59" s="38">
        <f t="shared" si="23"/>
        <v>2.6706185867935162E-2</v>
      </c>
      <c r="AU59" s="38">
        <f t="shared" si="24"/>
        <v>2.877837976280162E-2</v>
      </c>
      <c r="AV59" s="38">
        <f t="shared" si="25"/>
        <v>4.9814489311470034E-2</v>
      </c>
      <c r="AW59" s="38">
        <f t="shared" si="26"/>
        <v>7.4936013903441179E-2</v>
      </c>
      <c r="AX59" s="38">
        <f t="shared" si="27"/>
        <v>1.3017735789160767E-2</v>
      </c>
      <c r="AY59" s="38">
        <f t="shared" si="28"/>
        <v>6.6830725757342613E-2</v>
      </c>
      <c r="AZ59" s="38">
        <f t="shared" si="29"/>
        <v>-2.2729290491833254E-2</v>
      </c>
      <c r="BA59" s="38">
        <f t="shared" si="30"/>
        <v>8.9238848508930602E-2</v>
      </c>
      <c r="BB59" s="38">
        <f t="shared" si="31"/>
        <v>-3.0590098609592609E-2</v>
      </c>
      <c r="BC59" s="38">
        <f t="shared" si="32"/>
        <v>-9.6822646847183336E-4</v>
      </c>
      <c r="BD59" s="38">
        <f t="shared" si="33"/>
        <v>2.696524327882166E-2</v>
      </c>
      <c r="BE59" s="38">
        <f t="shared" si="34"/>
        <v>-4.6341618409849517E-2</v>
      </c>
      <c r="BF59" s="38">
        <f t="shared" si="35"/>
        <v>3.2784936124637731E-2</v>
      </c>
      <c r="BG59" s="38">
        <f t="shared" si="36"/>
        <v>0.14931004430858774</v>
      </c>
      <c r="BH59" s="38">
        <f t="shared" si="37"/>
        <v>7.2984002192785447E-2</v>
      </c>
      <c r="BI59" s="38">
        <f t="shared" si="38"/>
        <v>-3.856560762375949E-3</v>
      </c>
      <c r="BJ59" s="38">
        <f t="shared" si="39"/>
        <v>2.8441296400277594E-2</v>
      </c>
      <c r="BK59" s="38">
        <f t="shared" si="40"/>
        <v>4.617631744934414E-2</v>
      </c>
      <c r="BL59" s="38">
        <f t="shared" si="41"/>
        <v>7.3943084422211314E-2</v>
      </c>
      <c r="BM59" s="38">
        <f t="shared" si="42"/>
        <v>-3.937084389779244E-3</v>
      </c>
      <c r="BN59" s="38">
        <f t="shared" si="43"/>
        <v>0.11114203184706284</v>
      </c>
      <c r="BO59" s="7"/>
      <c r="BX59" s="7"/>
      <c r="CN59" s="7"/>
      <c r="CO59" s="8"/>
      <c r="CP59" s="7"/>
      <c r="DG59" s="7"/>
      <c r="DO59" s="7"/>
      <c r="EE59" s="7"/>
      <c r="EF59" s="7"/>
      <c r="GH59" s="7"/>
      <c r="GJ59" s="9"/>
    </row>
    <row r="60" spans="1:192" x14ac:dyDescent="0.25">
      <c r="A60" s="7">
        <v>1928</v>
      </c>
      <c r="B60" s="8">
        <v>3657.2687038988411</v>
      </c>
      <c r="C60" s="8">
        <v>5139.4706325301204</v>
      </c>
      <c r="D60" s="8">
        <v>1158.1870075076006</v>
      </c>
      <c r="E60" s="8">
        <v>5171.5891956070045</v>
      </c>
      <c r="F60" s="8">
        <v>4785.4675436088073</v>
      </c>
      <c r="G60" s="8">
        <v>2707.2352767962311</v>
      </c>
      <c r="H60" s="8">
        <v>4431.4653105968337</v>
      </c>
      <c r="I60" s="8">
        <v>4089.9942540338234</v>
      </c>
      <c r="J60" s="8">
        <v>3015.5367261601491</v>
      </c>
      <c r="K60" s="8">
        <v>1992.3718670322799</v>
      </c>
      <c r="L60" s="8">
        <v>5719.5989061075661</v>
      </c>
      <c r="M60" s="8">
        <v>5140.8755158184331</v>
      </c>
      <c r="N60" s="8">
        <v>3105.9016558909871</v>
      </c>
      <c r="O60" s="8">
        <v>1470.3127360628494</v>
      </c>
      <c r="P60" s="8">
        <v>2583.9317578448013</v>
      </c>
      <c r="Q60" s="8">
        <v>1256.893542757417</v>
      </c>
      <c r="R60" s="8">
        <v>3885.0254223388552</v>
      </c>
      <c r="S60" s="8">
        <v>6170.7921263791377</v>
      </c>
      <c r="T60" s="8">
        <v>5356.9653341524427</v>
      </c>
      <c r="U60" s="8">
        <v>6569.345446429309</v>
      </c>
      <c r="V60" s="8">
        <v>3905.832320777643</v>
      </c>
      <c r="W60" s="7"/>
      <c r="X60" s="35">
        <f t="shared" si="1"/>
        <v>8.2044718920426281</v>
      </c>
      <c r="Y60" s="35">
        <f t="shared" si="2"/>
        <v>8.5447053633652672</v>
      </c>
      <c r="Z60" s="35">
        <f t="shared" si="3"/>
        <v>7.0546111368973072</v>
      </c>
      <c r="AA60" s="35">
        <f t="shared" si="4"/>
        <v>8.5509353082002058</v>
      </c>
      <c r="AB60" s="35">
        <f t="shared" si="5"/>
        <v>8.473339009376792</v>
      </c>
      <c r="AC60" s="35">
        <f t="shared" si="6"/>
        <v>7.9036832000584729</v>
      </c>
      <c r="AD60" s="35">
        <f t="shared" si="7"/>
        <v>8.3964855782333014</v>
      </c>
      <c r="AE60" s="35">
        <f t="shared" si="8"/>
        <v>8.3162988441541543</v>
      </c>
      <c r="AF60" s="35">
        <f t="shared" si="9"/>
        <v>8.0115331119447646</v>
      </c>
      <c r="AG60" s="35">
        <f t="shared" si="10"/>
        <v>7.5970811009590449</v>
      </c>
      <c r="AH60" s="35">
        <f t="shared" si="11"/>
        <v>8.6516539606053637</v>
      </c>
      <c r="AI60" s="35">
        <f t="shared" si="12"/>
        <v>8.5449786777608683</v>
      </c>
      <c r="AJ60" s="35">
        <f t="shared" si="13"/>
        <v>8.0410593405837254</v>
      </c>
      <c r="AK60" s="35">
        <f t="shared" si="14"/>
        <v>7.2932304027666275</v>
      </c>
      <c r="AL60" s="35">
        <f t="shared" si="15"/>
        <v>7.8570674550509692</v>
      </c>
      <c r="AM60" s="35">
        <f t="shared" si="16"/>
        <v>7.1363985134821721</v>
      </c>
      <c r="AN60" s="35">
        <f t="shared" si="17"/>
        <v>8.2648848064969034</v>
      </c>
      <c r="AO60" s="35">
        <f t="shared" si="18"/>
        <v>8.7275824921888177</v>
      </c>
      <c r="AP60" s="35">
        <f t="shared" si="19"/>
        <v>8.5861529247292481</v>
      </c>
      <c r="AQ60" s="35">
        <f t="shared" si="20"/>
        <v>8.7901694788791627</v>
      </c>
      <c r="AR60" s="35">
        <f t="shared" si="21"/>
        <v>8.2702261818868088</v>
      </c>
      <c r="AS60" s="38"/>
      <c r="AT60" s="38">
        <f t="shared" si="23"/>
        <v>4.2402250510532369E-2</v>
      </c>
      <c r="AU60" s="38">
        <f t="shared" si="24"/>
        <v>4.2979326892712777E-2</v>
      </c>
      <c r="AV60" s="38">
        <f t="shared" si="25"/>
        <v>8.8772737287274417E-2</v>
      </c>
      <c r="AW60" s="38">
        <f t="shared" si="26"/>
        <v>6.4820801376944459E-2</v>
      </c>
      <c r="AX60" s="38">
        <f t="shared" si="27"/>
        <v>2.7013621780250574E-2</v>
      </c>
      <c r="AY60" s="38">
        <f t="shared" si="28"/>
        <v>5.7047243346094234E-2</v>
      </c>
      <c r="AZ60" s="38">
        <f t="shared" si="29"/>
        <v>6.4665671118776302E-2</v>
      </c>
      <c r="BA60" s="38">
        <f t="shared" si="30"/>
        <v>3.7083872543780316E-2</v>
      </c>
      <c r="BB60" s="38">
        <f t="shared" si="31"/>
        <v>6.0628067861964396E-2</v>
      </c>
      <c r="BC60" s="38">
        <f t="shared" si="32"/>
        <v>6.3512239925306524E-2</v>
      </c>
      <c r="BD60" s="38">
        <f t="shared" si="33"/>
        <v>3.8387584972173983E-2</v>
      </c>
      <c r="BE60" s="38">
        <f t="shared" si="34"/>
        <v>9.3341978466034092E-2</v>
      </c>
      <c r="BF60" s="38">
        <f t="shared" si="35"/>
        <v>3.951428913993027E-2</v>
      </c>
      <c r="BG60" s="38">
        <f t="shared" si="36"/>
        <v>-0.11384374286284338</v>
      </c>
      <c r="BH60" s="38">
        <f t="shared" si="37"/>
        <v>-6.1620697857742712E-3</v>
      </c>
      <c r="BI60" s="38">
        <f t="shared" si="38"/>
        <v>-3.6516616814985525E-3</v>
      </c>
      <c r="BJ60" s="38">
        <f t="shared" si="39"/>
        <v>2.7413348706172513E-2</v>
      </c>
      <c r="BK60" s="38">
        <f t="shared" si="40"/>
        <v>4.630851274354697E-2</v>
      </c>
      <c r="BL60" s="38">
        <f t="shared" si="41"/>
        <v>7.8762530330784841E-3</v>
      </c>
      <c r="BM60" s="38">
        <f t="shared" si="42"/>
        <v>-1.0883287049168189E-3</v>
      </c>
      <c r="BN60" s="38">
        <f t="shared" si="43"/>
        <v>2.8190179348760225E-2</v>
      </c>
      <c r="BO60" s="7"/>
      <c r="BX60" s="7"/>
      <c r="CN60" s="7"/>
      <c r="CO60" s="8"/>
      <c r="CP60" s="7"/>
      <c r="DG60" s="7"/>
      <c r="DO60" s="7"/>
      <c r="EE60" s="7"/>
      <c r="EF60" s="7"/>
      <c r="GH60" s="7"/>
      <c r="GJ60" s="9"/>
    </row>
    <row r="61" spans="1:192" x14ac:dyDescent="0.25">
      <c r="A61" s="7">
        <v>1929</v>
      </c>
      <c r="B61" s="8">
        <v>3698.5295618247301</v>
      </c>
      <c r="C61" s="8">
        <v>5054.21875</v>
      </c>
      <c r="D61" s="8">
        <v>1137.4414786891227</v>
      </c>
      <c r="E61" s="8">
        <v>5065.4459000485194</v>
      </c>
      <c r="F61" s="8">
        <v>5075.3553155201816</v>
      </c>
      <c r="G61" s="8">
        <v>2716.8177570093453</v>
      </c>
      <c r="H61" s="8">
        <v>4709.9979626485565</v>
      </c>
      <c r="I61" s="8">
        <v>4051.4064165340828</v>
      </c>
      <c r="J61" s="8">
        <v>3093.2432555680425</v>
      </c>
      <c r="K61" s="8">
        <v>2025.7346783884636</v>
      </c>
      <c r="L61" s="8">
        <v>5688.7907992803903</v>
      </c>
      <c r="M61" s="8">
        <v>5262.2426920462267</v>
      </c>
      <c r="N61" s="8">
        <v>3387.3902679562434</v>
      </c>
      <c r="O61" s="8">
        <v>1610.0582002686165</v>
      </c>
      <c r="P61" s="8">
        <v>2738.9056441189141</v>
      </c>
      <c r="Q61" s="8">
        <v>1335.5089080966659</v>
      </c>
      <c r="R61" s="8">
        <v>4144.9370194667108</v>
      </c>
      <c r="S61" s="8">
        <v>6331.7342118349079</v>
      </c>
      <c r="T61" s="8">
        <v>5503.3180504466636</v>
      </c>
      <c r="U61" s="8">
        <v>6898.7221563254125</v>
      </c>
      <c r="V61" s="8">
        <v>3847.4777448071218</v>
      </c>
      <c r="W61" s="7"/>
      <c r="X61" s="35">
        <f t="shared" si="1"/>
        <v>8.2156906039187128</v>
      </c>
      <c r="Y61" s="35">
        <f t="shared" si="2"/>
        <v>8.5279785695599539</v>
      </c>
      <c r="Z61" s="35">
        <f t="shared" si="3"/>
        <v>7.0365367021953817</v>
      </c>
      <c r="AA61" s="35">
        <f t="shared" si="4"/>
        <v>8.5301974483554677</v>
      </c>
      <c r="AB61" s="35">
        <f t="shared" si="5"/>
        <v>8.5321518143695787</v>
      </c>
      <c r="AC61" s="35">
        <f t="shared" si="6"/>
        <v>7.9072165320973413</v>
      </c>
      <c r="AD61" s="35">
        <f t="shared" si="7"/>
        <v>8.4574427544516766</v>
      </c>
      <c r="AE61" s="35">
        <f t="shared" si="8"/>
        <v>8.3068193631603755</v>
      </c>
      <c r="AF61" s="35">
        <f t="shared" si="9"/>
        <v>8.0369754167209138</v>
      </c>
      <c r="AG61" s="35">
        <f t="shared" si="10"/>
        <v>7.6136877178855817</v>
      </c>
      <c r="AH61" s="35">
        <f t="shared" si="11"/>
        <v>8.6462529912287351</v>
      </c>
      <c r="AI61" s="35">
        <f t="shared" si="12"/>
        <v>8.5683125821722115</v>
      </c>
      <c r="AJ61" s="35">
        <f t="shared" si="13"/>
        <v>8.1278150714400361</v>
      </c>
      <c r="AK61" s="35">
        <f t="shared" si="14"/>
        <v>7.3840256065603063</v>
      </c>
      <c r="AL61" s="35">
        <f t="shared" si="15"/>
        <v>7.915313719644109</v>
      </c>
      <c r="AM61" s="35">
        <f t="shared" si="16"/>
        <v>7.1970677027611396</v>
      </c>
      <c r="AN61" s="35">
        <f t="shared" si="17"/>
        <v>8.3296428731154109</v>
      </c>
      <c r="AO61" s="35">
        <f t="shared" si="18"/>
        <v>8.7533294447306051</v>
      </c>
      <c r="AP61" s="35">
        <f t="shared" si="19"/>
        <v>8.6131064712185861</v>
      </c>
      <c r="AQ61" s="35">
        <f t="shared" si="20"/>
        <v>8.8390914786992401</v>
      </c>
      <c r="AR61" s="35">
        <f t="shared" si="21"/>
        <v>8.2551730813706712</v>
      </c>
      <c r="AS61" s="38"/>
      <c r="AT61" s="38">
        <f t="shared" si="23"/>
        <v>1.1218711876084697E-2</v>
      </c>
      <c r="AU61" s="38">
        <f t="shared" si="24"/>
        <v>-1.6726793805313278E-2</v>
      </c>
      <c r="AV61" s="38">
        <f t="shared" si="25"/>
        <v>-1.807443470192549E-2</v>
      </c>
      <c r="AW61" s="38">
        <f t="shared" si="26"/>
        <v>-2.0737859844738082E-2</v>
      </c>
      <c r="AX61" s="38">
        <f t="shared" si="27"/>
        <v>5.8812804992786738E-2</v>
      </c>
      <c r="AY61" s="38">
        <f t="shared" si="28"/>
        <v>3.5333320388684086E-3</v>
      </c>
      <c r="AZ61" s="38">
        <f t="shared" si="29"/>
        <v>6.0957176218375153E-2</v>
      </c>
      <c r="BA61" s="38">
        <f t="shared" si="30"/>
        <v>-9.4794809937788216E-3</v>
      </c>
      <c r="BB61" s="38">
        <f t="shared" si="31"/>
        <v>2.5442304776149172E-2</v>
      </c>
      <c r="BC61" s="38">
        <f t="shared" si="32"/>
        <v>1.6606616926536866E-2</v>
      </c>
      <c r="BD61" s="38">
        <f t="shared" si="33"/>
        <v>-5.4009693766285949E-3</v>
      </c>
      <c r="BE61" s="38">
        <f t="shared" si="34"/>
        <v>2.3333904411343198E-2</v>
      </c>
      <c r="BF61" s="38">
        <f t="shared" si="35"/>
        <v>8.675573085631072E-2</v>
      </c>
      <c r="BG61" s="38">
        <f t="shared" si="36"/>
        <v>9.079520379367878E-2</v>
      </c>
      <c r="BH61" s="38">
        <f t="shared" si="37"/>
        <v>5.8246264593139863E-2</v>
      </c>
      <c r="BI61" s="38">
        <f t="shared" si="38"/>
        <v>6.0669189278967472E-2</v>
      </c>
      <c r="BJ61" s="38">
        <f t="shared" si="39"/>
        <v>6.475806661850747E-2</v>
      </c>
      <c r="BK61" s="38">
        <f t="shared" si="40"/>
        <v>2.5746952541787493E-2</v>
      </c>
      <c r="BL61" s="38">
        <f t="shared" si="41"/>
        <v>2.6953546489338009E-2</v>
      </c>
      <c r="BM61" s="38">
        <f t="shared" si="42"/>
        <v>4.8921999820077389E-2</v>
      </c>
      <c r="BN61" s="38">
        <f t="shared" si="43"/>
        <v>-1.5053100516137619E-2</v>
      </c>
      <c r="BO61" s="7"/>
      <c r="BX61" s="7"/>
      <c r="CN61" s="7"/>
      <c r="CO61" s="8"/>
      <c r="CP61" s="7"/>
      <c r="DG61" s="7"/>
      <c r="DO61" s="7"/>
      <c r="EE61" s="7"/>
      <c r="EF61" s="7"/>
      <c r="GH61" s="7"/>
      <c r="GJ61" s="9"/>
    </row>
    <row r="62" spans="1:192" x14ac:dyDescent="0.25">
      <c r="A62" s="7">
        <v>1930</v>
      </c>
      <c r="B62" s="8">
        <v>3585.7154398563739</v>
      </c>
      <c r="C62" s="8">
        <v>4978.6182516097078</v>
      </c>
      <c r="D62" s="8">
        <v>1048.2304575786463</v>
      </c>
      <c r="E62" s="8">
        <v>4810.6045003813888</v>
      </c>
      <c r="F62" s="8">
        <v>5340.7876905702997</v>
      </c>
      <c r="G62" s="8">
        <v>2665.633806900551</v>
      </c>
      <c r="H62" s="8">
        <v>4531.5583994232147</v>
      </c>
      <c r="I62" s="8">
        <v>3973.3575072214367</v>
      </c>
      <c r="J62" s="8">
        <v>2917.6524656102192</v>
      </c>
      <c r="K62" s="8">
        <v>1850.3913212778218</v>
      </c>
      <c r="L62" s="8">
        <v>5602.5304414003049</v>
      </c>
      <c r="M62" s="8">
        <v>4960.1212324179496</v>
      </c>
      <c r="N62" s="8">
        <v>3627.1045717701813</v>
      </c>
      <c r="O62" s="8">
        <v>1570.7547169811321</v>
      </c>
      <c r="P62" s="8">
        <v>2620.388142461079</v>
      </c>
      <c r="Q62" s="8">
        <v>1265.1130190993515</v>
      </c>
      <c r="R62" s="8">
        <v>4305.9859729244818</v>
      </c>
      <c r="S62" s="8">
        <v>6245.7183411503329</v>
      </c>
      <c r="T62" s="8">
        <v>5440.8624689312337</v>
      </c>
      <c r="U62" s="8">
        <v>6212.7127066015455</v>
      </c>
      <c r="V62" s="8">
        <v>4301.2259194395801</v>
      </c>
      <c r="W62" s="7"/>
      <c r="X62" s="35">
        <f t="shared" si="1"/>
        <v>8.1847132979368062</v>
      </c>
      <c r="Y62" s="35">
        <f t="shared" si="2"/>
        <v>8.5129076720035624</v>
      </c>
      <c r="Z62" s="35">
        <f t="shared" si="3"/>
        <v>6.9548587429757278</v>
      </c>
      <c r="AA62" s="35">
        <f t="shared" si="4"/>
        <v>8.4785780309582375</v>
      </c>
      <c r="AB62" s="35">
        <f t="shared" si="5"/>
        <v>8.5831284286734988</v>
      </c>
      <c r="AC62" s="35">
        <f t="shared" si="6"/>
        <v>7.8881971345528701</v>
      </c>
      <c r="AD62" s="35">
        <f t="shared" si="7"/>
        <v>8.4188211768493346</v>
      </c>
      <c r="AE62" s="35">
        <f t="shared" si="8"/>
        <v>8.2873667359649641</v>
      </c>
      <c r="AF62" s="35">
        <f t="shared" si="9"/>
        <v>7.9785346217876203</v>
      </c>
      <c r="AG62" s="35">
        <f t="shared" si="10"/>
        <v>7.5231524207191471</v>
      </c>
      <c r="AH62" s="35">
        <f t="shared" si="11"/>
        <v>8.6309736391989738</v>
      </c>
      <c r="AI62" s="35">
        <f t="shared" si="12"/>
        <v>8.5091854614400191</v>
      </c>
      <c r="AJ62" s="35">
        <f t="shared" si="13"/>
        <v>8.196189970345138</v>
      </c>
      <c r="AK62" s="35">
        <f t="shared" si="14"/>
        <v>7.3593114942905684</v>
      </c>
      <c r="AL62" s="35">
        <f t="shared" si="15"/>
        <v>7.8710777317601224</v>
      </c>
      <c r="AM62" s="35">
        <f t="shared" si="16"/>
        <v>7.1429167403323008</v>
      </c>
      <c r="AN62" s="35">
        <f t="shared" si="17"/>
        <v>8.3677614203538564</v>
      </c>
      <c r="AO62" s="35">
        <f t="shared" si="18"/>
        <v>8.7396514425499632</v>
      </c>
      <c r="AP62" s="35">
        <f t="shared" si="19"/>
        <v>8.6016928693664685</v>
      </c>
      <c r="AQ62" s="35">
        <f t="shared" si="20"/>
        <v>8.7343529083059313</v>
      </c>
      <c r="AR62" s="35">
        <f t="shared" si="21"/>
        <v>8.3666553585931602</v>
      </c>
      <c r="AS62" s="38"/>
      <c r="AT62" s="38">
        <f t="shared" si="23"/>
        <v>-3.0977305981906511E-2</v>
      </c>
      <c r="AU62" s="38">
        <f t="shared" si="24"/>
        <v>-1.5070897556391571E-2</v>
      </c>
      <c r="AV62" s="38">
        <f t="shared" si="25"/>
        <v>-8.1677959219653928E-2</v>
      </c>
      <c r="AW62" s="38">
        <f t="shared" si="26"/>
        <v>-5.1619417397230194E-2</v>
      </c>
      <c r="AX62" s="38">
        <f t="shared" si="27"/>
        <v>5.0976614303920087E-2</v>
      </c>
      <c r="AY62" s="38">
        <f t="shared" si="28"/>
        <v>-1.9019397544471239E-2</v>
      </c>
      <c r="AZ62" s="38">
        <f t="shared" si="29"/>
        <v>-3.8621577602341972E-2</v>
      </c>
      <c r="BA62" s="38">
        <f t="shared" si="30"/>
        <v>-1.9452627195411409E-2</v>
      </c>
      <c r="BB62" s="38">
        <f t="shared" si="31"/>
        <v>-5.8440794933293461E-2</v>
      </c>
      <c r="BC62" s="38">
        <f t="shared" si="32"/>
        <v>-9.0535297166434603E-2</v>
      </c>
      <c r="BD62" s="38">
        <f t="shared" si="33"/>
        <v>-1.5279352029761384E-2</v>
      </c>
      <c r="BE62" s="38">
        <f t="shared" si="34"/>
        <v>-5.9127120732192395E-2</v>
      </c>
      <c r="BF62" s="38">
        <f t="shared" si="35"/>
        <v>6.8374898905101844E-2</v>
      </c>
      <c r="BG62" s="38">
        <f t="shared" si="36"/>
        <v>-2.4714112269737853E-2</v>
      </c>
      <c r="BH62" s="38">
        <f t="shared" si="37"/>
        <v>-4.4235987883986638E-2</v>
      </c>
      <c r="BI62" s="38">
        <f t="shared" si="38"/>
        <v>-5.4150962428838767E-2</v>
      </c>
      <c r="BJ62" s="38">
        <f t="shared" si="39"/>
        <v>3.8118547238445544E-2</v>
      </c>
      <c r="BK62" s="38">
        <f t="shared" si="40"/>
        <v>-1.3678002180641968E-2</v>
      </c>
      <c r="BL62" s="38">
        <f t="shared" si="41"/>
        <v>-1.1413601852117594E-2</v>
      </c>
      <c r="BM62" s="38">
        <f t="shared" si="42"/>
        <v>-0.10473857039330881</v>
      </c>
      <c r="BN62" s="38">
        <f t="shared" si="43"/>
        <v>0.11148227722248905</v>
      </c>
      <c r="BO62" s="7"/>
      <c r="BX62" s="7"/>
      <c r="CN62" s="7"/>
      <c r="CO62" s="8"/>
      <c r="CP62" s="7"/>
      <c r="DG62" s="7"/>
      <c r="DO62" s="7"/>
      <c r="EE62" s="7"/>
      <c r="EF62" s="7"/>
      <c r="GH62" s="7"/>
      <c r="GJ62" s="9"/>
    </row>
    <row r="63" spans="1:192" x14ac:dyDescent="0.25">
      <c r="A63" s="7">
        <v>1931</v>
      </c>
      <c r="B63" s="8">
        <v>3287.6868008948545</v>
      </c>
      <c r="C63" s="8">
        <v>4860.4094265321191</v>
      </c>
      <c r="D63" s="8">
        <v>1004.232835123774</v>
      </c>
      <c r="E63" s="8">
        <v>4003.6925964155012</v>
      </c>
      <c r="F63" s="8">
        <v>5359.2406836648925</v>
      </c>
      <c r="G63" s="8">
        <v>2580.597238204833</v>
      </c>
      <c r="H63" s="8">
        <v>4235.2604634495938</v>
      </c>
      <c r="I63" s="8">
        <v>3651.5139935496691</v>
      </c>
      <c r="J63" s="8">
        <v>2876.6683586987506</v>
      </c>
      <c r="K63" s="8">
        <v>1837.3409401119545</v>
      </c>
      <c r="L63" s="8">
        <v>5185.0493811726465</v>
      </c>
      <c r="M63" s="8">
        <v>4475.1202113606341</v>
      </c>
      <c r="N63" s="8">
        <v>3323.4573396095607</v>
      </c>
      <c r="O63" s="8">
        <v>1631.0962294365991</v>
      </c>
      <c r="P63" s="8">
        <v>2528.8701161562831</v>
      </c>
      <c r="Q63" s="8">
        <v>1202.8531663187196</v>
      </c>
      <c r="R63" s="8">
        <v>4247.0741222366714</v>
      </c>
      <c r="S63" s="8">
        <v>5942.7678921568622</v>
      </c>
      <c r="T63" s="8">
        <v>5138.415852758606</v>
      </c>
      <c r="U63" s="8">
        <v>5691.3665963268159</v>
      </c>
      <c r="V63" s="8">
        <v>3500.2871912693854</v>
      </c>
      <c r="W63" s="7"/>
      <c r="X63" s="35">
        <f t="shared" si="1"/>
        <v>8.0979394964367106</v>
      </c>
      <c r="Y63" s="35">
        <f t="shared" si="2"/>
        <v>8.4888779574886115</v>
      </c>
      <c r="Z63" s="35">
        <f t="shared" si="3"/>
        <v>6.9119791808590874</v>
      </c>
      <c r="AA63" s="35">
        <f t="shared" si="4"/>
        <v>8.2949723633658241</v>
      </c>
      <c r="AB63" s="35">
        <f t="shared" si="5"/>
        <v>8.5865775805342714</v>
      </c>
      <c r="AC63" s="35">
        <f t="shared" si="6"/>
        <v>7.8557761388028169</v>
      </c>
      <c r="AD63" s="35">
        <f t="shared" si="7"/>
        <v>8.3512001077804481</v>
      </c>
      <c r="AE63" s="35">
        <f t="shared" si="8"/>
        <v>8.2028971533271378</v>
      </c>
      <c r="AF63" s="35">
        <f t="shared" si="9"/>
        <v>7.9643880836011087</v>
      </c>
      <c r="AG63" s="35">
        <f t="shared" si="10"/>
        <v>7.5160746641358029</v>
      </c>
      <c r="AH63" s="35">
        <f t="shared" si="11"/>
        <v>8.5535346444702807</v>
      </c>
      <c r="AI63" s="35">
        <f t="shared" si="12"/>
        <v>8.4062884932220392</v>
      </c>
      <c r="AJ63" s="35">
        <f t="shared" si="13"/>
        <v>8.108760887415972</v>
      </c>
      <c r="AK63" s="35">
        <f t="shared" si="14"/>
        <v>7.3970076011482542</v>
      </c>
      <c r="AL63" s="35">
        <f t="shared" si="15"/>
        <v>7.8355278875639529</v>
      </c>
      <c r="AM63" s="35">
        <f t="shared" si="16"/>
        <v>7.0924516522647911</v>
      </c>
      <c r="AN63" s="35">
        <f t="shared" si="17"/>
        <v>8.353985583006903</v>
      </c>
      <c r="AO63" s="35">
        <f t="shared" si="18"/>
        <v>8.689930278934586</v>
      </c>
      <c r="AP63" s="35">
        <f t="shared" si="19"/>
        <v>8.5445001110934644</v>
      </c>
      <c r="AQ63" s="35">
        <f t="shared" si="20"/>
        <v>8.6467056733843286</v>
      </c>
      <c r="AR63" s="35">
        <f t="shared" si="21"/>
        <v>8.1606002987596025</v>
      </c>
      <c r="AS63" s="38"/>
      <c r="AT63" s="38">
        <f t="shared" si="23"/>
        <v>-8.6773801500095615E-2</v>
      </c>
      <c r="AU63" s="38">
        <f t="shared" si="24"/>
        <v>-2.402971451495084E-2</v>
      </c>
      <c r="AV63" s="38">
        <f t="shared" si="25"/>
        <v>-4.2879562116640457E-2</v>
      </c>
      <c r="AW63" s="38">
        <f t="shared" si="26"/>
        <v>-0.18360566759241337</v>
      </c>
      <c r="AX63" s="38">
        <f t="shared" si="27"/>
        <v>3.449151860772659E-3</v>
      </c>
      <c r="AY63" s="38">
        <f t="shared" si="28"/>
        <v>-3.2420995750053194E-2</v>
      </c>
      <c r="AZ63" s="38">
        <f t="shared" si="29"/>
        <v>-6.7621069068886541E-2</v>
      </c>
      <c r="BA63" s="38">
        <f t="shared" si="30"/>
        <v>-8.4469582637826335E-2</v>
      </c>
      <c r="BB63" s="38">
        <f t="shared" si="31"/>
        <v>-1.414653818651157E-2</v>
      </c>
      <c r="BC63" s="38">
        <f t="shared" si="32"/>
        <v>-7.0777565833441969E-3</v>
      </c>
      <c r="BD63" s="38">
        <f t="shared" si="33"/>
        <v>-7.7438994728693089E-2</v>
      </c>
      <c r="BE63" s="38">
        <f t="shared" si="34"/>
        <v>-0.10289696821797989</v>
      </c>
      <c r="BF63" s="38">
        <f t="shared" si="35"/>
        <v>-8.7429082929165958E-2</v>
      </c>
      <c r="BG63" s="38">
        <f t="shared" si="36"/>
        <v>3.7696106857685763E-2</v>
      </c>
      <c r="BH63" s="38">
        <f t="shared" si="37"/>
        <v>-3.5549844196169467E-2</v>
      </c>
      <c r="BI63" s="38">
        <f t="shared" si="38"/>
        <v>-5.0465088067509711E-2</v>
      </c>
      <c r="BJ63" s="38">
        <f t="shared" si="39"/>
        <v>-1.3775837346953423E-2</v>
      </c>
      <c r="BK63" s="38">
        <f t="shared" si="40"/>
        <v>-4.9721163615377151E-2</v>
      </c>
      <c r="BL63" s="38">
        <f t="shared" si="41"/>
        <v>-5.7192758273004074E-2</v>
      </c>
      <c r="BM63" s="38">
        <f t="shared" si="42"/>
        <v>-8.7647234921602646E-2</v>
      </c>
      <c r="BN63" s="38">
        <f t="shared" si="43"/>
        <v>-0.20605505983355776</v>
      </c>
      <c r="BO63" s="7"/>
      <c r="BX63" s="7"/>
      <c r="CN63" s="7"/>
      <c r="CO63" s="8"/>
      <c r="CP63" s="7"/>
      <c r="DG63" s="7"/>
      <c r="DO63" s="7"/>
      <c r="EE63" s="7"/>
      <c r="EF63" s="7"/>
      <c r="GH63" s="7"/>
      <c r="GJ63" s="9"/>
    </row>
    <row r="64" spans="1:192" x14ac:dyDescent="0.25">
      <c r="A64" s="7">
        <v>1932</v>
      </c>
      <c r="B64" s="8">
        <v>2939.6569516728628</v>
      </c>
      <c r="C64" s="8">
        <v>4607.4519912044952</v>
      </c>
      <c r="D64" s="8">
        <v>1018.3654203736019</v>
      </c>
      <c r="E64" s="8">
        <v>3671.4526588845661</v>
      </c>
      <c r="F64" s="8">
        <v>5169.3921731890096</v>
      </c>
      <c r="G64" s="8">
        <v>2549.7636311732799</v>
      </c>
      <c r="H64" s="8">
        <v>3959.1228619206881</v>
      </c>
      <c r="I64" s="8">
        <v>3361.6775214559621</v>
      </c>
      <c r="J64" s="8">
        <v>2948.0435159269227</v>
      </c>
      <c r="K64" s="8">
        <v>1961.5832842315185</v>
      </c>
      <c r="L64" s="8">
        <v>5035.2388280192044</v>
      </c>
      <c r="M64" s="8">
        <v>4327.2318271119839</v>
      </c>
      <c r="N64" s="8">
        <v>3466.5575615441239</v>
      </c>
      <c r="O64" s="8">
        <v>1642.5079091170549</v>
      </c>
      <c r="P64" s="8">
        <v>2559.4426078587271</v>
      </c>
      <c r="Q64" s="8">
        <v>1140.9813407049066</v>
      </c>
      <c r="R64" s="8">
        <v>4100.0647668393785</v>
      </c>
      <c r="S64" s="8">
        <v>5709.9812286689412</v>
      </c>
      <c r="T64" s="8">
        <v>5148.2532858530267</v>
      </c>
      <c r="U64" s="8">
        <v>4908.365780158806</v>
      </c>
      <c r="V64" s="8">
        <v>3196.0451977401131</v>
      </c>
      <c r="W64" s="7"/>
      <c r="X64" s="35">
        <f t="shared" si="1"/>
        <v>7.9860481704202559</v>
      </c>
      <c r="Y64" s="35">
        <f t="shared" si="2"/>
        <v>8.4354302697836694</v>
      </c>
      <c r="Z64" s="35">
        <f t="shared" si="3"/>
        <v>6.9259540918096887</v>
      </c>
      <c r="AA64" s="35">
        <f t="shared" si="4"/>
        <v>8.2083426825921553</v>
      </c>
      <c r="AB64" s="35">
        <f t="shared" si="5"/>
        <v>8.5505103925422627</v>
      </c>
      <c r="AC64" s="35">
        <f t="shared" si="6"/>
        <v>7.8437559401986121</v>
      </c>
      <c r="AD64" s="35">
        <f t="shared" si="7"/>
        <v>8.2837777801989088</v>
      </c>
      <c r="AE64" s="35">
        <f t="shared" si="8"/>
        <v>8.1201953907053603</v>
      </c>
      <c r="AF64" s="35">
        <f t="shared" si="9"/>
        <v>7.988897014369523</v>
      </c>
      <c r="AG64" s="35">
        <f t="shared" si="10"/>
        <v>7.5815072242086012</v>
      </c>
      <c r="AH64" s="35">
        <f t="shared" si="11"/>
        <v>8.5242162375965851</v>
      </c>
      <c r="AI64" s="35">
        <f t="shared" si="12"/>
        <v>8.3726833156586551</v>
      </c>
      <c r="AJ64" s="35">
        <f t="shared" si="13"/>
        <v>8.1509173233345784</v>
      </c>
      <c r="AK64" s="35">
        <f t="shared" si="14"/>
        <v>7.4039795656391387</v>
      </c>
      <c r="AL64" s="35">
        <f t="shared" si="15"/>
        <v>7.8475447824615214</v>
      </c>
      <c r="AM64" s="35">
        <f t="shared" si="16"/>
        <v>7.0396439962707813</v>
      </c>
      <c r="AN64" s="35">
        <f t="shared" si="17"/>
        <v>8.318758049357724</v>
      </c>
      <c r="AO64" s="35">
        <f t="shared" si="18"/>
        <v>8.6499710151961313</v>
      </c>
      <c r="AP64" s="35">
        <f t="shared" si="19"/>
        <v>8.546412768331848</v>
      </c>
      <c r="AQ64" s="35">
        <f t="shared" si="20"/>
        <v>8.4986963303884977</v>
      </c>
      <c r="AR64" s="35">
        <f t="shared" si="21"/>
        <v>8.0696694487574181</v>
      </c>
      <c r="AS64" s="38"/>
      <c r="AT64" s="38">
        <f t="shared" si="23"/>
        <v>-0.11189132601645468</v>
      </c>
      <c r="AU64" s="38">
        <f t="shared" si="24"/>
        <v>-5.3447687704942126E-2</v>
      </c>
      <c r="AV64" s="38">
        <f t="shared" si="25"/>
        <v>1.3974910950601327E-2</v>
      </c>
      <c r="AW64" s="38">
        <f t="shared" si="26"/>
        <v>-8.6629680773668838E-2</v>
      </c>
      <c r="AX64" s="38">
        <f t="shared" si="27"/>
        <v>-3.6067187992008698E-2</v>
      </c>
      <c r="AY64" s="38">
        <f t="shared" si="28"/>
        <v>-1.2020198604204779E-2</v>
      </c>
      <c r="AZ64" s="38">
        <f t="shared" si="29"/>
        <v>-6.7422327581539321E-2</v>
      </c>
      <c r="BA64" s="38">
        <f t="shared" si="30"/>
        <v>-8.2701762621777419E-2</v>
      </c>
      <c r="BB64" s="38">
        <f t="shared" si="31"/>
        <v>2.4508930768414317E-2</v>
      </c>
      <c r="BC64" s="38">
        <f t="shared" si="32"/>
        <v>6.5432560072798296E-2</v>
      </c>
      <c r="BD64" s="38">
        <f t="shared" si="33"/>
        <v>-2.9318406873695579E-2</v>
      </c>
      <c r="BE64" s="38">
        <f t="shared" si="34"/>
        <v>-3.3605177563384103E-2</v>
      </c>
      <c r="BF64" s="38">
        <f t="shared" si="35"/>
        <v>4.2156435918606405E-2</v>
      </c>
      <c r="BG64" s="38">
        <f t="shared" si="36"/>
        <v>6.9719644908845524E-3</v>
      </c>
      <c r="BH64" s="38">
        <f t="shared" si="37"/>
        <v>1.201689489756852E-2</v>
      </c>
      <c r="BI64" s="38">
        <f t="shared" si="38"/>
        <v>-5.2807655994009828E-2</v>
      </c>
      <c r="BJ64" s="38">
        <f t="shared" si="39"/>
        <v>-3.5227533649178966E-2</v>
      </c>
      <c r="BK64" s="38">
        <f t="shared" si="40"/>
        <v>-3.9959263738454709E-2</v>
      </c>
      <c r="BL64" s="38">
        <f t="shared" si="41"/>
        <v>1.9126572383836304E-3</v>
      </c>
      <c r="BM64" s="38">
        <f t="shared" si="42"/>
        <v>-0.14800934299583091</v>
      </c>
      <c r="BN64" s="38">
        <f t="shared" si="43"/>
        <v>-9.0930850002184371E-2</v>
      </c>
      <c r="BO64" s="7"/>
      <c r="BX64" s="7"/>
      <c r="CN64" s="7"/>
      <c r="CO64" s="8"/>
      <c r="CP64" s="7"/>
      <c r="DG64" s="7"/>
      <c r="DO64" s="7"/>
      <c r="EE64" s="7"/>
      <c r="EF64" s="7"/>
      <c r="GH64" s="7"/>
      <c r="GJ64" s="9"/>
    </row>
    <row r="65" spans="1:192" x14ac:dyDescent="0.25">
      <c r="A65" s="7">
        <v>1933</v>
      </c>
      <c r="B65" s="8">
        <v>2833.1700266824782</v>
      </c>
      <c r="C65" s="8">
        <v>4680.5099015915439</v>
      </c>
      <c r="D65" s="8">
        <v>1075.7155271493848</v>
      </c>
      <c r="E65" s="8">
        <v>3370.4060811429626</v>
      </c>
      <c r="F65" s="8">
        <v>5290.5284888521892</v>
      </c>
      <c r="G65" s="8">
        <v>2701.6446398184912</v>
      </c>
      <c r="H65" s="8">
        <v>4239.1258295535936</v>
      </c>
      <c r="I65" s="8">
        <v>3555.7877837854212</v>
      </c>
      <c r="J65" s="8">
        <v>2905.5971190194573</v>
      </c>
      <c r="K65" s="8">
        <v>2122.435622637016</v>
      </c>
      <c r="L65" s="8">
        <v>4956.4623042369785</v>
      </c>
      <c r="M65" s="8">
        <v>4575.9993506493511</v>
      </c>
      <c r="N65" s="8">
        <v>3533.5526261544092</v>
      </c>
      <c r="O65" s="8">
        <v>1732.1022727272727</v>
      </c>
      <c r="P65" s="8">
        <v>2485.9464389354116</v>
      </c>
      <c r="Q65" s="8">
        <v>1150.0429184549357</v>
      </c>
      <c r="R65" s="8">
        <v>4207.0633768746975</v>
      </c>
      <c r="S65" s="8">
        <v>5966.1901989325561</v>
      </c>
      <c r="T65" s="8">
        <v>5277.4607480653476</v>
      </c>
      <c r="U65" s="8">
        <v>4776.9154778887305</v>
      </c>
      <c r="V65" s="8">
        <v>2750.4168982768206</v>
      </c>
      <c r="W65" s="7"/>
      <c r="X65" s="35">
        <f t="shared" si="1"/>
        <v>7.9491515145077072</v>
      </c>
      <c r="Y65" s="35">
        <f t="shared" si="2"/>
        <v>8.4511623363082364</v>
      </c>
      <c r="Z65" s="35">
        <f t="shared" si="3"/>
        <v>6.9807413257944928</v>
      </c>
      <c r="AA65" s="35">
        <f t="shared" si="4"/>
        <v>8.1227885149424814</v>
      </c>
      <c r="AB65" s="35">
        <f t="shared" si="5"/>
        <v>8.5736734232370395</v>
      </c>
      <c r="AC65" s="35">
        <f t="shared" si="6"/>
        <v>7.9016159924092664</v>
      </c>
      <c r="AD65" s="35">
        <f t="shared" si="7"/>
        <v>8.3521123546944818</v>
      </c>
      <c r="AE65" s="35">
        <f t="shared" si="8"/>
        <v>8.1763319165024146</v>
      </c>
      <c r="AF65" s="35">
        <f t="shared" si="9"/>
        <v>7.9743941968795884</v>
      </c>
      <c r="AG65" s="35">
        <f t="shared" si="10"/>
        <v>7.6603195868124443</v>
      </c>
      <c r="AH65" s="35">
        <f t="shared" si="11"/>
        <v>8.5084475201251539</v>
      </c>
      <c r="AI65" s="35">
        <f t="shared" si="12"/>
        <v>8.428580391156073</v>
      </c>
      <c r="AJ65" s="35">
        <f t="shared" si="13"/>
        <v>8.1700590535121229</v>
      </c>
      <c r="AK65" s="35">
        <f t="shared" si="14"/>
        <v>7.4570911362978105</v>
      </c>
      <c r="AL65" s="35">
        <f t="shared" si="15"/>
        <v>7.8184087267602838</v>
      </c>
      <c r="AM65" s="35">
        <f t="shared" si="16"/>
        <v>7.0475545410565035</v>
      </c>
      <c r="AN65" s="35">
        <f t="shared" si="17"/>
        <v>8.3445201481014148</v>
      </c>
      <c r="AO65" s="35">
        <f t="shared" si="18"/>
        <v>8.6938638450446568</v>
      </c>
      <c r="AP65" s="35">
        <f t="shared" si="19"/>
        <v>8.5712003420946932</v>
      </c>
      <c r="AQ65" s="35">
        <f t="shared" si="20"/>
        <v>8.4715503196786308</v>
      </c>
      <c r="AR65" s="35">
        <f t="shared" si="21"/>
        <v>7.9195077785439825</v>
      </c>
      <c r="AS65" s="38"/>
      <c r="AT65" s="38">
        <f t="shared" si="23"/>
        <v>-3.6896655912548759E-2</v>
      </c>
      <c r="AU65" s="38">
        <f t="shared" si="24"/>
        <v>1.5732066524567045E-2</v>
      </c>
      <c r="AV65" s="38">
        <f t="shared" si="25"/>
        <v>5.4787233984804118E-2</v>
      </c>
      <c r="AW65" s="38">
        <f t="shared" si="26"/>
        <v>-8.5554167649673829E-2</v>
      </c>
      <c r="AX65" s="38">
        <f t="shared" si="27"/>
        <v>2.3163030694776765E-2</v>
      </c>
      <c r="AY65" s="38">
        <f t="shared" si="28"/>
        <v>5.7860052210654267E-2</v>
      </c>
      <c r="AZ65" s="38">
        <f t="shared" si="29"/>
        <v>6.8334574495573008E-2</v>
      </c>
      <c r="BA65" s="38">
        <f t="shared" si="30"/>
        <v>5.6136525797054304E-2</v>
      </c>
      <c r="BB65" s="38">
        <f t="shared" si="31"/>
        <v>-1.450281748993465E-2</v>
      </c>
      <c r="BC65" s="38">
        <f t="shared" si="32"/>
        <v>7.8812362603843056E-2</v>
      </c>
      <c r="BD65" s="38">
        <f t="shared" si="33"/>
        <v>-1.576871747143116E-2</v>
      </c>
      <c r="BE65" s="38">
        <f t="shared" si="34"/>
        <v>5.5897075497417958E-2</v>
      </c>
      <c r="BF65" s="38">
        <f t="shared" si="35"/>
        <v>1.9141730177544503E-2</v>
      </c>
      <c r="BG65" s="38">
        <f t="shared" si="36"/>
        <v>5.3111570658671781E-2</v>
      </c>
      <c r="BH65" s="38">
        <f t="shared" si="37"/>
        <v>-2.9136055701237673E-2</v>
      </c>
      <c r="BI65" s="38">
        <f t="shared" si="38"/>
        <v>7.9105447857221733E-3</v>
      </c>
      <c r="BJ65" s="38">
        <f t="shared" si="39"/>
        <v>2.5762098743690842E-2</v>
      </c>
      <c r="BK65" s="38">
        <f t="shared" si="40"/>
        <v>4.3892829848525494E-2</v>
      </c>
      <c r="BL65" s="38">
        <f t="shared" si="41"/>
        <v>2.4787573762845128E-2</v>
      </c>
      <c r="BM65" s="38">
        <f t="shared" si="42"/>
        <v>-2.7146010709866886E-2</v>
      </c>
      <c r="BN65" s="38">
        <f t="shared" si="43"/>
        <v>-0.15016167021343563</v>
      </c>
      <c r="BO65" s="7"/>
      <c r="BX65" s="7"/>
      <c r="CN65" s="7"/>
      <c r="CO65" s="8"/>
      <c r="CP65" s="7"/>
      <c r="DG65" s="7"/>
      <c r="DO65" s="7"/>
      <c r="EE65" s="7"/>
      <c r="EF65" s="7"/>
      <c r="GH65" s="7"/>
      <c r="GJ65" s="9"/>
    </row>
    <row r="66" spans="1:192" x14ac:dyDescent="0.25">
      <c r="A66" s="7">
        <v>1934</v>
      </c>
      <c r="B66" s="8">
        <v>2851.5860946745561</v>
      </c>
      <c r="C66" s="8">
        <v>4623.7965383684341</v>
      </c>
      <c r="D66" s="8">
        <v>1142.3195253268873</v>
      </c>
      <c r="E66" s="8">
        <v>3691.0295557570262</v>
      </c>
      <c r="F66" s="8">
        <v>5402.0703764320797</v>
      </c>
      <c r="G66" s="8">
        <v>2988.3741899126512</v>
      </c>
      <c r="H66" s="8">
        <v>4191.7309415971395</v>
      </c>
      <c r="I66" s="8">
        <v>3858.2119893387944</v>
      </c>
      <c r="J66" s="8">
        <v>2894.2202828649151</v>
      </c>
      <c r="K66" s="8">
        <v>2098.341636069908</v>
      </c>
      <c r="L66" s="8">
        <v>4804.9070854813572</v>
      </c>
      <c r="M66" s="8">
        <v>4767.8350515463917</v>
      </c>
      <c r="N66" s="8">
        <v>3638.0155784829158</v>
      </c>
      <c r="O66" s="8">
        <v>1783.9203030728218</v>
      </c>
      <c r="P66" s="8">
        <v>2555.7928457020826</v>
      </c>
      <c r="Q66" s="8">
        <v>1259.7070844686648</v>
      </c>
      <c r="R66" s="8">
        <v>4535.0369656059138</v>
      </c>
      <c r="S66" s="8">
        <v>5952.1944444444443</v>
      </c>
      <c r="T66" s="8">
        <v>5607.5080358290834</v>
      </c>
      <c r="U66" s="8">
        <v>5113.6075934413839</v>
      </c>
      <c r="V66" s="8">
        <v>3220.8857299070532</v>
      </c>
      <c r="W66" s="7"/>
      <c r="X66" s="35">
        <f t="shared" si="1"/>
        <v>7.95563064290761</v>
      </c>
      <c r="Y66" s="35">
        <f t="shared" si="2"/>
        <v>8.4389714081662319</v>
      </c>
      <c r="Z66" s="35">
        <f t="shared" si="3"/>
        <v>7.0408161455876783</v>
      </c>
      <c r="AA66" s="35">
        <f t="shared" si="4"/>
        <v>8.2136607105181305</v>
      </c>
      <c r="AB66" s="35">
        <f t="shared" si="5"/>
        <v>8.5945375621151783</v>
      </c>
      <c r="AC66" s="35">
        <f t="shared" si="6"/>
        <v>8.0024847693064363</v>
      </c>
      <c r="AD66" s="35">
        <f t="shared" si="7"/>
        <v>8.3408690401617029</v>
      </c>
      <c r="AE66" s="35">
        <f t="shared" si="8"/>
        <v>8.2579591399443721</v>
      </c>
      <c r="AF66" s="35">
        <f t="shared" si="9"/>
        <v>7.970471021386901</v>
      </c>
      <c r="AG66" s="35">
        <f t="shared" si="10"/>
        <v>7.6489026146269294</v>
      </c>
      <c r="AH66" s="35">
        <f t="shared" si="11"/>
        <v>8.4773929841688052</v>
      </c>
      <c r="AI66" s="35">
        <f t="shared" si="12"/>
        <v>8.4696476132529757</v>
      </c>
      <c r="AJ66" s="35">
        <f t="shared" si="13"/>
        <v>8.1991936412247313</v>
      </c>
      <c r="AK66" s="35">
        <f t="shared" si="14"/>
        <v>7.4865686389766202</v>
      </c>
      <c r="AL66" s="35">
        <f t="shared" si="15"/>
        <v>7.8461177659305577</v>
      </c>
      <c r="AM66" s="35">
        <f t="shared" si="16"/>
        <v>7.1386345002756535</v>
      </c>
      <c r="AN66" s="35">
        <f t="shared" si="17"/>
        <v>8.4195885136970343</v>
      </c>
      <c r="AO66" s="35">
        <f t="shared" si="18"/>
        <v>8.6915152447367827</v>
      </c>
      <c r="AP66" s="35">
        <f t="shared" si="19"/>
        <v>8.6318616994435526</v>
      </c>
      <c r="AQ66" s="35">
        <f t="shared" si="20"/>
        <v>8.5396604210810061</v>
      </c>
      <c r="AR66" s="35">
        <f t="shared" si="21"/>
        <v>8.0774116721129587</v>
      </c>
      <c r="AS66" s="38"/>
      <c r="AT66" s="38">
        <f t="shared" si="23"/>
        <v>6.4791283999028337E-3</v>
      </c>
      <c r="AU66" s="38">
        <f t="shared" si="24"/>
        <v>-1.2190928142004509E-2</v>
      </c>
      <c r="AV66" s="38">
        <f t="shared" si="25"/>
        <v>6.0074819793185519E-2</v>
      </c>
      <c r="AW66" s="38">
        <f t="shared" si="26"/>
        <v>9.0872195575649073E-2</v>
      </c>
      <c r="AX66" s="38">
        <f t="shared" si="27"/>
        <v>2.086413887813876E-2</v>
      </c>
      <c r="AY66" s="38">
        <f t="shared" si="28"/>
        <v>0.10086877689716989</v>
      </c>
      <c r="AZ66" s="38">
        <f t="shared" si="29"/>
        <v>-1.1243314532778825E-2</v>
      </c>
      <c r="BA66" s="38">
        <f t="shared" si="30"/>
        <v>8.1627223441957497E-2</v>
      </c>
      <c r="BB66" s="38">
        <f t="shared" si="31"/>
        <v>-3.9231754926873919E-3</v>
      </c>
      <c r="BC66" s="38">
        <f t="shared" si="32"/>
        <v>-1.1416972185514851E-2</v>
      </c>
      <c r="BD66" s="38">
        <f t="shared" si="33"/>
        <v>-3.1054535956348772E-2</v>
      </c>
      <c r="BE66" s="38">
        <f t="shared" si="34"/>
        <v>4.1067222096902611E-2</v>
      </c>
      <c r="BF66" s="38">
        <f t="shared" si="35"/>
        <v>2.9134587712608351E-2</v>
      </c>
      <c r="BG66" s="38">
        <f t="shared" si="36"/>
        <v>2.9477502678809664E-2</v>
      </c>
      <c r="BH66" s="38">
        <f t="shared" si="37"/>
        <v>2.7709039170273897E-2</v>
      </c>
      <c r="BI66" s="38">
        <f t="shared" si="38"/>
        <v>9.107995921915002E-2</v>
      </c>
      <c r="BJ66" s="38">
        <f t="shared" si="39"/>
        <v>7.5068365595619468E-2</v>
      </c>
      <c r="BK66" s="38">
        <f t="shared" si="40"/>
        <v>-2.3486003078740936E-3</v>
      </c>
      <c r="BL66" s="38">
        <f t="shared" si="41"/>
        <v>6.0661357348859468E-2</v>
      </c>
      <c r="BM66" s="38">
        <f t="shared" si="42"/>
        <v>6.8110101402375278E-2</v>
      </c>
      <c r="BN66" s="38">
        <f t="shared" si="43"/>
        <v>0.15790389356897627</v>
      </c>
      <c r="BO66" s="7"/>
      <c r="BX66" s="7"/>
      <c r="CN66" s="7"/>
      <c r="CO66" s="8"/>
      <c r="CP66" s="7"/>
      <c r="DG66" s="7"/>
      <c r="DO66" s="7"/>
      <c r="EE66" s="7"/>
      <c r="EF66" s="7"/>
      <c r="GH66" s="7"/>
      <c r="GJ66" s="9"/>
    </row>
    <row r="67" spans="1:192" x14ac:dyDescent="0.25">
      <c r="A67" s="7">
        <v>1935</v>
      </c>
      <c r="B67" s="8">
        <v>2906.6614406152939</v>
      </c>
      <c r="C67" s="8">
        <v>4894.2010135135142</v>
      </c>
      <c r="D67" s="8">
        <v>1149.986541049798</v>
      </c>
      <c r="E67" s="8">
        <v>3950.6250000000005</v>
      </c>
      <c r="F67" s="8">
        <v>5479.6887686062255</v>
      </c>
      <c r="G67" s="8">
        <v>3092.6619127516774</v>
      </c>
      <c r="H67" s="8">
        <v>4085.9311874105861</v>
      </c>
      <c r="I67" s="8">
        <v>4119.8127738481562</v>
      </c>
      <c r="J67" s="8">
        <v>3147.8255447548559</v>
      </c>
      <c r="K67" s="8">
        <v>2120.4684855137352</v>
      </c>
      <c r="L67" s="8">
        <v>4929.4557742470952</v>
      </c>
      <c r="M67" s="8">
        <v>4959.3725992317541</v>
      </c>
      <c r="N67" s="8">
        <v>3799.6267008862578</v>
      </c>
      <c r="O67" s="8">
        <v>1668.6529933481154</v>
      </c>
      <c r="P67" s="8">
        <v>2582.7739126896945</v>
      </c>
      <c r="Q67" s="8">
        <v>1183.9918602679329</v>
      </c>
      <c r="R67" s="8">
        <v>4768.0230695289974</v>
      </c>
      <c r="S67" s="8">
        <v>5906.9042117930212</v>
      </c>
      <c r="T67" s="8">
        <v>5799.0052914568578</v>
      </c>
      <c r="U67" s="8">
        <v>5466.8379464879281</v>
      </c>
      <c r="V67" s="8">
        <v>3355.5675094136636</v>
      </c>
      <c r="W67" s="7"/>
      <c r="X67" s="35">
        <f t="shared" ref="X67:X130" si="44">LN(B67)</f>
        <v>7.9747604302798454</v>
      </c>
      <c r="Y67" s="35">
        <f t="shared" ref="Y67:Y130" si="45">LN(C67)</f>
        <v>8.4958063166191824</v>
      </c>
      <c r="Z67" s="35">
        <f t="shared" ref="Z67:Z130" si="46">LN(D67)</f>
        <v>7.0475055178538515</v>
      </c>
      <c r="AA67" s="35">
        <f t="shared" ref="AA67:AA130" si="47">LN(E67)</f>
        <v>8.2816290732265632</v>
      </c>
      <c r="AB67" s="35">
        <f t="shared" ref="AB67:AB130" si="48">LN(F67)</f>
        <v>8.6088035842792596</v>
      </c>
      <c r="AC67" s="35">
        <f t="shared" ref="AC67:AC130" si="49">LN(G67)</f>
        <v>8.0367874594851472</v>
      </c>
      <c r="AD67" s="35">
        <f t="shared" ref="AD67:AD130" si="50">LN(H67)</f>
        <v>8.3153049341712872</v>
      </c>
      <c r="AE67" s="35">
        <f t="shared" ref="AE67:AE130" si="51">LN(I67)</f>
        <v>8.3235629980702583</v>
      </c>
      <c r="AF67" s="35">
        <f t="shared" ref="AF67:AF130" si="52">LN(J67)</f>
        <v>8.0544671901982579</v>
      </c>
      <c r="AG67" s="35">
        <f t="shared" ref="AG67:AG130" si="53">LN(K67)</f>
        <v>7.6593923269856434</v>
      </c>
      <c r="AH67" s="35">
        <f t="shared" ref="AH67:AH130" si="54">LN(L67)</f>
        <v>8.5029838703239928</v>
      </c>
      <c r="AI67" s="35">
        <f t="shared" ref="AI67:AI130" si="55">LN(M67)</f>
        <v>8.5090345196278019</v>
      </c>
      <c r="AJ67" s="35">
        <f t="shared" ref="AJ67:AJ130" si="56">LN(N67)</f>
        <v>8.242658104280066</v>
      </c>
      <c r="AK67" s="35">
        <f t="shared" ref="AK67:AK130" si="57">LN(O67)</f>
        <v>7.4197719891318963</v>
      </c>
      <c r="AL67" s="35">
        <f t="shared" ref="AL67:AL130" si="58">LN(P67)</f>
        <v>7.8566192603023923</v>
      </c>
      <c r="AM67" s="35">
        <f t="shared" ref="AM67:AM130" si="59">LN(Q67)</f>
        <v>7.0766469406466141</v>
      </c>
      <c r="AN67" s="35">
        <f t="shared" ref="AN67:AN130" si="60">LN(R67)</f>
        <v>8.4696870471414076</v>
      </c>
      <c r="AO67" s="35">
        <f t="shared" ref="AO67:AO130" si="61">LN(S67)</f>
        <v>8.6838771511258166</v>
      </c>
      <c r="AP67" s="35">
        <f t="shared" ref="AP67:AP130" si="62">LN(T67)</f>
        <v>8.6654416803534957</v>
      </c>
      <c r="AQ67" s="35">
        <f t="shared" ref="AQ67:AQ130" si="63">LN(U67)</f>
        <v>8.6064556563279737</v>
      </c>
      <c r="AR67" s="35">
        <f t="shared" ref="AR67:AR130" si="64">LN(V67)</f>
        <v>8.1183761884284422</v>
      </c>
      <c r="AS67" s="38"/>
      <c r="AT67" s="38">
        <f t="shared" si="23"/>
        <v>1.9129787372235363E-2</v>
      </c>
      <c r="AU67" s="38">
        <f t="shared" si="24"/>
        <v>5.6834908452950472E-2</v>
      </c>
      <c r="AV67" s="38">
        <f t="shared" si="25"/>
        <v>6.6893722661731658E-3</v>
      </c>
      <c r="AW67" s="38">
        <f t="shared" si="26"/>
        <v>6.796836270843265E-2</v>
      </c>
      <c r="AX67" s="38">
        <f t="shared" si="27"/>
        <v>1.4266022164081349E-2</v>
      </c>
      <c r="AY67" s="38">
        <f t="shared" si="28"/>
        <v>3.4302690178710904E-2</v>
      </c>
      <c r="AZ67" s="38">
        <f t="shared" si="29"/>
        <v>-2.5564105990415698E-2</v>
      </c>
      <c r="BA67" s="38">
        <f t="shared" si="30"/>
        <v>6.5603858125886205E-2</v>
      </c>
      <c r="BB67" s="38">
        <f t="shared" si="31"/>
        <v>8.3996168811356853E-2</v>
      </c>
      <c r="BC67" s="38">
        <f t="shared" si="32"/>
        <v>1.0489712358713987E-2</v>
      </c>
      <c r="BD67" s="38">
        <f t="shared" si="33"/>
        <v>2.5590886155187675E-2</v>
      </c>
      <c r="BE67" s="38">
        <f t="shared" si="34"/>
        <v>3.9386906374826225E-2</v>
      </c>
      <c r="BF67" s="38">
        <f t="shared" si="35"/>
        <v>4.346446305533469E-2</v>
      </c>
      <c r="BG67" s="38">
        <f t="shared" si="36"/>
        <v>-6.6796649844723888E-2</v>
      </c>
      <c r="BH67" s="38">
        <f t="shared" si="37"/>
        <v>1.0501494371834674E-2</v>
      </c>
      <c r="BI67" s="38">
        <f t="shared" si="38"/>
        <v>-6.1987559629039346E-2</v>
      </c>
      <c r="BJ67" s="38">
        <f t="shared" si="39"/>
        <v>5.0098533444373317E-2</v>
      </c>
      <c r="BK67" s="38">
        <f t="shared" si="40"/>
        <v>-7.6380936109661235E-3</v>
      </c>
      <c r="BL67" s="38">
        <f t="shared" si="41"/>
        <v>3.3579980909943075E-2</v>
      </c>
      <c r="BM67" s="38">
        <f t="shared" si="42"/>
        <v>6.6795235246967621E-2</v>
      </c>
      <c r="BN67" s="38">
        <f t="shared" si="43"/>
        <v>4.0964516315483479E-2</v>
      </c>
      <c r="BO67" s="7"/>
      <c r="BX67" s="7"/>
      <c r="CN67" s="7"/>
      <c r="CO67" s="8"/>
      <c r="CP67" s="7"/>
      <c r="DG67" s="7"/>
      <c r="DO67" s="7"/>
      <c r="EE67" s="7"/>
      <c r="EF67" s="7"/>
      <c r="GH67" s="7"/>
      <c r="GJ67" s="9"/>
    </row>
    <row r="68" spans="1:192" x14ac:dyDescent="0.25">
      <c r="A68" s="7">
        <v>1936</v>
      </c>
      <c r="B68" s="8">
        <v>2994.7044983722994</v>
      </c>
      <c r="C68" s="8">
        <v>4913.3206253758262</v>
      </c>
      <c r="D68" s="8">
        <v>1235.103268180739</v>
      </c>
      <c r="E68" s="8">
        <v>4124.2059948412352</v>
      </c>
      <c r="F68" s="8">
        <v>5574.7608812466415</v>
      </c>
      <c r="G68" s="8">
        <v>3278.7758955845602</v>
      </c>
      <c r="H68" s="8">
        <v>4243.9980672870433</v>
      </c>
      <c r="I68" s="8">
        <v>4450.7416591189176</v>
      </c>
      <c r="J68" s="8">
        <v>3129.637733078092</v>
      </c>
      <c r="K68" s="8">
        <v>2244.4213991534966</v>
      </c>
      <c r="L68" s="8">
        <v>5189.6788398309072</v>
      </c>
      <c r="M68" s="8">
        <v>5839.8022886204708</v>
      </c>
      <c r="N68" s="8">
        <v>4035.1270114712124</v>
      </c>
      <c r="O68" s="8">
        <v>1522.792607802875</v>
      </c>
      <c r="P68" s="8">
        <v>1988.8351471180977</v>
      </c>
      <c r="Q68" s="8">
        <v>1174.6592629984855</v>
      </c>
      <c r="R68" s="8">
        <v>4991.0528838472601</v>
      </c>
      <c r="S68" s="8">
        <v>5908.253838771594</v>
      </c>
      <c r="T68" s="8">
        <v>6035.1685393258431</v>
      </c>
      <c r="U68" s="8">
        <v>6203.8837823765753</v>
      </c>
      <c r="V68" s="8">
        <v>3458.9730015881419</v>
      </c>
      <c r="W68" s="7"/>
      <c r="X68" s="35">
        <f t="shared" si="44"/>
        <v>8.0046008406976323</v>
      </c>
      <c r="Y68" s="35">
        <f t="shared" si="45"/>
        <v>8.4997052906490431</v>
      </c>
      <c r="Z68" s="35">
        <f t="shared" si="46"/>
        <v>7.1189098635264036</v>
      </c>
      <c r="AA68" s="35">
        <f t="shared" si="47"/>
        <v>8.3246287941418604</v>
      </c>
      <c r="AB68" s="35">
        <f t="shared" si="48"/>
        <v>8.6260047041522547</v>
      </c>
      <c r="AC68" s="35">
        <f t="shared" si="49"/>
        <v>8.0952254291550982</v>
      </c>
      <c r="AD68" s="35">
        <f t="shared" si="50"/>
        <v>8.3532610443348645</v>
      </c>
      <c r="AE68" s="35">
        <f t="shared" si="51"/>
        <v>8.4008260262437666</v>
      </c>
      <c r="AF68" s="35">
        <f t="shared" si="52"/>
        <v>8.0486725366051406</v>
      </c>
      <c r="AG68" s="35">
        <f t="shared" si="53"/>
        <v>7.7162030382964755</v>
      </c>
      <c r="AH68" s="35">
        <f t="shared" si="54"/>
        <v>8.5544270936731728</v>
      </c>
      <c r="AI68" s="35">
        <f t="shared" si="55"/>
        <v>8.6724522205609151</v>
      </c>
      <c r="AJ68" s="35">
        <f t="shared" si="56"/>
        <v>8.3027930576488469</v>
      </c>
      <c r="AK68" s="35">
        <f t="shared" si="57"/>
        <v>7.3283011701511924</v>
      </c>
      <c r="AL68" s="35">
        <f t="shared" si="58"/>
        <v>7.5953043931254793</v>
      </c>
      <c r="AM68" s="35">
        <f t="shared" si="59"/>
        <v>7.0687333955858778</v>
      </c>
      <c r="AN68" s="35">
        <f t="shared" si="60"/>
        <v>8.5154021652554412</v>
      </c>
      <c r="AO68" s="35">
        <f t="shared" si="61"/>
        <v>8.6841056079909151</v>
      </c>
      <c r="AP68" s="35">
        <f t="shared" si="62"/>
        <v>8.7053590601219373</v>
      </c>
      <c r="AQ68" s="35">
        <f t="shared" si="63"/>
        <v>8.7329307914286058</v>
      </c>
      <c r="AR68" s="35">
        <f t="shared" si="64"/>
        <v>8.1487270036416426</v>
      </c>
      <c r="AS68" s="38"/>
      <c r="AT68" s="38">
        <f t="shared" ref="AT68:AT131" si="65">X68-X67</f>
        <v>2.9840410417786956E-2</v>
      </c>
      <c r="AU68" s="38">
        <f t="shared" ref="AU68:AU131" si="66">Y68-Y67</f>
        <v>3.8989740298607245E-3</v>
      </c>
      <c r="AV68" s="38">
        <f t="shared" ref="AV68:AV131" si="67">Z68-Z67</f>
        <v>7.1404345672552161E-2</v>
      </c>
      <c r="AW68" s="38">
        <f t="shared" ref="AW68:AW131" si="68">AA68-AA67</f>
        <v>4.2999720915297246E-2</v>
      </c>
      <c r="AX68" s="38">
        <f t="shared" ref="AX68:AX131" si="69">AB68-AB67</f>
        <v>1.7201119872995108E-2</v>
      </c>
      <c r="AY68" s="38">
        <f t="shared" ref="AY68:AY131" si="70">AC68-AC67</f>
        <v>5.8437969669951073E-2</v>
      </c>
      <c r="AZ68" s="38">
        <f t="shared" ref="AZ68:AZ131" si="71">AD68-AD67</f>
        <v>3.795611016357725E-2</v>
      </c>
      <c r="BA68" s="38">
        <f t="shared" ref="BA68:BA131" si="72">AE68-AE67</f>
        <v>7.7263028173508275E-2</v>
      </c>
      <c r="BB68" s="38">
        <f t="shared" ref="BB68:BB131" si="73">AF68-AF67</f>
        <v>-5.7946535931172605E-3</v>
      </c>
      <c r="BC68" s="38">
        <f t="shared" ref="BC68:BC131" si="74">AG68-AG67</f>
        <v>5.6810711310832041E-2</v>
      </c>
      <c r="BD68" s="38">
        <f t="shared" ref="BD68:BD131" si="75">AH68-AH67</f>
        <v>5.1443223349179945E-2</v>
      </c>
      <c r="BE68" s="38">
        <f t="shared" ref="BE68:BE131" si="76">AI68-AI67</f>
        <v>0.16341770093311325</v>
      </c>
      <c r="BF68" s="38">
        <f t="shared" ref="BF68:BF131" si="77">AJ68-AJ67</f>
        <v>6.0134953368780941E-2</v>
      </c>
      <c r="BG68" s="38">
        <f t="shared" ref="BG68:BG131" si="78">AK68-AK67</f>
        <v>-9.1470818980703861E-2</v>
      </c>
      <c r="BH68" s="38">
        <f t="shared" ref="BH68:BH131" si="79">AL68-AL67</f>
        <v>-0.26131486717691299</v>
      </c>
      <c r="BI68" s="38">
        <f t="shared" ref="BI68:BI131" si="80">AM68-AM67</f>
        <v>-7.9135450607363822E-3</v>
      </c>
      <c r="BJ68" s="38">
        <f t="shared" ref="BJ68:BJ131" si="81">AN68-AN67</f>
        <v>4.5715118114033615E-2</v>
      </c>
      <c r="BK68" s="38">
        <f t="shared" ref="BK68:BK131" si="82">AO68-AO67</f>
        <v>2.2845686509853635E-4</v>
      </c>
      <c r="BL68" s="38">
        <f t="shared" ref="BL68:BL131" si="83">AP68-AP67</f>
        <v>3.9917379768441563E-2</v>
      </c>
      <c r="BM68" s="38">
        <f t="shared" ref="BM68:BM131" si="84">AQ68-AQ67</f>
        <v>0.12647513510063213</v>
      </c>
      <c r="BN68" s="38">
        <f t="shared" ref="BN68:BN131" si="85">AR68-AR67</f>
        <v>3.0350815213200377E-2</v>
      </c>
      <c r="BO68" s="7"/>
      <c r="BX68" s="7"/>
      <c r="CN68" s="7"/>
      <c r="CO68" s="8"/>
      <c r="CP68" s="7"/>
      <c r="DG68" s="7"/>
      <c r="DO68" s="7"/>
      <c r="EE68" s="7"/>
      <c r="EF68" s="7"/>
      <c r="GH68" s="7"/>
      <c r="GJ68" s="9"/>
    </row>
    <row r="69" spans="1:192" x14ac:dyDescent="0.25">
      <c r="A69" s="7">
        <v>1937</v>
      </c>
      <c r="B69" s="8">
        <v>3155.7304219096964</v>
      </c>
      <c r="C69" s="8">
        <v>4960.958543014618</v>
      </c>
      <c r="D69" s="8">
        <v>1249.9030682141288</v>
      </c>
      <c r="E69" s="8">
        <v>4473.4104576316022</v>
      </c>
      <c r="F69" s="8">
        <v>5668.4635902907439</v>
      </c>
      <c r="G69" s="8">
        <v>3441.1795366795373</v>
      </c>
      <c r="H69" s="8">
        <v>4486.6367278797989</v>
      </c>
      <c r="I69" s="8">
        <v>4684.9228228980846</v>
      </c>
      <c r="J69" s="8">
        <v>3319.259799675433</v>
      </c>
      <c r="K69" s="8">
        <v>2315.1162911417268</v>
      </c>
      <c r="L69" s="8">
        <v>5432.6968252122342</v>
      </c>
      <c r="M69" s="8">
        <v>6101.5595463137997</v>
      </c>
      <c r="N69" s="8">
        <v>4193.0365219639953</v>
      </c>
      <c r="O69" s="8">
        <v>1757.30124391563</v>
      </c>
      <c r="P69" s="8">
        <v>1807.7706345086451</v>
      </c>
      <c r="Q69" s="8">
        <v>1246.618801135415</v>
      </c>
      <c r="R69" s="8">
        <v>5194.0726577437863</v>
      </c>
      <c r="S69" s="8">
        <v>6171.2667464114829</v>
      </c>
      <c r="T69" s="8">
        <v>6217.6185159339393</v>
      </c>
      <c r="U69" s="8">
        <v>6430.1214777853302</v>
      </c>
      <c r="V69" s="8">
        <v>3462.2592399791774</v>
      </c>
      <c r="W69" s="7"/>
      <c r="X69" s="35">
        <f t="shared" si="44"/>
        <v>8.056975260671619</v>
      </c>
      <c r="Y69" s="35">
        <f t="shared" si="45"/>
        <v>8.5093542556877448</v>
      </c>
      <c r="Z69" s="35">
        <f t="shared" si="46"/>
        <v>7.1308212818608476</v>
      </c>
      <c r="AA69" s="35">
        <f t="shared" si="47"/>
        <v>8.4059063626101924</v>
      </c>
      <c r="AB69" s="35">
        <f t="shared" si="48"/>
        <v>8.6426733882722981</v>
      </c>
      <c r="AC69" s="35">
        <f t="shared" si="49"/>
        <v>8.1435695801642254</v>
      </c>
      <c r="AD69" s="35">
        <f t="shared" si="50"/>
        <v>8.408858641673234</v>
      </c>
      <c r="AE69" s="35">
        <f t="shared" si="51"/>
        <v>8.4521047213027032</v>
      </c>
      <c r="AF69" s="35">
        <f t="shared" si="52"/>
        <v>8.1074970851480739</v>
      </c>
      <c r="AG69" s="35">
        <f t="shared" si="53"/>
        <v>7.747215199013187</v>
      </c>
      <c r="AH69" s="35">
        <f t="shared" si="54"/>
        <v>8.6001909425303502</v>
      </c>
      <c r="AI69" s="35">
        <f t="shared" si="55"/>
        <v>8.7162996808152347</v>
      </c>
      <c r="AJ69" s="35">
        <f t="shared" si="56"/>
        <v>8.3411804573555806</v>
      </c>
      <c r="AK69" s="35">
        <f t="shared" si="57"/>
        <v>7.4715345270567104</v>
      </c>
      <c r="AL69" s="35">
        <f t="shared" si="58"/>
        <v>7.4998496714601943</v>
      </c>
      <c r="AM69" s="35">
        <f t="shared" si="59"/>
        <v>7.1281902061922038</v>
      </c>
      <c r="AN69" s="35">
        <f t="shared" si="60"/>
        <v>8.5552733809087922</v>
      </c>
      <c r="AO69" s="35">
        <f t="shared" si="61"/>
        <v>8.7276594031868076</v>
      </c>
      <c r="AP69" s="35">
        <f t="shared" si="62"/>
        <v>8.7351422371660039</v>
      </c>
      <c r="AQ69" s="35">
        <f t="shared" si="63"/>
        <v>8.7687487093992917</v>
      </c>
      <c r="AR69" s="35">
        <f t="shared" si="64"/>
        <v>8.1496766144980022</v>
      </c>
      <c r="AS69" s="38"/>
      <c r="AT69" s="38">
        <f t="shared" si="65"/>
        <v>5.2374419973986619E-2</v>
      </c>
      <c r="AU69" s="38">
        <f t="shared" si="66"/>
        <v>9.6489650387017178E-3</v>
      </c>
      <c r="AV69" s="38">
        <f t="shared" si="67"/>
        <v>1.1911418334443979E-2</v>
      </c>
      <c r="AW69" s="38">
        <f t="shared" si="68"/>
        <v>8.1277568468332007E-2</v>
      </c>
      <c r="AX69" s="38">
        <f t="shared" si="69"/>
        <v>1.6668684120043409E-2</v>
      </c>
      <c r="AY69" s="38">
        <f t="shared" si="70"/>
        <v>4.8344151009127145E-2</v>
      </c>
      <c r="AZ69" s="38">
        <f t="shared" si="71"/>
        <v>5.5597597338369553E-2</v>
      </c>
      <c r="BA69" s="38">
        <f t="shared" si="72"/>
        <v>5.1278695058936563E-2</v>
      </c>
      <c r="BB69" s="38">
        <f t="shared" si="73"/>
        <v>5.8824548542933286E-2</v>
      </c>
      <c r="BC69" s="38">
        <f t="shared" si="74"/>
        <v>3.1012160716711534E-2</v>
      </c>
      <c r="BD69" s="38">
        <f t="shared" si="75"/>
        <v>4.5763848857177436E-2</v>
      </c>
      <c r="BE69" s="38">
        <f t="shared" si="76"/>
        <v>4.3847460254319515E-2</v>
      </c>
      <c r="BF69" s="38">
        <f t="shared" si="77"/>
        <v>3.838739970673366E-2</v>
      </c>
      <c r="BG69" s="38">
        <f t="shared" si="78"/>
        <v>0.14323335690551797</v>
      </c>
      <c r="BH69" s="38">
        <f t="shared" si="79"/>
        <v>-9.5454721665285014E-2</v>
      </c>
      <c r="BI69" s="38">
        <f t="shared" si="80"/>
        <v>5.9456810606326016E-2</v>
      </c>
      <c r="BJ69" s="38">
        <f t="shared" si="81"/>
        <v>3.9871215653350944E-2</v>
      </c>
      <c r="BK69" s="38">
        <f t="shared" si="82"/>
        <v>4.355379519589242E-2</v>
      </c>
      <c r="BL69" s="38">
        <f t="shared" si="83"/>
        <v>2.9783177044066633E-2</v>
      </c>
      <c r="BM69" s="38">
        <f t="shared" si="84"/>
        <v>3.5817917970685897E-2</v>
      </c>
      <c r="BN69" s="38">
        <f t="shared" si="85"/>
        <v>9.4961085635958398E-4</v>
      </c>
      <c r="BO69" s="7"/>
      <c r="BX69" s="7"/>
      <c r="CN69" s="7"/>
      <c r="CO69" s="8"/>
      <c r="CP69" s="7"/>
      <c r="DG69" s="7"/>
      <c r="DO69" s="7"/>
      <c r="EE69" s="7"/>
      <c r="EF69" s="7"/>
      <c r="GH69" s="7"/>
      <c r="GJ69" s="9"/>
    </row>
    <row r="70" spans="1:192" x14ac:dyDescent="0.25">
      <c r="A70" s="7">
        <v>1938</v>
      </c>
      <c r="B70" s="8">
        <v>3559.4957796534877</v>
      </c>
      <c r="C70" s="8">
        <v>4832.3497731072357</v>
      </c>
      <c r="D70" s="8">
        <v>1275.9878419452889</v>
      </c>
      <c r="E70" s="8">
        <v>4545.9095354523224</v>
      </c>
      <c r="F70" s="8">
        <v>5762.3907863383629</v>
      </c>
      <c r="G70" s="8">
        <v>3589.4436542669587</v>
      </c>
      <c r="H70" s="8">
        <v>4466.2114632983785</v>
      </c>
      <c r="I70" s="8">
        <v>4993.5966626797754</v>
      </c>
      <c r="J70" s="8">
        <v>3316.0928212796739</v>
      </c>
      <c r="K70" s="8">
        <v>2449.2747673172967</v>
      </c>
      <c r="L70" s="8">
        <v>5249.6010362694306</v>
      </c>
      <c r="M70" s="8">
        <v>6462.177680798005</v>
      </c>
      <c r="N70" s="8">
        <v>4262.2097572254434</v>
      </c>
      <c r="O70" s="8">
        <v>1747.3290598290598</v>
      </c>
      <c r="P70" s="8">
        <v>1790.2211321650382</v>
      </c>
      <c r="Q70" s="8">
        <v>1225.3101736972706</v>
      </c>
      <c r="R70" s="8">
        <v>5370.9703033190408</v>
      </c>
      <c r="S70" s="8">
        <v>6389.521708015267</v>
      </c>
      <c r="T70" s="8">
        <v>6266.4515517749605</v>
      </c>
      <c r="U70" s="8">
        <v>6126.4656718476963</v>
      </c>
      <c r="V70" s="8">
        <v>3676.2295081967213</v>
      </c>
      <c r="W70" s="7"/>
      <c r="X70" s="35">
        <f t="shared" si="44"/>
        <v>8.1773741788861063</v>
      </c>
      <c r="Y70" s="35">
        <f t="shared" si="45"/>
        <v>8.4830881238134026</v>
      </c>
      <c r="Z70" s="35">
        <f t="shared" si="46"/>
        <v>7.1514759356032975</v>
      </c>
      <c r="AA70" s="35">
        <f t="shared" si="47"/>
        <v>8.4219831044019724</v>
      </c>
      <c r="AB70" s="35">
        <f t="shared" si="48"/>
        <v>8.6591077346460601</v>
      </c>
      <c r="AC70" s="35">
        <f t="shared" si="49"/>
        <v>8.1857524985168055</v>
      </c>
      <c r="AD70" s="35">
        <f t="shared" si="50"/>
        <v>8.4042957808757386</v>
      </c>
      <c r="AE70" s="35">
        <f t="shared" si="51"/>
        <v>8.5159117031967977</v>
      </c>
      <c r="AF70" s="35">
        <f t="shared" si="52"/>
        <v>8.1065425078054183</v>
      </c>
      <c r="AG70" s="35">
        <f t="shared" si="53"/>
        <v>7.8035472463782973</v>
      </c>
      <c r="AH70" s="35">
        <f t="shared" si="54"/>
        <v>8.565907359606511</v>
      </c>
      <c r="AI70" s="35">
        <f t="shared" si="55"/>
        <v>8.7737216422611493</v>
      </c>
      <c r="AJ70" s="35">
        <f t="shared" si="56"/>
        <v>8.3575430271268729</v>
      </c>
      <c r="AK70" s="35">
        <f t="shared" si="57"/>
        <v>7.4658436494829834</v>
      </c>
      <c r="AL70" s="35">
        <f t="shared" si="58"/>
        <v>7.490094428727037</v>
      </c>
      <c r="AM70" s="35">
        <f t="shared" si="59"/>
        <v>7.1109492939465335</v>
      </c>
      <c r="AN70" s="35">
        <f t="shared" si="60"/>
        <v>8.5887638608116106</v>
      </c>
      <c r="AO70" s="35">
        <f t="shared" si="61"/>
        <v>8.762414694494316</v>
      </c>
      <c r="AP70" s="35">
        <f t="shared" si="62"/>
        <v>8.7429655327163296</v>
      </c>
      <c r="AQ70" s="35">
        <f t="shared" si="63"/>
        <v>8.7203733001497259</v>
      </c>
      <c r="AR70" s="35">
        <f t="shared" si="64"/>
        <v>8.2096429157477306</v>
      </c>
      <c r="AS70" s="38"/>
      <c r="AT70" s="38">
        <f t="shared" si="65"/>
        <v>0.12039891821448734</v>
      </c>
      <c r="AU70" s="38">
        <f t="shared" si="66"/>
        <v>-2.6266131874342236E-2</v>
      </c>
      <c r="AV70" s="38">
        <f t="shared" si="67"/>
        <v>2.0654653742449902E-2</v>
      </c>
      <c r="AW70" s="38">
        <f t="shared" si="68"/>
        <v>1.607674179177998E-2</v>
      </c>
      <c r="AX70" s="38">
        <f t="shared" si="69"/>
        <v>1.6434346373761954E-2</v>
      </c>
      <c r="AY70" s="38">
        <f t="shared" si="70"/>
        <v>4.2182918352580145E-2</v>
      </c>
      <c r="AZ70" s="38">
        <f t="shared" si="71"/>
        <v>-4.5628607974954605E-3</v>
      </c>
      <c r="BA70" s="38">
        <f t="shared" si="72"/>
        <v>6.3806981894094505E-2</v>
      </c>
      <c r="BB70" s="38">
        <f t="shared" si="73"/>
        <v>-9.5457734265558258E-4</v>
      </c>
      <c r="BC70" s="38">
        <f t="shared" si="74"/>
        <v>5.6332047365110327E-2</v>
      </c>
      <c r="BD70" s="38">
        <f t="shared" si="75"/>
        <v>-3.4283582923839262E-2</v>
      </c>
      <c r="BE70" s="38">
        <f t="shared" si="76"/>
        <v>5.7421961445914604E-2</v>
      </c>
      <c r="BF70" s="38">
        <f t="shared" si="77"/>
        <v>1.6362569771292357E-2</v>
      </c>
      <c r="BG70" s="38">
        <f t="shared" si="78"/>
        <v>-5.6908775737269934E-3</v>
      </c>
      <c r="BH70" s="38">
        <f t="shared" si="79"/>
        <v>-9.7552427331573099E-3</v>
      </c>
      <c r="BI70" s="38">
        <f t="shared" si="80"/>
        <v>-1.7240912245670259E-2</v>
      </c>
      <c r="BJ70" s="38">
        <f t="shared" si="81"/>
        <v>3.3490479902818393E-2</v>
      </c>
      <c r="BK70" s="38">
        <f t="shared" si="82"/>
        <v>3.4755291307508429E-2</v>
      </c>
      <c r="BL70" s="38">
        <f t="shared" si="83"/>
        <v>7.8232955503256818E-3</v>
      </c>
      <c r="BM70" s="38">
        <f t="shared" si="84"/>
        <v>-4.8375409249565848E-2</v>
      </c>
      <c r="BN70" s="38">
        <f t="shared" si="85"/>
        <v>5.996630124972846E-2</v>
      </c>
      <c r="BO70" s="7"/>
      <c r="BX70" s="7"/>
      <c r="CN70" s="7"/>
      <c r="CO70" s="8"/>
      <c r="CP70" s="7"/>
      <c r="DG70" s="7"/>
      <c r="DO70" s="7"/>
      <c r="EE70" s="7"/>
      <c r="EF70" s="7"/>
      <c r="GH70" s="7"/>
      <c r="GJ70" s="9"/>
    </row>
    <row r="71" spans="1:192" x14ac:dyDescent="0.25">
      <c r="A71" s="7">
        <v>1939</v>
      </c>
      <c r="B71" s="8">
        <v>4095.9059071095753</v>
      </c>
      <c r="C71" s="8">
        <v>5149.617731172546</v>
      </c>
      <c r="D71" s="8">
        <v>1262.7764402194148</v>
      </c>
      <c r="E71" s="8">
        <v>4768.1313742437342</v>
      </c>
      <c r="F71" s="8">
        <v>5992.951379763469</v>
      </c>
      <c r="G71" s="8">
        <v>3407.6977753662504</v>
      </c>
      <c r="H71" s="8">
        <v>4793.3105011933167</v>
      </c>
      <c r="I71" s="8">
        <v>5406.2436855930491</v>
      </c>
      <c r="J71" s="8">
        <v>3521.4897516774495</v>
      </c>
      <c r="K71" s="8">
        <v>2816.0567685589517</v>
      </c>
      <c r="L71" s="8">
        <v>5543.9768845365525</v>
      </c>
      <c r="M71" s="8">
        <v>6459.6545789797174</v>
      </c>
      <c r="N71" s="8">
        <v>4440.6313085290121</v>
      </c>
      <c r="O71" s="8">
        <v>1748.9777074264609</v>
      </c>
      <c r="P71" s="8">
        <v>1914.6451385350942</v>
      </c>
      <c r="Q71" s="8">
        <v>1186.2182116488925</v>
      </c>
      <c r="R71" s="8">
        <v>5736.9585836231427</v>
      </c>
      <c r="S71" s="8">
        <v>6360.4158345221122</v>
      </c>
      <c r="T71" s="8">
        <v>6262.4009501781584</v>
      </c>
      <c r="U71" s="8">
        <v>6560.752658907244</v>
      </c>
      <c r="V71" s="8">
        <v>3691.8724279835387</v>
      </c>
      <c r="W71" s="7"/>
      <c r="X71" s="35">
        <f t="shared" si="44"/>
        <v>8.3177431945584086</v>
      </c>
      <c r="Y71" s="35">
        <f t="shared" si="45"/>
        <v>8.5466777639460378</v>
      </c>
      <c r="Z71" s="35">
        <f t="shared" si="46"/>
        <v>7.1410680997307461</v>
      </c>
      <c r="AA71" s="35">
        <f t="shared" si="47"/>
        <v>8.4697097616885308</v>
      </c>
      <c r="AB71" s="35">
        <f t="shared" si="48"/>
        <v>8.6983392875875438</v>
      </c>
      <c r="AC71" s="35">
        <f t="shared" si="49"/>
        <v>8.1337922030796861</v>
      </c>
      <c r="AD71" s="35">
        <f t="shared" si="50"/>
        <v>8.4749765792840357</v>
      </c>
      <c r="AE71" s="35">
        <f t="shared" si="51"/>
        <v>8.5953098026967183</v>
      </c>
      <c r="AF71" s="35">
        <f t="shared" si="52"/>
        <v>8.1666394039661085</v>
      </c>
      <c r="AG71" s="35">
        <f t="shared" si="53"/>
        <v>7.9430928763641377</v>
      </c>
      <c r="AH71" s="35">
        <f t="shared" si="54"/>
        <v>8.6204673714051587</v>
      </c>
      <c r="AI71" s="35">
        <f t="shared" si="55"/>
        <v>8.7733311246008618</v>
      </c>
      <c r="AJ71" s="35">
        <f t="shared" si="56"/>
        <v>8.3985518319243457</v>
      </c>
      <c r="AK71" s="35">
        <f t="shared" si="57"/>
        <v>7.4667867290405523</v>
      </c>
      <c r="AL71" s="35">
        <f t="shared" si="58"/>
        <v>7.5572875781954298</v>
      </c>
      <c r="AM71" s="35">
        <f t="shared" si="59"/>
        <v>7.0785255522195758</v>
      </c>
      <c r="AN71" s="35">
        <f t="shared" si="60"/>
        <v>8.6546844854060616</v>
      </c>
      <c r="AO71" s="35">
        <f t="shared" si="61"/>
        <v>8.757849036983302</v>
      </c>
      <c r="AP71" s="35">
        <f t="shared" si="62"/>
        <v>8.7423189289292242</v>
      </c>
      <c r="AQ71" s="35">
        <f t="shared" si="63"/>
        <v>8.7888606099461448</v>
      </c>
      <c r="AR71" s="35">
        <f t="shared" si="64"/>
        <v>8.2138890413918251</v>
      </c>
      <c r="AS71" s="38"/>
      <c r="AT71" s="38">
        <f t="shared" si="65"/>
        <v>0.14036901567230231</v>
      </c>
      <c r="AU71" s="38">
        <f t="shared" si="66"/>
        <v>6.3589640132635239E-2</v>
      </c>
      <c r="AV71" s="38">
        <f t="shared" si="67"/>
        <v>-1.0407835872551452E-2</v>
      </c>
      <c r="AW71" s="38">
        <f t="shared" si="68"/>
        <v>4.7726657286558449E-2</v>
      </c>
      <c r="AX71" s="38">
        <f t="shared" si="69"/>
        <v>3.9231552941483727E-2</v>
      </c>
      <c r="AY71" s="38">
        <f t="shared" si="70"/>
        <v>-5.1960295437119441E-2</v>
      </c>
      <c r="AZ71" s="38">
        <f t="shared" si="71"/>
        <v>7.0680798408297107E-2</v>
      </c>
      <c r="BA71" s="38">
        <f t="shared" si="72"/>
        <v>7.9398099499920605E-2</v>
      </c>
      <c r="BB71" s="38">
        <f t="shared" si="73"/>
        <v>6.009689616069025E-2</v>
      </c>
      <c r="BC71" s="38">
        <f t="shared" si="74"/>
        <v>0.13954562998584041</v>
      </c>
      <c r="BD71" s="38">
        <f t="shared" si="75"/>
        <v>5.4560011798647778E-2</v>
      </c>
      <c r="BE71" s="38">
        <f t="shared" si="76"/>
        <v>-3.9051766028741497E-4</v>
      </c>
      <c r="BF71" s="38">
        <f t="shared" si="77"/>
        <v>4.100880479747282E-2</v>
      </c>
      <c r="BG71" s="38">
        <f t="shared" si="78"/>
        <v>9.4307955756889328E-4</v>
      </c>
      <c r="BH71" s="38">
        <f t="shared" si="79"/>
        <v>6.7193149468392832E-2</v>
      </c>
      <c r="BI71" s="38">
        <f t="shared" si="80"/>
        <v>-3.2423741726957722E-2</v>
      </c>
      <c r="BJ71" s="38">
        <f t="shared" si="81"/>
        <v>6.5920624594451027E-2</v>
      </c>
      <c r="BK71" s="38">
        <f t="shared" si="82"/>
        <v>-4.5656575110140096E-3</v>
      </c>
      <c r="BL71" s="38">
        <f t="shared" si="83"/>
        <v>-6.4660378710534872E-4</v>
      </c>
      <c r="BM71" s="38">
        <f t="shared" si="84"/>
        <v>6.8487309796418927E-2</v>
      </c>
      <c r="BN71" s="38">
        <f t="shared" si="85"/>
        <v>4.2461256440944339E-3</v>
      </c>
      <c r="BO71" s="7"/>
      <c r="BX71" s="7"/>
      <c r="CN71" s="7"/>
      <c r="CO71" s="8"/>
      <c r="CP71" s="7"/>
      <c r="DG71" s="7"/>
      <c r="DO71" s="7"/>
      <c r="EE71" s="7"/>
      <c r="EF71" s="7"/>
      <c r="GH71" s="7"/>
      <c r="GJ71" s="9"/>
    </row>
    <row r="72" spans="1:192" x14ac:dyDescent="0.25">
      <c r="A72" s="7">
        <v>1940</v>
      </c>
      <c r="B72" s="8">
        <v>3959.2143176733784</v>
      </c>
      <c r="C72" s="8">
        <v>4561.7564102564102</v>
      </c>
      <c r="D72" s="8">
        <v>1249.7202899255728</v>
      </c>
      <c r="E72" s="8">
        <v>5368.2453798767965</v>
      </c>
      <c r="F72" s="8">
        <v>5116.2839248434229</v>
      </c>
      <c r="G72" s="8">
        <v>3220.4153596538672</v>
      </c>
      <c r="H72" s="8">
        <v>4042.1678780487805</v>
      </c>
      <c r="I72" s="8">
        <v>5402.5059067802677</v>
      </c>
      <c r="J72" s="8">
        <v>3505.1908479548651</v>
      </c>
      <c r="K72" s="8">
        <v>2874.2901722696556</v>
      </c>
      <c r="L72" s="8">
        <v>4831.3599504448694</v>
      </c>
      <c r="M72" s="8">
        <v>6300.4419315403429</v>
      </c>
      <c r="N72" s="8">
        <v>4038.0921963533333</v>
      </c>
      <c r="O72" s="8">
        <v>1615.1140065146581</v>
      </c>
      <c r="P72" s="8">
        <v>2080.4053267073027</v>
      </c>
      <c r="Q72" s="8">
        <v>1250.8966416693838</v>
      </c>
      <c r="R72" s="8">
        <v>5179.9874134675892</v>
      </c>
      <c r="S72" s="8">
        <v>6396.6209181258864</v>
      </c>
      <c r="T72" s="8">
        <v>6856.0049765686554</v>
      </c>
      <c r="U72" s="8">
        <v>7009.637212844078</v>
      </c>
      <c r="V72" s="8">
        <v>3660.5597964376589</v>
      </c>
      <c r="W72" s="7"/>
      <c r="X72" s="35">
        <f t="shared" si="44"/>
        <v>8.2838008799357894</v>
      </c>
      <c r="Y72" s="35">
        <f t="shared" si="45"/>
        <v>8.4254630060343576</v>
      </c>
      <c r="Z72" s="35">
        <f t="shared" si="46"/>
        <v>7.1306750371969976</v>
      </c>
      <c r="AA72" s="35">
        <f t="shared" si="47"/>
        <v>8.5882563892082633</v>
      </c>
      <c r="AB72" s="35">
        <f t="shared" si="48"/>
        <v>8.5401836585871553</v>
      </c>
      <c r="AC72" s="35">
        <f t="shared" si="49"/>
        <v>8.0772656239008089</v>
      </c>
      <c r="AD72" s="35">
        <f t="shared" si="50"/>
        <v>8.3045364305124529</v>
      </c>
      <c r="AE72" s="35">
        <f t="shared" si="51"/>
        <v>8.5946181817224634</v>
      </c>
      <c r="AF72" s="35">
        <f t="shared" si="52"/>
        <v>8.1620002481874341</v>
      </c>
      <c r="AG72" s="35">
        <f t="shared" si="53"/>
        <v>7.9635610261456078</v>
      </c>
      <c r="AH72" s="35">
        <f t="shared" si="54"/>
        <v>8.4828832702542325</v>
      </c>
      <c r="AI72" s="35">
        <f t="shared" si="55"/>
        <v>8.7483750577829245</v>
      </c>
      <c r="AJ72" s="35">
        <f t="shared" si="56"/>
        <v>8.303527630794731</v>
      </c>
      <c r="AK72" s="35">
        <f t="shared" si="57"/>
        <v>7.3871608254343784</v>
      </c>
      <c r="AL72" s="35">
        <f t="shared" si="58"/>
        <v>7.6403180223202227</v>
      </c>
      <c r="AM72" s="35">
        <f t="shared" si="59"/>
        <v>7.1316158864856058</v>
      </c>
      <c r="AN72" s="35">
        <f t="shared" si="60"/>
        <v>8.5525579054180643</v>
      </c>
      <c r="AO72" s="35">
        <f t="shared" si="61"/>
        <v>8.7635251483735974</v>
      </c>
      <c r="AP72" s="35">
        <f t="shared" si="62"/>
        <v>8.8328801861479267</v>
      </c>
      <c r="AQ72" s="35">
        <f t="shared" si="63"/>
        <v>8.8550412258854294</v>
      </c>
      <c r="AR72" s="35">
        <f t="shared" si="64"/>
        <v>8.2053713645461315</v>
      </c>
      <c r="AS72" s="38"/>
      <c r="AT72" s="38">
        <f t="shared" si="65"/>
        <v>-3.3942314622619207E-2</v>
      </c>
      <c r="AU72" s="38">
        <f t="shared" si="66"/>
        <v>-0.12121475791168024</v>
      </c>
      <c r="AV72" s="38">
        <f t="shared" si="67"/>
        <v>-1.0393062533748498E-2</v>
      </c>
      <c r="AW72" s="38">
        <f t="shared" si="68"/>
        <v>0.11854662751973244</v>
      </c>
      <c r="AX72" s="38">
        <f t="shared" si="69"/>
        <v>-0.15815562900038849</v>
      </c>
      <c r="AY72" s="38">
        <f t="shared" si="70"/>
        <v>-5.6526579178877157E-2</v>
      </c>
      <c r="AZ72" s="38">
        <f t="shared" si="71"/>
        <v>-0.17044014877158276</v>
      </c>
      <c r="BA72" s="38">
        <f t="shared" si="72"/>
        <v>-6.9162097425490288E-4</v>
      </c>
      <c r="BB72" s="38">
        <f t="shared" si="73"/>
        <v>-4.6391557786744642E-3</v>
      </c>
      <c r="BC72" s="38">
        <f t="shared" si="74"/>
        <v>2.0468149781470046E-2</v>
      </c>
      <c r="BD72" s="38">
        <f t="shared" si="75"/>
        <v>-0.13758410115092623</v>
      </c>
      <c r="BE72" s="38">
        <f t="shared" si="76"/>
        <v>-2.4956066817937383E-2</v>
      </c>
      <c r="BF72" s="38">
        <f t="shared" si="77"/>
        <v>-9.5024201129614738E-2</v>
      </c>
      <c r="BG72" s="38">
        <f t="shared" si="78"/>
        <v>-7.9625903606173942E-2</v>
      </c>
      <c r="BH72" s="38">
        <f t="shared" si="79"/>
        <v>8.3030444124792879E-2</v>
      </c>
      <c r="BI72" s="38">
        <f t="shared" si="80"/>
        <v>5.3090334266030048E-2</v>
      </c>
      <c r="BJ72" s="38">
        <f t="shared" si="81"/>
        <v>-0.10212657998799735</v>
      </c>
      <c r="BK72" s="38">
        <f t="shared" si="82"/>
        <v>5.6761113902954463E-3</v>
      </c>
      <c r="BL72" s="38">
        <f t="shared" si="83"/>
        <v>9.0561257218702451E-2</v>
      </c>
      <c r="BM72" s="38">
        <f t="shared" si="84"/>
        <v>6.6180615939284593E-2</v>
      </c>
      <c r="BN72" s="38">
        <f t="shared" si="85"/>
        <v>-8.5176768456936003E-3</v>
      </c>
      <c r="BO72" s="7"/>
      <c r="BX72" s="7"/>
      <c r="CN72" s="7"/>
      <c r="CO72" s="8"/>
      <c r="CP72" s="7"/>
      <c r="DG72" s="7"/>
      <c r="DO72" s="7"/>
      <c r="EE72" s="7"/>
      <c r="EF72" s="7"/>
      <c r="GH72" s="7"/>
      <c r="GJ72" s="9"/>
    </row>
    <row r="73" spans="1:192" x14ac:dyDescent="0.25">
      <c r="A73" s="7">
        <v>1941</v>
      </c>
      <c r="B73" s="8">
        <v>4217.3555226093404</v>
      </c>
      <c r="C73" s="8">
        <v>4358.0117206379891</v>
      </c>
      <c r="D73" s="8">
        <v>1306.9243385866075</v>
      </c>
      <c r="E73" s="8">
        <v>6050.7673041123717</v>
      </c>
      <c r="F73" s="8">
        <v>4573.7457934247996</v>
      </c>
      <c r="G73" s="8">
        <v>3322.2109670448408</v>
      </c>
      <c r="H73" s="8">
        <v>3309.3818939393936</v>
      </c>
      <c r="I73" s="8">
        <v>5711.1497067365181</v>
      </c>
      <c r="J73" s="8">
        <v>3431.7661851275534</v>
      </c>
      <c r="K73" s="8">
        <v>2872.7038848726434</v>
      </c>
      <c r="L73" s="8">
        <v>4531.2000892259648</v>
      </c>
      <c r="M73" s="8">
        <v>6128.7826887661149</v>
      </c>
      <c r="N73" s="8">
        <v>4112.4731401193021</v>
      </c>
      <c r="O73" s="8">
        <v>1746.9382493231919</v>
      </c>
      <c r="P73" s="8">
        <v>2029.5623388121173</v>
      </c>
      <c r="Q73" s="8">
        <v>1276.5440103744529</v>
      </c>
      <c r="R73" s="8">
        <v>5074.0334950696515</v>
      </c>
      <c r="S73" s="8">
        <v>6311.896332863188</v>
      </c>
      <c r="T73" s="8">
        <v>7481.6763729882196</v>
      </c>
      <c r="U73" s="8">
        <v>8205.6830991173974</v>
      </c>
      <c r="V73" s="8">
        <v>3682.4358329139409</v>
      </c>
      <c r="W73" s="7"/>
      <c r="X73" s="35">
        <f t="shared" si="44"/>
        <v>8.3469635571906338</v>
      </c>
      <c r="Y73" s="35">
        <f t="shared" si="45"/>
        <v>8.3797712049543644</v>
      </c>
      <c r="Z73" s="35">
        <f t="shared" si="46"/>
        <v>7.1754318225733629</v>
      </c>
      <c r="AA73" s="35">
        <f t="shared" si="47"/>
        <v>8.7079403701090197</v>
      </c>
      <c r="AB73" s="35">
        <f t="shared" si="48"/>
        <v>8.4280877966117149</v>
      </c>
      <c r="AC73" s="35">
        <f t="shared" si="49"/>
        <v>8.1083857941907844</v>
      </c>
      <c r="AD73" s="35">
        <f t="shared" si="50"/>
        <v>8.1045167119420931</v>
      </c>
      <c r="AE73" s="35">
        <f t="shared" si="51"/>
        <v>8.6501756320730863</v>
      </c>
      <c r="AF73" s="35">
        <f t="shared" si="52"/>
        <v>8.1408303304104574</v>
      </c>
      <c r="AG73" s="35">
        <f t="shared" si="53"/>
        <v>7.9630089854016903</v>
      </c>
      <c r="AH73" s="35">
        <f t="shared" si="54"/>
        <v>8.4187421037508106</v>
      </c>
      <c r="AI73" s="35">
        <f t="shared" si="55"/>
        <v>8.7207514266271104</v>
      </c>
      <c r="AJ73" s="35">
        <f t="shared" si="56"/>
        <v>8.3217798637743172</v>
      </c>
      <c r="AK73" s="35">
        <f t="shared" si="57"/>
        <v>7.465619962813979</v>
      </c>
      <c r="AL73" s="35">
        <f t="shared" si="58"/>
        <v>7.6155754521472581</v>
      </c>
      <c r="AM73" s="35">
        <f t="shared" si="59"/>
        <v>7.1519117134663324</v>
      </c>
      <c r="AN73" s="35">
        <f t="shared" si="60"/>
        <v>8.5318913414519155</v>
      </c>
      <c r="AO73" s="35">
        <f t="shared" si="61"/>
        <v>8.7501914385732178</v>
      </c>
      <c r="AP73" s="35">
        <f t="shared" si="62"/>
        <v>8.9202121598945823</v>
      </c>
      <c r="AQ73" s="35">
        <f t="shared" si="63"/>
        <v>9.0125822540645455</v>
      </c>
      <c r="AR73" s="35">
        <f t="shared" si="64"/>
        <v>8.2113297233143498</v>
      </c>
      <c r="AS73" s="38"/>
      <c r="AT73" s="38">
        <f t="shared" si="65"/>
        <v>6.3162677254844368E-2</v>
      </c>
      <c r="AU73" s="38">
        <f t="shared" si="66"/>
        <v>-4.5691801079993155E-2</v>
      </c>
      <c r="AV73" s="38">
        <f t="shared" si="67"/>
        <v>4.4756785376365293E-2</v>
      </c>
      <c r="AW73" s="38">
        <f t="shared" si="68"/>
        <v>0.11968398090075638</v>
      </c>
      <c r="AX73" s="38">
        <f t="shared" si="69"/>
        <v>-0.11209586197544041</v>
      </c>
      <c r="AY73" s="38">
        <f t="shared" si="70"/>
        <v>3.1120170289975491E-2</v>
      </c>
      <c r="AZ73" s="38">
        <f t="shared" si="71"/>
        <v>-0.20001971857035983</v>
      </c>
      <c r="BA73" s="38">
        <f t="shared" si="72"/>
        <v>5.5557450350622872E-2</v>
      </c>
      <c r="BB73" s="38">
        <f t="shared" si="73"/>
        <v>-2.1169917776976632E-2</v>
      </c>
      <c r="BC73" s="38">
        <f t="shared" si="74"/>
        <v>-5.5204074391745905E-4</v>
      </c>
      <c r="BD73" s="38">
        <f t="shared" si="75"/>
        <v>-6.4141166503421942E-2</v>
      </c>
      <c r="BE73" s="38">
        <f t="shared" si="76"/>
        <v>-2.762363115581401E-2</v>
      </c>
      <c r="BF73" s="38">
        <f t="shared" si="77"/>
        <v>1.8252232979586225E-2</v>
      </c>
      <c r="BG73" s="38">
        <f t="shared" si="78"/>
        <v>7.8459137379600641E-2</v>
      </c>
      <c r="BH73" s="38">
        <f t="shared" si="79"/>
        <v>-2.4742570172964662E-2</v>
      </c>
      <c r="BI73" s="38">
        <f t="shared" si="80"/>
        <v>2.0295826980726517E-2</v>
      </c>
      <c r="BJ73" s="38">
        <f t="shared" si="81"/>
        <v>-2.0666563966148743E-2</v>
      </c>
      <c r="BK73" s="38">
        <f t="shared" si="82"/>
        <v>-1.3333709800379623E-2</v>
      </c>
      <c r="BL73" s="38">
        <f t="shared" si="83"/>
        <v>8.7331973746655578E-2</v>
      </c>
      <c r="BM73" s="38">
        <f t="shared" si="84"/>
        <v>0.15754102817911608</v>
      </c>
      <c r="BN73" s="38">
        <f t="shared" si="85"/>
        <v>5.9583587682183747E-3</v>
      </c>
      <c r="BO73" s="7"/>
      <c r="BX73" s="7"/>
      <c r="CN73" s="7"/>
      <c r="CO73" s="8"/>
      <c r="CP73" s="7"/>
      <c r="DG73" s="7"/>
      <c r="DO73" s="7"/>
      <c r="EE73" s="7"/>
      <c r="EF73" s="7"/>
      <c r="GH73" s="7"/>
      <c r="GJ73" s="9"/>
    </row>
    <row r="74" spans="1:192" x14ac:dyDescent="0.25">
      <c r="A74" s="7">
        <v>1942</v>
      </c>
      <c r="B74" s="8">
        <v>3982.8323750552859</v>
      </c>
      <c r="C74" s="8">
        <v>3996.7979871468415</v>
      </c>
      <c r="D74" s="8">
        <v>1229.2832431679399</v>
      </c>
      <c r="E74" s="8">
        <v>7033.3758877099162</v>
      </c>
      <c r="F74" s="8">
        <v>4628.5318985395843</v>
      </c>
      <c r="G74" s="8">
        <v>3327.1734088457388</v>
      </c>
      <c r="H74" s="8">
        <v>2981.4608375634512</v>
      </c>
      <c r="I74" s="8">
        <v>5739.9271536267897</v>
      </c>
      <c r="J74" s="8">
        <v>3368.8025433700377</v>
      </c>
      <c r="K74" s="8">
        <v>2818.2169960948431</v>
      </c>
      <c r="L74" s="8">
        <v>4106.728599867286</v>
      </c>
      <c r="M74" s="8">
        <v>6761.5478950579618</v>
      </c>
      <c r="N74" s="8">
        <v>3927.6945361270818</v>
      </c>
      <c r="O74" s="8">
        <v>1708.2800920010222</v>
      </c>
      <c r="P74" s="8">
        <v>2126.2699564586355</v>
      </c>
      <c r="Q74" s="8">
        <v>1322.7265385236633</v>
      </c>
      <c r="R74" s="8">
        <v>5157.0273631840791</v>
      </c>
      <c r="S74" s="8">
        <v>6107.0937937470844</v>
      </c>
      <c r="T74" s="8">
        <v>7638.8683471074364</v>
      </c>
      <c r="U74" s="8">
        <v>9741.1051881287585</v>
      </c>
      <c r="V74" s="8">
        <v>3337.8109452736321</v>
      </c>
      <c r="W74" s="7"/>
      <c r="X74" s="35">
        <f t="shared" si="44"/>
        <v>8.2897484971981967</v>
      </c>
      <c r="Y74" s="35">
        <f t="shared" si="45"/>
        <v>8.29324881631495</v>
      </c>
      <c r="Z74" s="35">
        <f t="shared" si="46"/>
        <v>7.1141865493820982</v>
      </c>
      <c r="AA74" s="35">
        <f t="shared" si="47"/>
        <v>8.8584220811630416</v>
      </c>
      <c r="AB74" s="35">
        <f t="shared" si="48"/>
        <v>8.4399950122496588</v>
      </c>
      <c r="AC74" s="35">
        <f t="shared" si="49"/>
        <v>8.1098783963451115</v>
      </c>
      <c r="AD74" s="35">
        <f t="shared" si="50"/>
        <v>8.0001686733313129</v>
      </c>
      <c r="AE74" s="35">
        <f t="shared" si="51"/>
        <v>8.655201798227294</v>
      </c>
      <c r="AF74" s="35">
        <f t="shared" si="52"/>
        <v>8.1223126318254781</v>
      </c>
      <c r="AG74" s="35">
        <f t="shared" si="53"/>
        <v>7.9438596930762744</v>
      </c>
      <c r="AH74" s="35">
        <f t="shared" si="54"/>
        <v>8.3203820294421966</v>
      </c>
      <c r="AI74" s="35">
        <f t="shared" si="55"/>
        <v>8.8190071213842902</v>
      </c>
      <c r="AJ74" s="35">
        <f t="shared" si="56"/>
        <v>8.2758079006986822</v>
      </c>
      <c r="AK74" s="35">
        <f t="shared" si="57"/>
        <v>7.443242349194902</v>
      </c>
      <c r="AL74" s="35">
        <f t="shared" si="58"/>
        <v>7.6621245294196463</v>
      </c>
      <c r="AM74" s="35">
        <f t="shared" si="59"/>
        <v>7.1874504447330931</v>
      </c>
      <c r="AN74" s="35">
        <f t="shared" si="60"/>
        <v>8.5481156000644329</v>
      </c>
      <c r="AO74" s="35">
        <f t="shared" si="61"/>
        <v>8.7172062915049153</v>
      </c>
      <c r="AP74" s="35">
        <f t="shared" si="62"/>
        <v>8.9410047490830475</v>
      </c>
      <c r="AQ74" s="35">
        <f t="shared" si="63"/>
        <v>9.1841098592065187</v>
      </c>
      <c r="AR74" s="35">
        <f t="shared" si="64"/>
        <v>8.1130704654919032</v>
      </c>
      <c r="AS74" s="38"/>
      <c r="AT74" s="38">
        <f t="shared" si="65"/>
        <v>-5.7215059992437034E-2</v>
      </c>
      <c r="AU74" s="38">
        <f t="shared" si="66"/>
        <v>-8.6522388639414416E-2</v>
      </c>
      <c r="AV74" s="38">
        <f t="shared" si="67"/>
        <v>-6.1245273191264715E-2</v>
      </c>
      <c r="AW74" s="38">
        <f t="shared" si="68"/>
        <v>0.15048171105402197</v>
      </c>
      <c r="AX74" s="38">
        <f t="shared" si="69"/>
        <v>1.1907215637943835E-2</v>
      </c>
      <c r="AY74" s="38">
        <f t="shared" si="70"/>
        <v>1.4926021543271162E-3</v>
      </c>
      <c r="AZ74" s="38">
        <f t="shared" si="71"/>
        <v>-0.10434803861078024</v>
      </c>
      <c r="BA74" s="38">
        <f t="shared" si="72"/>
        <v>5.0261661542077007E-3</v>
      </c>
      <c r="BB74" s="38">
        <f t="shared" si="73"/>
        <v>-1.8517698584979314E-2</v>
      </c>
      <c r="BC74" s="38">
        <f t="shared" si="74"/>
        <v>-1.9149292325415956E-2</v>
      </c>
      <c r="BD74" s="38">
        <f t="shared" si="75"/>
        <v>-9.8360074308613932E-2</v>
      </c>
      <c r="BE74" s="38">
        <f t="shared" si="76"/>
        <v>9.8255694757179768E-2</v>
      </c>
      <c r="BF74" s="38">
        <f t="shared" si="77"/>
        <v>-4.5971963075635003E-2</v>
      </c>
      <c r="BG74" s="38">
        <f t="shared" si="78"/>
        <v>-2.2377613619076975E-2</v>
      </c>
      <c r="BH74" s="38">
        <f t="shared" si="79"/>
        <v>4.6549077272388217E-2</v>
      </c>
      <c r="BI74" s="38">
        <f t="shared" si="80"/>
        <v>3.553873126676077E-2</v>
      </c>
      <c r="BJ74" s="38">
        <f t="shared" si="81"/>
        <v>1.6224258612517417E-2</v>
      </c>
      <c r="BK74" s="38">
        <f t="shared" si="82"/>
        <v>-3.2985147068302467E-2</v>
      </c>
      <c r="BL74" s="38">
        <f t="shared" si="83"/>
        <v>2.0792589188465271E-2</v>
      </c>
      <c r="BM74" s="38">
        <f t="shared" si="84"/>
        <v>0.17152760514197318</v>
      </c>
      <c r="BN74" s="38">
        <f t="shared" si="85"/>
        <v>-9.82592578224466E-2</v>
      </c>
      <c r="BO74" s="7"/>
      <c r="BX74" s="7"/>
      <c r="CN74" s="7"/>
      <c r="CO74" s="8"/>
      <c r="CP74" s="7"/>
      <c r="DG74" s="7"/>
      <c r="DO74" s="7"/>
      <c r="EE74" s="7"/>
      <c r="EF74" s="7"/>
      <c r="GH74" s="7"/>
      <c r="GJ74" s="9"/>
    </row>
    <row r="75" spans="1:192" x14ac:dyDescent="0.25">
      <c r="A75" s="7">
        <v>1943</v>
      </c>
      <c r="B75" s="8">
        <v>4064.6562867215048</v>
      </c>
      <c r="C75" s="8">
        <v>3906.6008007765108</v>
      </c>
      <c r="D75" s="8">
        <v>1367.9495611548318</v>
      </c>
      <c r="E75" s="8">
        <v>7262.7585637639295</v>
      </c>
      <c r="F75" s="8">
        <v>5079.9518865535583</v>
      </c>
      <c r="G75" s="8">
        <v>3696.7258801397479</v>
      </c>
      <c r="H75" s="8">
        <v>2860.1412307692308</v>
      </c>
      <c r="I75" s="8">
        <v>5889.6479243300055</v>
      </c>
      <c r="J75" s="8">
        <v>3039.3075720896582</v>
      </c>
      <c r="K75" s="8">
        <v>2821.6226432471553</v>
      </c>
      <c r="L75" s="8">
        <v>3980.5185103811932</v>
      </c>
      <c r="M75" s="8">
        <v>6927.9957134109</v>
      </c>
      <c r="N75" s="8">
        <v>3820.1767895338644</v>
      </c>
      <c r="O75" s="8">
        <v>1806.3576494427557</v>
      </c>
      <c r="P75" s="8">
        <v>2187.5923750331599</v>
      </c>
      <c r="Q75" s="8">
        <v>1284.1486658195679</v>
      </c>
      <c r="R75" s="8">
        <v>5344.0677966101694</v>
      </c>
      <c r="S75" s="8">
        <v>6001.4439046958132</v>
      </c>
      <c r="T75" s="8">
        <v>7743.7019820041396</v>
      </c>
      <c r="U75" s="8">
        <v>11518.171571769917</v>
      </c>
      <c r="V75" s="8">
        <v>3330.7086614173227</v>
      </c>
      <c r="W75" s="7"/>
      <c r="X75" s="35">
        <f t="shared" si="44"/>
        <v>8.3100844640949401</v>
      </c>
      <c r="Y75" s="35">
        <f t="shared" si="45"/>
        <v>8.2704229144512702</v>
      </c>
      <c r="Z75" s="35">
        <f t="shared" si="46"/>
        <v>7.2210682270019086</v>
      </c>
      <c r="AA75" s="35">
        <f t="shared" si="47"/>
        <v>8.8905150031100835</v>
      </c>
      <c r="AB75" s="35">
        <f t="shared" si="48"/>
        <v>8.5330570693768024</v>
      </c>
      <c r="AC75" s="35">
        <f t="shared" si="49"/>
        <v>8.2152028096200844</v>
      </c>
      <c r="AD75" s="35">
        <f t="shared" si="50"/>
        <v>7.9586262839825208</v>
      </c>
      <c r="AE75" s="35">
        <f t="shared" si="51"/>
        <v>8.6809514997028305</v>
      </c>
      <c r="AF75" s="35">
        <f t="shared" si="52"/>
        <v>8.0193849961172798</v>
      </c>
      <c r="AG75" s="35">
        <f t="shared" si="53"/>
        <v>7.9450674038567373</v>
      </c>
      <c r="AH75" s="35">
        <f t="shared" si="54"/>
        <v>8.2891673687831631</v>
      </c>
      <c r="AI75" s="35">
        <f t="shared" si="55"/>
        <v>8.8433258315080874</v>
      </c>
      <c r="AJ75" s="35">
        <f t="shared" si="56"/>
        <v>8.2480519805124217</v>
      </c>
      <c r="AK75" s="35">
        <f t="shared" si="57"/>
        <v>7.4990677483922417</v>
      </c>
      <c r="AL75" s="35">
        <f t="shared" si="58"/>
        <v>7.6905568459267553</v>
      </c>
      <c r="AM75" s="35">
        <f t="shared" si="59"/>
        <v>7.1578512608961047</v>
      </c>
      <c r="AN75" s="35">
        <f t="shared" si="60"/>
        <v>8.5837424016274326</v>
      </c>
      <c r="AO75" s="35">
        <f t="shared" si="61"/>
        <v>8.699755370041073</v>
      </c>
      <c r="AP75" s="35">
        <f t="shared" si="62"/>
        <v>8.9546351444870904</v>
      </c>
      <c r="AQ75" s="35">
        <f t="shared" si="63"/>
        <v>9.3516812039245849</v>
      </c>
      <c r="AR75" s="35">
        <f t="shared" si="64"/>
        <v>8.1109403715698232</v>
      </c>
      <c r="AS75" s="38"/>
      <c r="AT75" s="38">
        <f t="shared" si="65"/>
        <v>2.0335966896743329E-2</v>
      </c>
      <c r="AU75" s="38">
        <f t="shared" si="66"/>
        <v>-2.2825901863679832E-2</v>
      </c>
      <c r="AV75" s="38">
        <f t="shared" si="67"/>
        <v>0.10688167761981049</v>
      </c>
      <c r="AW75" s="38">
        <f t="shared" si="68"/>
        <v>3.209292194704183E-2</v>
      </c>
      <c r="AX75" s="38">
        <f t="shared" si="69"/>
        <v>9.306205712714366E-2</v>
      </c>
      <c r="AY75" s="38">
        <f t="shared" si="70"/>
        <v>0.10532441327497288</v>
      </c>
      <c r="AZ75" s="38">
        <f t="shared" si="71"/>
        <v>-4.1542389348792064E-2</v>
      </c>
      <c r="BA75" s="38">
        <f t="shared" si="72"/>
        <v>2.5749701475536568E-2</v>
      </c>
      <c r="BB75" s="38">
        <f t="shared" si="73"/>
        <v>-0.1029276357081983</v>
      </c>
      <c r="BC75" s="38">
        <f t="shared" si="74"/>
        <v>1.2077107804628895E-3</v>
      </c>
      <c r="BD75" s="38">
        <f t="shared" si="75"/>
        <v>-3.1214660659033555E-2</v>
      </c>
      <c r="BE75" s="38">
        <f t="shared" si="76"/>
        <v>2.431871012379716E-2</v>
      </c>
      <c r="BF75" s="38">
        <f t="shared" si="77"/>
        <v>-2.7755920186260497E-2</v>
      </c>
      <c r="BG75" s="38">
        <f t="shared" si="78"/>
        <v>5.5825399197339642E-2</v>
      </c>
      <c r="BH75" s="38">
        <f t="shared" si="79"/>
        <v>2.8432316507108979E-2</v>
      </c>
      <c r="BI75" s="38">
        <f t="shared" si="80"/>
        <v>-2.9599183836988452E-2</v>
      </c>
      <c r="BJ75" s="38">
        <f t="shared" si="81"/>
        <v>3.5626801562999688E-2</v>
      </c>
      <c r="BK75" s="38">
        <f t="shared" si="82"/>
        <v>-1.7450921463842306E-2</v>
      </c>
      <c r="BL75" s="38">
        <f t="shared" si="83"/>
        <v>1.3630395404042872E-2</v>
      </c>
      <c r="BM75" s="38">
        <f t="shared" si="84"/>
        <v>0.16757134471806623</v>
      </c>
      <c r="BN75" s="38">
        <f t="shared" si="85"/>
        <v>-2.1300939220800785E-3</v>
      </c>
      <c r="BO75" s="7"/>
      <c r="BX75" s="7"/>
      <c r="CN75" s="7"/>
      <c r="CO75" s="8"/>
      <c r="CP75" s="7"/>
      <c r="DG75" s="7"/>
      <c r="DO75" s="7"/>
      <c r="EE75" s="7"/>
      <c r="EF75" s="7"/>
      <c r="GH75" s="7"/>
      <c r="GJ75" s="9"/>
    </row>
    <row r="76" spans="1:192" x14ac:dyDescent="0.25">
      <c r="A76" s="7">
        <v>1944</v>
      </c>
      <c r="B76" s="8">
        <v>4152.1378402107111</v>
      </c>
      <c r="C76" s="8">
        <v>4112.1382221686172</v>
      </c>
      <c r="D76" s="8">
        <v>1385.9241044726525</v>
      </c>
      <c r="E76" s="8">
        <v>7442.5611346592759</v>
      </c>
      <c r="F76" s="8">
        <v>5543.1040520260131</v>
      </c>
      <c r="G76" s="8">
        <v>3684.5799196787152</v>
      </c>
      <c r="H76" s="8">
        <v>2421.7693573264783</v>
      </c>
      <c r="I76" s="8">
        <v>6083.7472267945323</v>
      </c>
      <c r="J76" s="8">
        <v>2463.2760769427973</v>
      </c>
      <c r="K76" s="8">
        <v>2658.9726606027621</v>
      </c>
      <c r="L76" s="8">
        <v>2649.1738419618523</v>
      </c>
      <c r="M76" s="8">
        <v>6867.9957678355504</v>
      </c>
      <c r="N76" s="8">
        <v>3587.5424289349444</v>
      </c>
      <c r="O76" s="8">
        <v>1892.6823145475084</v>
      </c>
      <c r="P76" s="8">
        <v>2271.4522072647965</v>
      </c>
      <c r="Q76" s="8">
        <v>1154.4551381558524</v>
      </c>
      <c r="R76" s="8">
        <v>5441.0060975609758</v>
      </c>
      <c r="S76" s="8">
        <v>6088.5875343721355</v>
      </c>
      <c r="T76" s="8">
        <v>7405.3918720417814</v>
      </c>
      <c r="U76" s="8">
        <v>12333.449664236308</v>
      </c>
      <c r="V76" s="8">
        <v>3704.6228710462287</v>
      </c>
      <c r="W76" s="7"/>
      <c r="X76" s="35">
        <f t="shared" si="44"/>
        <v>8.3313786228039906</v>
      </c>
      <c r="Y76" s="35">
        <f t="shared" si="45"/>
        <v>8.3216984209106695</v>
      </c>
      <c r="Z76" s="35">
        <f t="shared" si="46"/>
        <v>7.2341224195727971</v>
      </c>
      <c r="AA76" s="35">
        <f t="shared" si="47"/>
        <v>8.9149703071201216</v>
      </c>
      <c r="AB76" s="35">
        <f t="shared" si="48"/>
        <v>8.6203099210325416</v>
      </c>
      <c r="AC76" s="35">
        <f t="shared" si="49"/>
        <v>8.2119118007517589</v>
      </c>
      <c r="AD76" s="35">
        <f t="shared" si="50"/>
        <v>7.792253691389643</v>
      </c>
      <c r="AE76" s="35">
        <f t="shared" si="51"/>
        <v>8.7133761053093899</v>
      </c>
      <c r="AF76" s="35">
        <f t="shared" si="52"/>
        <v>7.8092474815437054</v>
      </c>
      <c r="AG76" s="35">
        <f t="shared" si="53"/>
        <v>7.8856951093559235</v>
      </c>
      <c r="AH76" s="35">
        <f t="shared" si="54"/>
        <v>7.8820031126234733</v>
      </c>
      <c r="AI76" s="35">
        <f t="shared" si="55"/>
        <v>8.8346276058022006</v>
      </c>
      <c r="AJ76" s="35">
        <f t="shared" si="56"/>
        <v>8.1852226868787596</v>
      </c>
      <c r="AK76" s="35">
        <f t="shared" si="57"/>
        <v>7.5457503159675667</v>
      </c>
      <c r="AL76" s="35">
        <f t="shared" si="58"/>
        <v>7.728174644812932</v>
      </c>
      <c r="AM76" s="35">
        <f t="shared" si="59"/>
        <v>7.0513837697942936</v>
      </c>
      <c r="AN76" s="35">
        <f t="shared" si="60"/>
        <v>8.601719267154472</v>
      </c>
      <c r="AO76" s="35">
        <f t="shared" si="61"/>
        <v>8.7141714018449683</v>
      </c>
      <c r="AP76" s="35">
        <f t="shared" si="62"/>
        <v>8.9099636452263056</v>
      </c>
      <c r="AQ76" s="35">
        <f t="shared" si="63"/>
        <v>9.4200703351491448</v>
      </c>
      <c r="AR76" s="35">
        <f t="shared" si="64"/>
        <v>8.2173367433580147</v>
      </c>
      <c r="AS76" s="38"/>
      <c r="AT76" s="38">
        <f t="shared" si="65"/>
        <v>2.1294158709050492E-2</v>
      </c>
      <c r="AU76" s="38">
        <f t="shared" si="66"/>
        <v>5.1275506459399267E-2</v>
      </c>
      <c r="AV76" s="38">
        <f t="shared" si="67"/>
        <v>1.3054192570888468E-2</v>
      </c>
      <c r="AW76" s="38">
        <f t="shared" si="68"/>
        <v>2.4455304010038148E-2</v>
      </c>
      <c r="AX76" s="38">
        <f t="shared" si="69"/>
        <v>8.725285165573915E-2</v>
      </c>
      <c r="AY76" s="38">
        <f t="shared" si="70"/>
        <v>-3.2910088683255623E-3</v>
      </c>
      <c r="AZ76" s="38">
        <f t="shared" si="71"/>
        <v>-0.16637259259287784</v>
      </c>
      <c r="BA76" s="38">
        <f t="shared" si="72"/>
        <v>3.2424605606559354E-2</v>
      </c>
      <c r="BB76" s="38">
        <f t="shared" si="73"/>
        <v>-0.21013751457357444</v>
      </c>
      <c r="BC76" s="38">
        <f t="shared" si="74"/>
        <v>-5.9372294500813716E-2</v>
      </c>
      <c r="BD76" s="38">
        <f t="shared" si="75"/>
        <v>-0.40716425615968976</v>
      </c>
      <c r="BE76" s="38">
        <f t="shared" si="76"/>
        <v>-8.6982257058867418E-3</v>
      </c>
      <c r="BF76" s="38">
        <f t="shared" si="77"/>
        <v>-6.2829293633662076E-2</v>
      </c>
      <c r="BG76" s="38">
        <f t="shared" si="78"/>
        <v>4.6682567575325074E-2</v>
      </c>
      <c r="BH76" s="38">
        <f t="shared" si="79"/>
        <v>3.7617798886176779E-2</v>
      </c>
      <c r="BI76" s="38">
        <f t="shared" si="80"/>
        <v>-0.10646749110181108</v>
      </c>
      <c r="BJ76" s="38">
        <f t="shared" si="81"/>
        <v>1.7976865527039365E-2</v>
      </c>
      <c r="BK76" s="38">
        <f t="shared" si="82"/>
        <v>1.4416031803895279E-2</v>
      </c>
      <c r="BL76" s="38">
        <f t="shared" si="83"/>
        <v>-4.4671499260784842E-2</v>
      </c>
      <c r="BM76" s="38">
        <f t="shared" si="84"/>
        <v>6.8389131224559918E-2</v>
      </c>
      <c r="BN76" s="38">
        <f t="shared" si="85"/>
        <v>0.1063963717881915</v>
      </c>
      <c r="BO76" s="7"/>
      <c r="BX76" s="7"/>
      <c r="CN76" s="7"/>
      <c r="CO76" s="8"/>
      <c r="CP76" s="7"/>
      <c r="DG76" s="7"/>
      <c r="DO76" s="7"/>
      <c r="EE76" s="7"/>
      <c r="EF76" s="7"/>
      <c r="GH76" s="7"/>
      <c r="GJ76" s="9"/>
    </row>
    <row r="77" spans="1:192" x14ac:dyDescent="0.25">
      <c r="A77" s="7">
        <v>1945</v>
      </c>
      <c r="B77" s="8">
        <v>1724.5918517429034</v>
      </c>
      <c r="C77" s="8">
        <v>4332.8455450293804</v>
      </c>
      <c r="D77" s="8">
        <v>1389.9383317104837</v>
      </c>
      <c r="E77" s="8">
        <v>7132.9525959367948</v>
      </c>
      <c r="F77" s="8">
        <v>5066.1359703337457</v>
      </c>
      <c r="G77" s="8">
        <v>3449.5159659393298</v>
      </c>
      <c r="H77" s="8">
        <v>2573.141637279597</v>
      </c>
      <c r="I77" s="8">
        <v>4514.2835820895525</v>
      </c>
      <c r="J77" s="8">
        <v>1922.0628483808077</v>
      </c>
      <c r="K77" s="8">
        <v>1346.1258396305625</v>
      </c>
      <c r="L77" s="8">
        <v>2686.2594472036276</v>
      </c>
      <c r="M77" s="8">
        <v>6928.2956161137445</v>
      </c>
      <c r="N77" s="8">
        <v>3979.8655228247235</v>
      </c>
      <c r="O77" s="8">
        <v>1803.5580990296094</v>
      </c>
      <c r="P77" s="8">
        <v>2101.5595851055891</v>
      </c>
      <c r="Q77" s="8">
        <v>1115.7894736842104</v>
      </c>
      <c r="R77" s="8">
        <v>5453.956292388847</v>
      </c>
      <c r="S77" s="8">
        <v>7752.0908884859473</v>
      </c>
      <c r="T77" s="8">
        <v>7056.1345614249112</v>
      </c>
      <c r="U77" s="8">
        <v>11708.647557555134</v>
      </c>
      <c r="V77" s="8">
        <v>3763.5752042287359</v>
      </c>
      <c r="W77" s="7"/>
      <c r="X77" s="35">
        <f t="shared" si="44"/>
        <v>7.4527456937841725</v>
      </c>
      <c r="Y77" s="35">
        <f t="shared" si="45"/>
        <v>8.3739797749077951</v>
      </c>
      <c r="Z77" s="35">
        <f t="shared" si="46"/>
        <v>7.2370146594646405</v>
      </c>
      <c r="AA77" s="35">
        <f t="shared" si="47"/>
        <v>8.8724805365159849</v>
      </c>
      <c r="AB77" s="35">
        <f t="shared" si="48"/>
        <v>8.5303336699830723</v>
      </c>
      <c r="AC77" s="35">
        <f t="shared" si="49"/>
        <v>8.1459892004547481</v>
      </c>
      <c r="AD77" s="35">
        <f t="shared" si="50"/>
        <v>7.852882858290819</v>
      </c>
      <c r="AE77" s="35">
        <f t="shared" si="51"/>
        <v>8.4150017781976434</v>
      </c>
      <c r="AF77" s="35">
        <f t="shared" si="52"/>
        <v>7.5611542884653451</v>
      </c>
      <c r="AG77" s="35">
        <f t="shared" si="53"/>
        <v>7.2049859973877775</v>
      </c>
      <c r="AH77" s="35">
        <f t="shared" si="54"/>
        <v>7.8959049648248509</v>
      </c>
      <c r="AI77" s="35">
        <f t="shared" si="55"/>
        <v>8.8433691190943193</v>
      </c>
      <c r="AJ77" s="35">
        <f t="shared" si="56"/>
        <v>8.2890033094726547</v>
      </c>
      <c r="AK77" s="35">
        <f t="shared" si="57"/>
        <v>7.4975167144238881</v>
      </c>
      <c r="AL77" s="35">
        <f t="shared" si="58"/>
        <v>7.6504350076504428</v>
      </c>
      <c r="AM77" s="35">
        <f t="shared" si="59"/>
        <v>7.017317481493663</v>
      </c>
      <c r="AN77" s="35">
        <f t="shared" si="60"/>
        <v>8.6040965495099915</v>
      </c>
      <c r="AO77" s="35">
        <f t="shared" si="61"/>
        <v>8.955717878022762</v>
      </c>
      <c r="AP77" s="35">
        <f t="shared" si="62"/>
        <v>8.8616526680015149</v>
      </c>
      <c r="AQ77" s="35">
        <f t="shared" si="63"/>
        <v>9.3680829552637679</v>
      </c>
      <c r="AR77" s="35">
        <f t="shared" si="64"/>
        <v>8.2331246367988484</v>
      </c>
      <c r="AS77" s="38"/>
      <c r="AT77" s="38">
        <f t="shared" si="65"/>
        <v>-0.87863292901981804</v>
      </c>
      <c r="AU77" s="38">
        <f t="shared" si="66"/>
        <v>5.2281353997125635E-2</v>
      </c>
      <c r="AV77" s="38">
        <f t="shared" si="67"/>
        <v>2.8922398918433956E-3</v>
      </c>
      <c r="AW77" s="38">
        <f t="shared" si="68"/>
        <v>-4.2489770604136723E-2</v>
      </c>
      <c r="AX77" s="38">
        <f t="shared" si="69"/>
        <v>-8.9976251049469269E-2</v>
      </c>
      <c r="AY77" s="38">
        <f t="shared" si="70"/>
        <v>-6.5922600297010803E-2</v>
      </c>
      <c r="AZ77" s="38">
        <f t="shared" si="71"/>
        <v>6.0629166901176035E-2</v>
      </c>
      <c r="BA77" s="38">
        <f t="shared" si="72"/>
        <v>-0.2983743271117465</v>
      </c>
      <c r="BB77" s="38">
        <f t="shared" si="73"/>
        <v>-0.24809319307836031</v>
      </c>
      <c r="BC77" s="38">
        <f t="shared" si="74"/>
        <v>-0.6807091119681461</v>
      </c>
      <c r="BD77" s="38">
        <f t="shared" si="75"/>
        <v>1.3901852201377629E-2</v>
      </c>
      <c r="BE77" s="38">
        <f t="shared" si="76"/>
        <v>8.7415132921186967E-3</v>
      </c>
      <c r="BF77" s="38">
        <f t="shared" si="77"/>
        <v>0.10378062259389509</v>
      </c>
      <c r="BG77" s="38">
        <f t="shared" si="78"/>
        <v>-4.8233601543678617E-2</v>
      </c>
      <c r="BH77" s="38">
        <f t="shared" si="79"/>
        <v>-7.7739637162489217E-2</v>
      </c>
      <c r="BI77" s="38">
        <f t="shared" si="80"/>
        <v>-3.4066288300630632E-2</v>
      </c>
      <c r="BJ77" s="38">
        <f t="shared" si="81"/>
        <v>2.3772823555194833E-3</v>
      </c>
      <c r="BK77" s="38">
        <f t="shared" si="82"/>
        <v>0.24154647617779368</v>
      </c>
      <c r="BL77" s="38">
        <f t="shared" si="83"/>
        <v>-4.8310977224790719E-2</v>
      </c>
      <c r="BM77" s="38">
        <f t="shared" si="84"/>
        <v>-5.1987379885376939E-2</v>
      </c>
      <c r="BN77" s="38">
        <f t="shared" si="85"/>
        <v>1.5787893440833756E-2</v>
      </c>
      <c r="BO77" s="7"/>
      <c r="BX77" s="7"/>
      <c r="CN77" s="7"/>
      <c r="CO77" s="8"/>
      <c r="CP77" s="7"/>
      <c r="DG77" s="7"/>
      <c r="DO77" s="7"/>
      <c r="EE77" s="7"/>
      <c r="EF77" s="7"/>
      <c r="GH77" s="7"/>
      <c r="GJ77" s="9"/>
    </row>
    <row r="78" spans="1:192" x14ac:dyDescent="0.25">
      <c r="A78" s="7">
        <v>1946</v>
      </c>
      <c r="B78" s="8">
        <v>1956.4834285714282</v>
      </c>
      <c r="C78" s="8">
        <v>4573.5031672044943</v>
      </c>
      <c r="D78" s="8">
        <v>1500.9194090419126</v>
      </c>
      <c r="E78" s="8">
        <v>6931.2433116985912</v>
      </c>
      <c r="F78" s="8">
        <v>5776.6642282370149</v>
      </c>
      <c r="G78" s="8">
        <v>3682.991592222806</v>
      </c>
      <c r="H78" s="8">
        <v>3855.1917349218165</v>
      </c>
      <c r="I78" s="8">
        <v>2216.8434398095183</v>
      </c>
      <c r="J78" s="8">
        <v>2502.4020080972205</v>
      </c>
      <c r="K78" s="8">
        <v>1444.2164794880762</v>
      </c>
      <c r="L78" s="8">
        <v>4456.6282894736842</v>
      </c>
      <c r="M78" s="8">
        <v>7161.3411028993751</v>
      </c>
      <c r="N78" s="8">
        <v>4335.3695312713789</v>
      </c>
      <c r="O78" s="8">
        <v>1927.8668310727496</v>
      </c>
      <c r="P78" s="8">
        <v>2178.8094180364283</v>
      </c>
      <c r="Q78" s="8">
        <v>1050.3355704697988</v>
      </c>
      <c r="R78" s="8">
        <v>5994.0467331448135</v>
      </c>
      <c r="S78" s="8">
        <v>8180.6158495634645</v>
      </c>
      <c r="T78" s="8">
        <v>6745.340106060914</v>
      </c>
      <c r="U78" s="8">
        <v>9196.5429688600834</v>
      </c>
      <c r="V78" s="8">
        <v>4083.0564784053154</v>
      </c>
      <c r="W78" s="7"/>
      <c r="X78" s="35">
        <f t="shared" si="44"/>
        <v>7.5789039716792166</v>
      </c>
      <c r="Y78" s="35">
        <f t="shared" si="45"/>
        <v>8.4280347476083683</v>
      </c>
      <c r="Z78" s="35">
        <f t="shared" si="46"/>
        <v>7.3138331386809705</v>
      </c>
      <c r="AA78" s="35">
        <f t="shared" si="47"/>
        <v>8.843794486149406</v>
      </c>
      <c r="AB78" s="35">
        <f t="shared" si="48"/>
        <v>8.6615816719243757</v>
      </c>
      <c r="AC78" s="35">
        <f t="shared" si="49"/>
        <v>8.2114806335814237</v>
      </c>
      <c r="AD78" s="35">
        <f t="shared" si="50"/>
        <v>8.2571760214458987</v>
      </c>
      <c r="AE78" s="35">
        <f t="shared" si="51"/>
        <v>7.7038395890846338</v>
      </c>
      <c r="AF78" s="35">
        <f t="shared" si="52"/>
        <v>7.8250063528191882</v>
      </c>
      <c r="AG78" s="35">
        <f t="shared" si="53"/>
        <v>7.2753222247593987</v>
      </c>
      <c r="AH78" s="35">
        <f t="shared" si="54"/>
        <v>8.4021477702031468</v>
      </c>
      <c r="AI78" s="35">
        <f t="shared" si="55"/>
        <v>8.8764525472895386</v>
      </c>
      <c r="AJ78" s="35">
        <f t="shared" si="56"/>
        <v>8.3745621292428254</v>
      </c>
      <c r="AK78" s="35">
        <f t="shared" si="57"/>
        <v>7.5641694017646204</v>
      </c>
      <c r="AL78" s="35">
        <f t="shared" si="58"/>
        <v>7.686533868079775</v>
      </c>
      <c r="AM78" s="35">
        <f t="shared" si="59"/>
        <v>6.9568649830168861</v>
      </c>
      <c r="AN78" s="35">
        <f t="shared" si="60"/>
        <v>8.6985220445003382</v>
      </c>
      <c r="AO78" s="35">
        <f t="shared" si="61"/>
        <v>9.0095227139955494</v>
      </c>
      <c r="AP78" s="35">
        <f t="shared" si="62"/>
        <v>8.8166071908044277</v>
      </c>
      <c r="AQ78" s="35">
        <f t="shared" si="63"/>
        <v>9.126582928165714</v>
      </c>
      <c r="AR78" s="35">
        <f t="shared" si="64"/>
        <v>8.3146011237992958</v>
      </c>
      <c r="AS78" s="38"/>
      <c r="AT78" s="38">
        <f t="shared" si="65"/>
        <v>0.12615827789504408</v>
      </c>
      <c r="AU78" s="38">
        <f t="shared" si="66"/>
        <v>5.4054972700573245E-2</v>
      </c>
      <c r="AV78" s="38">
        <f t="shared" si="67"/>
        <v>7.6818479216330005E-2</v>
      </c>
      <c r="AW78" s="38">
        <f t="shared" si="68"/>
        <v>-2.8686050366578897E-2</v>
      </c>
      <c r="AX78" s="38">
        <f t="shared" si="69"/>
        <v>0.13124800194130337</v>
      </c>
      <c r="AY78" s="38">
        <f t="shared" si="70"/>
        <v>6.5491433126675602E-2</v>
      </c>
      <c r="AZ78" s="38">
        <f t="shared" si="71"/>
        <v>0.40429316315507968</v>
      </c>
      <c r="BA78" s="38">
        <f t="shared" si="72"/>
        <v>-0.71116218911300955</v>
      </c>
      <c r="BB78" s="38">
        <f t="shared" si="73"/>
        <v>0.26385206435384312</v>
      </c>
      <c r="BC78" s="38">
        <f t="shared" si="74"/>
        <v>7.0336227371621263E-2</v>
      </c>
      <c r="BD78" s="38">
        <f t="shared" si="75"/>
        <v>0.50624280537829591</v>
      </c>
      <c r="BE78" s="38">
        <f t="shared" si="76"/>
        <v>3.3083428195219255E-2</v>
      </c>
      <c r="BF78" s="38">
        <f t="shared" si="77"/>
        <v>8.5558819770170658E-2</v>
      </c>
      <c r="BG78" s="38">
        <f t="shared" si="78"/>
        <v>6.6652687340732264E-2</v>
      </c>
      <c r="BH78" s="38">
        <f t="shared" si="79"/>
        <v>3.6098860429332191E-2</v>
      </c>
      <c r="BI78" s="38">
        <f t="shared" si="80"/>
        <v>-6.0452498476776917E-2</v>
      </c>
      <c r="BJ78" s="38">
        <f t="shared" si="81"/>
        <v>9.4425494990346692E-2</v>
      </c>
      <c r="BK78" s="38">
        <f t="shared" si="82"/>
        <v>5.3804835972787401E-2</v>
      </c>
      <c r="BL78" s="38">
        <f t="shared" si="83"/>
        <v>-4.504547719708718E-2</v>
      </c>
      <c r="BM78" s="38">
        <f t="shared" si="84"/>
        <v>-0.24150002709805385</v>
      </c>
      <c r="BN78" s="38">
        <f t="shared" si="85"/>
        <v>8.1476487000447406E-2</v>
      </c>
      <c r="BO78" s="7"/>
      <c r="BX78" s="7"/>
      <c r="CN78" s="7"/>
      <c r="CO78" s="8"/>
      <c r="CP78" s="7"/>
      <c r="DG78" s="7"/>
      <c r="DO78" s="7"/>
      <c r="EE78" s="7"/>
      <c r="EF78" s="7"/>
      <c r="GH78" s="7"/>
      <c r="GJ78" s="9"/>
    </row>
    <row r="79" spans="1:192" x14ac:dyDescent="0.25">
      <c r="A79" s="7">
        <v>1947</v>
      </c>
      <c r="B79" s="8">
        <v>2166.4673647970167</v>
      </c>
      <c r="C79" s="8">
        <v>4800.3713609467468</v>
      </c>
      <c r="D79" s="8">
        <v>1517.8785251249019</v>
      </c>
      <c r="E79" s="8">
        <v>7088.2105263157882</v>
      </c>
      <c r="F79" s="8">
        <v>6034.8480463096957</v>
      </c>
      <c r="G79" s="8">
        <v>3716.845037574501</v>
      </c>
      <c r="H79" s="8">
        <v>4137.8978613569325</v>
      </c>
      <c r="I79" s="8">
        <v>2436.0910218779313</v>
      </c>
      <c r="J79" s="8">
        <v>2920.2050366808935</v>
      </c>
      <c r="K79" s="8">
        <v>1540.9444565342619</v>
      </c>
      <c r="L79" s="8">
        <v>5048.0789200415365</v>
      </c>
      <c r="M79" s="8">
        <v>7846.3322203672806</v>
      </c>
      <c r="N79" s="8">
        <v>4864.2629406820861</v>
      </c>
      <c r="O79" s="8">
        <v>2070.5120371501894</v>
      </c>
      <c r="P79" s="8">
        <v>2197.5168056422876</v>
      </c>
      <c r="Q79" s="8">
        <v>1073.4688077305671</v>
      </c>
      <c r="R79" s="8">
        <v>6351.021608114067</v>
      </c>
      <c r="S79" s="8">
        <v>9050.3474801061002</v>
      </c>
      <c r="T79" s="8">
        <v>6604.410589874592</v>
      </c>
      <c r="U79" s="8">
        <v>8885.9943810129371</v>
      </c>
      <c r="V79" s="8">
        <v>4312.5585754451731</v>
      </c>
      <c r="W79" s="7"/>
      <c r="X79" s="35">
        <f t="shared" si="44"/>
        <v>7.6808531775063953</v>
      </c>
      <c r="Y79" s="35">
        <f t="shared" si="45"/>
        <v>8.476448560767226</v>
      </c>
      <c r="Z79" s="35">
        <f t="shared" si="46"/>
        <v>7.3250689317791933</v>
      </c>
      <c r="AA79" s="35">
        <f t="shared" si="47"/>
        <v>8.8661881936378162</v>
      </c>
      <c r="AB79" s="35">
        <f t="shared" si="48"/>
        <v>8.7053059544755698</v>
      </c>
      <c r="AC79" s="35">
        <f t="shared" si="49"/>
        <v>8.2206304792410787</v>
      </c>
      <c r="AD79" s="35">
        <f t="shared" si="50"/>
        <v>8.3279431749068333</v>
      </c>
      <c r="AE79" s="35">
        <f t="shared" si="51"/>
        <v>7.7981499934346497</v>
      </c>
      <c r="AF79" s="35">
        <f t="shared" si="52"/>
        <v>7.9794091108385583</v>
      </c>
      <c r="AG79" s="35">
        <f t="shared" si="53"/>
        <v>7.3401507908900312</v>
      </c>
      <c r="AH79" s="35">
        <f t="shared" si="54"/>
        <v>8.5267630380214907</v>
      </c>
      <c r="AI79" s="35">
        <f t="shared" si="55"/>
        <v>8.9678014685148373</v>
      </c>
      <c r="AJ79" s="35">
        <f t="shared" si="56"/>
        <v>8.4896704807132828</v>
      </c>
      <c r="AK79" s="35">
        <f t="shared" si="57"/>
        <v>7.6355512166128614</v>
      </c>
      <c r="AL79" s="35">
        <f t="shared" si="58"/>
        <v>7.6950832771488775</v>
      </c>
      <c r="AM79" s="35">
        <f t="shared" si="59"/>
        <v>6.9786505602879902</v>
      </c>
      <c r="AN79" s="35">
        <f t="shared" si="60"/>
        <v>8.7563709621139978</v>
      </c>
      <c r="AO79" s="35">
        <f t="shared" si="61"/>
        <v>9.1105584315487143</v>
      </c>
      <c r="AP79" s="35">
        <f t="shared" si="62"/>
        <v>8.7954929760138736</v>
      </c>
      <c r="AQ79" s="35">
        <f t="shared" si="63"/>
        <v>9.0922316511540977</v>
      </c>
      <c r="AR79" s="35">
        <f t="shared" si="64"/>
        <v>8.3692866439592954</v>
      </c>
      <c r="AS79" s="38"/>
      <c r="AT79" s="38">
        <f t="shared" si="65"/>
        <v>0.1019492058271787</v>
      </c>
      <c r="AU79" s="38">
        <f t="shared" si="66"/>
        <v>4.8413813158857621E-2</v>
      </c>
      <c r="AV79" s="38">
        <f t="shared" si="67"/>
        <v>1.1235793098222757E-2</v>
      </c>
      <c r="AW79" s="38">
        <f t="shared" si="68"/>
        <v>2.2393707488410186E-2</v>
      </c>
      <c r="AX79" s="38">
        <f t="shared" si="69"/>
        <v>4.3724282551194094E-2</v>
      </c>
      <c r="AY79" s="38">
        <f t="shared" si="70"/>
        <v>9.1498456596550426E-3</v>
      </c>
      <c r="AZ79" s="38">
        <f t="shared" si="71"/>
        <v>7.0767153460934651E-2</v>
      </c>
      <c r="BA79" s="38">
        <f t="shared" si="72"/>
        <v>9.4310404350015808E-2</v>
      </c>
      <c r="BB79" s="38">
        <f t="shared" si="73"/>
        <v>0.15440275801937009</v>
      </c>
      <c r="BC79" s="38">
        <f t="shared" si="74"/>
        <v>6.4828566130632481E-2</v>
      </c>
      <c r="BD79" s="38">
        <f t="shared" si="75"/>
        <v>0.12461526781834387</v>
      </c>
      <c r="BE79" s="38">
        <f t="shared" si="76"/>
        <v>9.1348921225298696E-2</v>
      </c>
      <c r="BF79" s="38">
        <f t="shared" si="77"/>
        <v>0.11510835147045739</v>
      </c>
      <c r="BG79" s="38">
        <f t="shared" si="78"/>
        <v>7.1381814848241021E-2</v>
      </c>
      <c r="BH79" s="38">
        <f t="shared" si="79"/>
        <v>8.5494090691025093E-3</v>
      </c>
      <c r="BI79" s="38">
        <f t="shared" si="80"/>
        <v>2.1785577271104195E-2</v>
      </c>
      <c r="BJ79" s="38">
        <f t="shared" si="81"/>
        <v>5.7848917613659623E-2</v>
      </c>
      <c r="BK79" s="38">
        <f t="shared" si="82"/>
        <v>0.10103571755316487</v>
      </c>
      <c r="BL79" s="38">
        <f t="shared" si="83"/>
        <v>-2.1114214790554087E-2</v>
      </c>
      <c r="BM79" s="38">
        <f t="shared" si="84"/>
        <v>-3.4351277011616332E-2</v>
      </c>
      <c r="BN79" s="38">
        <f t="shared" si="85"/>
        <v>5.4685520159999612E-2</v>
      </c>
      <c r="BO79" s="7"/>
      <c r="BX79" s="7"/>
      <c r="CN79" s="7"/>
      <c r="CO79" s="8"/>
      <c r="CP79" s="7"/>
      <c r="DG79" s="7"/>
      <c r="DO79" s="7"/>
      <c r="EE79" s="7"/>
      <c r="EF79" s="7"/>
      <c r="GH79" s="7"/>
      <c r="GJ79" s="9"/>
    </row>
    <row r="80" spans="1:192" x14ac:dyDescent="0.25">
      <c r="A80" s="7">
        <v>1948</v>
      </c>
      <c r="B80" s="8">
        <v>2764.4939620471532</v>
      </c>
      <c r="C80" s="8">
        <v>5023.8591796190249</v>
      </c>
      <c r="D80" s="8">
        <v>1596.2290784432346</v>
      </c>
      <c r="E80" s="8">
        <v>7065.3241274658567</v>
      </c>
      <c r="F80" s="8">
        <v>6133.0167064439147</v>
      </c>
      <c r="G80" s="8">
        <v>3957.1950408997959</v>
      </c>
      <c r="H80" s="8">
        <v>4393.3653612259795</v>
      </c>
      <c r="I80" s="8">
        <v>2833.7172152463036</v>
      </c>
      <c r="J80" s="8">
        <v>3063.2025041174493</v>
      </c>
      <c r="K80" s="8">
        <v>1725.2858836005241</v>
      </c>
      <c r="L80" s="8">
        <v>5490.2040816326526</v>
      </c>
      <c r="M80" s="8">
        <v>6929</v>
      </c>
      <c r="N80" s="8">
        <v>5143.8942370388313</v>
      </c>
      <c r="O80" s="8">
        <v>2046.2693798449613</v>
      </c>
      <c r="P80" s="8">
        <v>2185.7345919743411</v>
      </c>
      <c r="Q80" s="8">
        <v>1159.166206515737</v>
      </c>
      <c r="R80" s="8">
        <v>6397.9369460990847</v>
      </c>
      <c r="S80" s="8">
        <v>9115.6529899607158</v>
      </c>
      <c r="T80" s="8">
        <v>6745.6359419362561</v>
      </c>
      <c r="U80" s="8">
        <v>9064.5622507693461</v>
      </c>
      <c r="V80" s="8">
        <v>4405.0925925925922</v>
      </c>
      <c r="W80" s="7"/>
      <c r="X80" s="35">
        <f t="shared" si="44"/>
        <v>7.9246128816725649</v>
      </c>
      <c r="Y80" s="35">
        <f t="shared" si="45"/>
        <v>8.5219536782207701</v>
      </c>
      <c r="Z80" s="35">
        <f t="shared" si="46"/>
        <v>7.3753993005690681</v>
      </c>
      <c r="AA80" s="35">
        <f t="shared" si="47"/>
        <v>8.862954171980757</v>
      </c>
      <c r="AB80" s="35">
        <f t="shared" si="48"/>
        <v>8.7214420296470436</v>
      </c>
      <c r="AC80" s="35">
        <f t="shared" si="49"/>
        <v>8.2832907302641612</v>
      </c>
      <c r="AD80" s="35">
        <f t="shared" si="50"/>
        <v>8.3878508094739512</v>
      </c>
      <c r="AE80" s="35">
        <f t="shared" si="51"/>
        <v>7.9493446323666532</v>
      </c>
      <c r="AF80" s="35">
        <f t="shared" si="52"/>
        <v>8.0272162176469006</v>
      </c>
      <c r="AG80" s="35">
        <f t="shared" si="53"/>
        <v>7.4531480453573158</v>
      </c>
      <c r="AH80" s="35">
        <f t="shared" si="54"/>
        <v>8.6107207071519465</v>
      </c>
      <c r="AI80" s="35">
        <f t="shared" si="55"/>
        <v>8.8434707816273814</v>
      </c>
      <c r="AJ80" s="35">
        <f t="shared" si="56"/>
        <v>8.5455657052548482</v>
      </c>
      <c r="AK80" s="35">
        <f t="shared" si="57"/>
        <v>7.623773599548235</v>
      </c>
      <c r="AL80" s="35">
        <f t="shared" si="58"/>
        <v>7.6897072487278342</v>
      </c>
      <c r="AM80" s="35">
        <f t="shared" si="59"/>
        <v>7.055456238162396</v>
      </c>
      <c r="AN80" s="35">
        <f t="shared" si="60"/>
        <v>8.7637308652091157</v>
      </c>
      <c r="AO80" s="35">
        <f t="shared" si="61"/>
        <v>9.1177483235989989</v>
      </c>
      <c r="AP80" s="35">
        <f t="shared" si="62"/>
        <v>8.8166510476572366</v>
      </c>
      <c r="AQ80" s="35">
        <f t="shared" si="63"/>
        <v>9.112127831980958</v>
      </c>
      <c r="AR80" s="35">
        <f t="shared" si="64"/>
        <v>8.390516558034177</v>
      </c>
      <c r="AS80" s="38"/>
      <c r="AT80" s="38">
        <f t="shared" si="65"/>
        <v>0.24375970416616966</v>
      </c>
      <c r="AU80" s="38">
        <f t="shared" si="66"/>
        <v>4.5505117453544131E-2</v>
      </c>
      <c r="AV80" s="38">
        <f t="shared" si="67"/>
        <v>5.0330368789874846E-2</v>
      </c>
      <c r="AW80" s="38">
        <f t="shared" si="68"/>
        <v>-3.2340216570592162E-3</v>
      </c>
      <c r="AX80" s="38">
        <f t="shared" si="69"/>
        <v>1.6136075171473863E-2</v>
      </c>
      <c r="AY80" s="38">
        <f t="shared" si="70"/>
        <v>6.2660251023082481E-2</v>
      </c>
      <c r="AZ80" s="38">
        <f t="shared" si="71"/>
        <v>5.9907634567117896E-2</v>
      </c>
      <c r="BA80" s="38">
        <f t="shared" si="72"/>
        <v>0.15119463893200358</v>
      </c>
      <c r="BB80" s="38">
        <f t="shared" si="73"/>
        <v>4.7807106808342326E-2</v>
      </c>
      <c r="BC80" s="38">
        <f t="shared" si="74"/>
        <v>0.11299725446728459</v>
      </c>
      <c r="BD80" s="38">
        <f t="shared" si="75"/>
        <v>8.395766913045577E-2</v>
      </c>
      <c r="BE80" s="38">
        <f t="shared" si="76"/>
        <v>-0.12433068688745585</v>
      </c>
      <c r="BF80" s="38">
        <f t="shared" si="77"/>
        <v>5.5895224541565369E-2</v>
      </c>
      <c r="BG80" s="38">
        <f t="shared" si="78"/>
        <v>-1.1777617064626433E-2</v>
      </c>
      <c r="BH80" s="38">
        <f t="shared" si="79"/>
        <v>-5.376028421043344E-3</v>
      </c>
      <c r="BI80" s="38">
        <f t="shared" si="80"/>
        <v>7.6805677874405731E-2</v>
      </c>
      <c r="BJ80" s="38">
        <f t="shared" si="81"/>
        <v>7.3599030951179145E-3</v>
      </c>
      <c r="BK80" s="38">
        <f t="shared" si="82"/>
        <v>7.1898920502846408E-3</v>
      </c>
      <c r="BL80" s="38">
        <f t="shared" si="83"/>
        <v>2.115807164336303E-2</v>
      </c>
      <c r="BM80" s="38">
        <f t="shared" si="84"/>
        <v>1.9896180826860288E-2</v>
      </c>
      <c r="BN80" s="38">
        <f t="shared" si="85"/>
        <v>2.1229914074881506E-2</v>
      </c>
      <c r="BO80" s="7"/>
      <c r="BX80" s="7"/>
      <c r="CN80" s="7"/>
      <c r="CO80" s="8"/>
      <c r="CP80" s="7"/>
      <c r="DG80" s="7"/>
      <c r="DO80" s="7"/>
      <c r="EE80" s="7"/>
      <c r="EF80" s="7"/>
      <c r="GH80" s="7"/>
      <c r="GJ80" s="9"/>
    </row>
    <row r="81" spans="1:192" x14ac:dyDescent="0.25">
      <c r="A81" s="7">
        <v>1949</v>
      </c>
      <c r="B81" s="8">
        <v>3293.2053867204377</v>
      </c>
      <c r="C81" s="8">
        <v>5193.3945902019968</v>
      </c>
      <c r="D81" s="8">
        <v>1659.2605723965412</v>
      </c>
      <c r="E81" s="8">
        <v>7064.0804811047592</v>
      </c>
      <c r="F81" s="8">
        <v>6494.3687943262412</v>
      </c>
      <c r="G81" s="8">
        <v>4143.2576331062328</v>
      </c>
      <c r="H81" s="8">
        <v>4946.3447444551593</v>
      </c>
      <c r="I81" s="8">
        <v>3282.4638555102883</v>
      </c>
      <c r="J81" s="8">
        <v>3264.5691287454379</v>
      </c>
      <c r="K81" s="8">
        <v>1799.8258774444621</v>
      </c>
      <c r="L81" s="8">
        <v>5880.4740859783051</v>
      </c>
      <c r="M81" s="8">
        <v>7520.5526456440421</v>
      </c>
      <c r="N81" s="8">
        <v>5227.1978810085038</v>
      </c>
      <c r="O81" s="8">
        <v>2056.5494056909592</v>
      </c>
      <c r="P81" s="8">
        <v>2154.8226103938373</v>
      </c>
      <c r="Q81" s="8">
        <v>1199.0610328638497</v>
      </c>
      <c r="R81" s="8">
        <v>6569.9496764917321</v>
      </c>
      <c r="S81" s="8">
        <v>8756.59375</v>
      </c>
      <c r="T81" s="8">
        <v>6955.6933534743212</v>
      </c>
      <c r="U81" s="8">
        <v>8943.7443212926482</v>
      </c>
      <c r="V81" s="8">
        <v>4503.6563071297996</v>
      </c>
      <c r="W81" s="7"/>
      <c r="X81" s="35">
        <f t="shared" si="44"/>
        <v>8.0996166511330134</v>
      </c>
      <c r="Y81" s="35">
        <f t="shared" si="45"/>
        <v>8.5551428259762812</v>
      </c>
      <c r="Z81" s="35">
        <f t="shared" si="46"/>
        <v>7.4141273437981354</v>
      </c>
      <c r="AA81" s="35">
        <f t="shared" si="47"/>
        <v>8.8627781353537696</v>
      </c>
      <c r="AB81" s="35">
        <f t="shared" si="48"/>
        <v>8.7786907410604993</v>
      </c>
      <c r="AC81" s="35">
        <f t="shared" si="49"/>
        <v>8.3292376253011735</v>
      </c>
      <c r="AD81" s="35">
        <f t="shared" si="50"/>
        <v>8.506404147321371</v>
      </c>
      <c r="AE81" s="35">
        <f t="shared" si="51"/>
        <v>8.096349594847565</v>
      </c>
      <c r="AF81" s="35">
        <f t="shared" si="52"/>
        <v>8.0908830663085745</v>
      </c>
      <c r="AG81" s="35">
        <f t="shared" si="53"/>
        <v>7.4954452044520714</v>
      </c>
      <c r="AH81" s="35">
        <f t="shared" si="54"/>
        <v>8.6793926645095603</v>
      </c>
      <c r="AI81" s="35">
        <f t="shared" si="55"/>
        <v>8.9253949043558585</v>
      </c>
      <c r="AJ81" s="35">
        <f t="shared" si="56"/>
        <v>8.5616306354687968</v>
      </c>
      <c r="AK81" s="35">
        <f t="shared" si="57"/>
        <v>7.6287848115447812</v>
      </c>
      <c r="AL81" s="35">
        <f t="shared" si="58"/>
        <v>7.6754636837872638</v>
      </c>
      <c r="AM81" s="35">
        <f t="shared" si="59"/>
        <v>7.0892940568711511</v>
      </c>
      <c r="AN81" s="35">
        <f t="shared" si="60"/>
        <v>8.7902614518590223</v>
      </c>
      <c r="AO81" s="35">
        <f t="shared" si="61"/>
        <v>9.0775622669878455</v>
      </c>
      <c r="AP81" s="35">
        <f t="shared" si="62"/>
        <v>8.8473157907581097</v>
      </c>
      <c r="AQ81" s="35">
        <f t="shared" si="63"/>
        <v>9.0987096083687273</v>
      </c>
      <c r="AR81" s="35">
        <f t="shared" si="64"/>
        <v>8.4126448585441747</v>
      </c>
      <c r="AS81" s="38"/>
      <c r="AT81" s="38">
        <f t="shared" si="65"/>
        <v>0.17500376946044849</v>
      </c>
      <c r="AU81" s="38">
        <f t="shared" si="66"/>
        <v>3.3189147755511073E-2</v>
      </c>
      <c r="AV81" s="38">
        <f t="shared" si="67"/>
        <v>3.872804322906731E-2</v>
      </c>
      <c r="AW81" s="38">
        <f t="shared" si="68"/>
        <v>-1.7603662698739697E-4</v>
      </c>
      <c r="AX81" s="38">
        <f t="shared" si="69"/>
        <v>5.7248711413455666E-2</v>
      </c>
      <c r="AY81" s="38">
        <f t="shared" si="70"/>
        <v>4.5946895037012325E-2</v>
      </c>
      <c r="AZ81" s="38">
        <f t="shared" si="71"/>
        <v>0.11855333784741973</v>
      </c>
      <c r="BA81" s="38">
        <f t="shared" si="72"/>
        <v>0.14700496248091177</v>
      </c>
      <c r="BB81" s="38">
        <f t="shared" si="73"/>
        <v>6.3666848661673825E-2</v>
      </c>
      <c r="BC81" s="38">
        <f t="shared" si="74"/>
        <v>4.2297159094755621E-2</v>
      </c>
      <c r="BD81" s="38">
        <f t="shared" si="75"/>
        <v>6.8671957357613778E-2</v>
      </c>
      <c r="BE81" s="38">
        <f t="shared" si="76"/>
        <v>8.1924122728477045E-2</v>
      </c>
      <c r="BF81" s="38">
        <f t="shared" si="77"/>
        <v>1.6064930213948614E-2</v>
      </c>
      <c r="BG81" s="38">
        <f t="shared" si="78"/>
        <v>5.0112119965461943E-3</v>
      </c>
      <c r="BH81" s="38">
        <f t="shared" si="79"/>
        <v>-1.424356494057033E-2</v>
      </c>
      <c r="BI81" s="38">
        <f t="shared" si="80"/>
        <v>3.383781870875513E-2</v>
      </c>
      <c r="BJ81" s="38">
        <f t="shared" si="81"/>
        <v>2.6530586649906596E-2</v>
      </c>
      <c r="BK81" s="38">
        <f t="shared" si="82"/>
        <v>-4.0186056611153376E-2</v>
      </c>
      <c r="BL81" s="38">
        <f t="shared" si="83"/>
        <v>3.0664743100873082E-2</v>
      </c>
      <c r="BM81" s="38">
        <f t="shared" si="84"/>
        <v>-1.3418223612230662E-2</v>
      </c>
      <c r="BN81" s="38">
        <f t="shared" si="85"/>
        <v>2.21283005099977E-2</v>
      </c>
      <c r="BO81" s="7"/>
      <c r="BX81" s="7"/>
      <c r="CN81" s="7"/>
      <c r="CO81" s="8"/>
      <c r="CP81" s="7"/>
      <c r="DG81" s="7"/>
      <c r="DO81" s="7"/>
      <c r="EE81" s="7"/>
      <c r="EF81" s="7"/>
      <c r="GH81" s="7"/>
      <c r="GJ81" s="9"/>
    </row>
    <row r="82" spans="1:192" x14ac:dyDescent="0.25">
      <c r="A82" s="7">
        <v>1950</v>
      </c>
      <c r="B82" s="8">
        <v>3706.0748943778744</v>
      </c>
      <c r="C82" s="8">
        <v>5462.2044734980063</v>
      </c>
      <c r="D82" s="8">
        <v>1671.7226694010403</v>
      </c>
      <c r="E82" s="8">
        <v>7291.4797655798238</v>
      </c>
      <c r="F82" s="8">
        <v>6943.1046593303681</v>
      </c>
      <c r="G82" s="8">
        <v>4253.28643767617</v>
      </c>
      <c r="H82" s="8">
        <v>5185.8506985276827</v>
      </c>
      <c r="I82" s="8">
        <v>3880.8871812755187</v>
      </c>
      <c r="J82" s="8">
        <v>3501.9000106145845</v>
      </c>
      <c r="K82" s="8">
        <v>1920.7207207207207</v>
      </c>
      <c r="L82" s="8">
        <v>5996.1277603747931</v>
      </c>
      <c r="M82" s="8">
        <v>8455.6492393793451</v>
      </c>
      <c r="N82" s="8">
        <v>5429.510033316662</v>
      </c>
      <c r="O82" s="8">
        <v>2086.4054958396259</v>
      </c>
      <c r="P82" s="8">
        <v>2188.9705659377451</v>
      </c>
      <c r="Q82" s="8">
        <v>1252.871163082063</v>
      </c>
      <c r="R82" s="8">
        <v>6769.0333618477334</v>
      </c>
      <c r="S82" s="8">
        <v>9063.6983383042189</v>
      </c>
      <c r="T82" s="8">
        <v>6939.3739900652345</v>
      </c>
      <c r="U82" s="8">
        <v>9561.3478600652797</v>
      </c>
      <c r="V82" s="8">
        <v>4659.3977509655806</v>
      </c>
      <c r="W82" s="7"/>
      <c r="X82" s="35">
        <f t="shared" si="44"/>
        <v>8.2177286155935825</v>
      </c>
      <c r="Y82" s="35">
        <f t="shared" si="45"/>
        <v>8.6056077369788717</v>
      </c>
      <c r="Z82" s="35">
        <f t="shared" si="46"/>
        <v>7.421609912303988</v>
      </c>
      <c r="AA82" s="35">
        <f t="shared" si="47"/>
        <v>8.8944617900801433</v>
      </c>
      <c r="AB82" s="35">
        <f t="shared" si="48"/>
        <v>8.845504310718642</v>
      </c>
      <c r="AC82" s="35">
        <f t="shared" si="49"/>
        <v>8.3554472425451642</v>
      </c>
      <c r="AD82" s="35">
        <f t="shared" si="50"/>
        <v>8.5536891763528509</v>
      </c>
      <c r="AE82" s="35">
        <f t="shared" si="51"/>
        <v>8.2638190614476734</v>
      </c>
      <c r="AF82" s="35">
        <f t="shared" si="52"/>
        <v>8.1610609603578208</v>
      </c>
      <c r="AG82" s="35">
        <f t="shared" si="53"/>
        <v>7.560455769961492</v>
      </c>
      <c r="AH82" s="35">
        <f t="shared" si="54"/>
        <v>8.6988691665963511</v>
      </c>
      <c r="AI82" s="35">
        <f t="shared" si="55"/>
        <v>9.0425900460108402</v>
      </c>
      <c r="AJ82" s="35">
        <f t="shared" si="56"/>
        <v>8.5996041755816979</v>
      </c>
      <c r="AK82" s="35">
        <f t="shared" si="57"/>
        <v>7.643198005854452</v>
      </c>
      <c r="AL82" s="35">
        <f t="shared" si="58"/>
        <v>7.6911866510814981</v>
      </c>
      <c r="AM82" s="35">
        <f t="shared" si="59"/>
        <v>7.1331931268497195</v>
      </c>
      <c r="AN82" s="35">
        <f t="shared" si="60"/>
        <v>8.8201135731192615</v>
      </c>
      <c r="AO82" s="35">
        <f t="shared" si="61"/>
        <v>9.1120325208548252</v>
      </c>
      <c r="AP82" s="35">
        <f t="shared" si="62"/>
        <v>8.8449668462716708</v>
      </c>
      <c r="AQ82" s="35">
        <f t="shared" si="63"/>
        <v>9.1654839856539319</v>
      </c>
      <c r="AR82" s="35">
        <f t="shared" si="64"/>
        <v>8.4466414807775241</v>
      </c>
      <c r="AS82" s="38"/>
      <c r="AT82" s="38">
        <f t="shared" si="65"/>
        <v>0.11811196446056904</v>
      </c>
      <c r="AU82" s="38">
        <f t="shared" si="66"/>
        <v>5.046491100259054E-2</v>
      </c>
      <c r="AV82" s="38">
        <f t="shared" si="67"/>
        <v>7.4825685058526048E-3</v>
      </c>
      <c r="AW82" s="38">
        <f t="shared" si="68"/>
        <v>3.1683654726373689E-2</v>
      </c>
      <c r="AX82" s="38">
        <f t="shared" si="69"/>
        <v>6.6813569658142669E-2</v>
      </c>
      <c r="AY82" s="38">
        <f t="shared" si="70"/>
        <v>2.6209617243990735E-2</v>
      </c>
      <c r="AZ82" s="38">
        <f t="shared" si="71"/>
        <v>4.7285029031479908E-2</v>
      </c>
      <c r="BA82" s="38">
        <f t="shared" si="72"/>
        <v>0.16746946660010842</v>
      </c>
      <c r="BB82" s="38">
        <f t="shared" si="73"/>
        <v>7.0177894049246348E-2</v>
      </c>
      <c r="BC82" s="38">
        <f t="shared" si="74"/>
        <v>6.5010565509420637E-2</v>
      </c>
      <c r="BD82" s="38">
        <f t="shared" si="75"/>
        <v>1.9476502086790859E-2</v>
      </c>
      <c r="BE82" s="38">
        <f t="shared" si="76"/>
        <v>0.11719514165498168</v>
      </c>
      <c r="BF82" s="38">
        <f t="shared" si="77"/>
        <v>3.7973540112901105E-2</v>
      </c>
      <c r="BG82" s="38">
        <f t="shared" si="78"/>
        <v>1.4413194309670807E-2</v>
      </c>
      <c r="BH82" s="38">
        <f t="shared" si="79"/>
        <v>1.572296729423428E-2</v>
      </c>
      <c r="BI82" s="38">
        <f t="shared" si="80"/>
        <v>4.3899069978568406E-2</v>
      </c>
      <c r="BJ82" s="38">
        <f t="shared" si="81"/>
        <v>2.9852121260239173E-2</v>
      </c>
      <c r="BK82" s="38">
        <f t="shared" si="82"/>
        <v>3.4470253866979661E-2</v>
      </c>
      <c r="BL82" s="38">
        <f t="shared" si="83"/>
        <v>-2.3489444864388531E-3</v>
      </c>
      <c r="BM82" s="38">
        <f t="shared" si="84"/>
        <v>6.6774377285204523E-2</v>
      </c>
      <c r="BN82" s="38">
        <f t="shared" si="85"/>
        <v>3.3996622233349427E-2</v>
      </c>
      <c r="BO82" s="7"/>
      <c r="BX82" s="7"/>
      <c r="CN82" s="7"/>
      <c r="CO82" s="8"/>
      <c r="CP82" s="7"/>
      <c r="DG82" s="7"/>
      <c r="DO82" s="7"/>
      <c r="EE82" s="7"/>
      <c r="EF82" s="7"/>
      <c r="GH82" s="7"/>
      <c r="GJ82" s="9"/>
    </row>
    <row r="83" spans="1:192" x14ac:dyDescent="0.25">
      <c r="A83" s="7">
        <v>1951</v>
      </c>
      <c r="B83" s="8">
        <v>3959.3676027701731</v>
      </c>
      <c r="C83" s="8">
        <v>5746.9211440929221</v>
      </c>
      <c r="D83" s="8">
        <v>1702.1019089332567</v>
      </c>
      <c r="E83" s="8">
        <v>7533.4902228959909</v>
      </c>
      <c r="F83" s="8">
        <v>6936.4860280415087</v>
      </c>
      <c r="G83" s="8">
        <v>4571.1956118894077</v>
      </c>
      <c r="H83" s="8">
        <v>5461.1077411226725</v>
      </c>
      <c r="I83" s="8">
        <v>4205.8117177849936</v>
      </c>
      <c r="J83" s="8">
        <v>3738.4959298156818</v>
      </c>
      <c r="K83" s="8">
        <v>2125.6085093759507</v>
      </c>
      <c r="L83" s="8">
        <v>6031.9684389921549</v>
      </c>
      <c r="M83" s="8">
        <v>7653.3245283813358</v>
      </c>
      <c r="N83" s="8">
        <v>5670.2759078571953</v>
      </c>
      <c r="O83" s="8">
        <v>2167.6629074526663</v>
      </c>
      <c r="P83" s="8">
        <v>2386.4929017976888</v>
      </c>
      <c r="Q83" s="8">
        <v>1292.7040428561372</v>
      </c>
      <c r="R83" s="8">
        <v>6979.0664780763791</v>
      </c>
      <c r="S83" s="8">
        <v>9684.1440303221734</v>
      </c>
      <c r="T83" s="8">
        <v>7123.3644859813085</v>
      </c>
      <c r="U83" s="8">
        <v>10116.246335825619</v>
      </c>
      <c r="V83" s="8">
        <v>4954.882009482425</v>
      </c>
      <c r="W83" s="7"/>
      <c r="X83" s="35">
        <f t="shared" si="44"/>
        <v>8.2838395952255617</v>
      </c>
      <c r="Y83" s="35">
        <f t="shared" si="45"/>
        <v>8.6564195371839059</v>
      </c>
      <c r="Z83" s="35">
        <f t="shared" si="46"/>
        <v>7.4396191833298113</v>
      </c>
      <c r="AA83" s="35">
        <f t="shared" si="47"/>
        <v>8.9271137224235488</v>
      </c>
      <c r="AB83" s="35">
        <f t="shared" si="48"/>
        <v>8.8445505892524086</v>
      </c>
      <c r="AC83" s="35">
        <f t="shared" si="49"/>
        <v>8.4275300715288584</v>
      </c>
      <c r="AD83" s="35">
        <f t="shared" si="50"/>
        <v>8.6054069311504815</v>
      </c>
      <c r="AE83" s="35">
        <f t="shared" si="51"/>
        <v>8.3442225901120572</v>
      </c>
      <c r="AF83" s="35">
        <f t="shared" si="52"/>
        <v>8.2264386517181478</v>
      </c>
      <c r="AG83" s="35">
        <f t="shared" si="53"/>
        <v>7.661813397719464</v>
      </c>
      <c r="AH83" s="35">
        <f t="shared" si="54"/>
        <v>8.7048286774115304</v>
      </c>
      <c r="AI83" s="35">
        <f t="shared" si="55"/>
        <v>8.942895411291909</v>
      </c>
      <c r="AJ83" s="35">
        <f t="shared" si="56"/>
        <v>8.6429930565356319</v>
      </c>
      <c r="AK83" s="35">
        <f t="shared" si="57"/>
        <v>7.6814048649781022</v>
      </c>
      <c r="AL83" s="35">
        <f t="shared" si="58"/>
        <v>7.7775801621267107</v>
      </c>
      <c r="AM83" s="35">
        <f t="shared" si="59"/>
        <v>7.1644914607361887</v>
      </c>
      <c r="AN83" s="35">
        <f t="shared" si="60"/>
        <v>8.8506704444161723</v>
      </c>
      <c r="AO83" s="35">
        <f t="shared" si="61"/>
        <v>9.1782451909669849</v>
      </c>
      <c r="AP83" s="35">
        <f t="shared" si="62"/>
        <v>8.8711354329599903</v>
      </c>
      <c r="AQ83" s="35">
        <f t="shared" si="63"/>
        <v>9.2218979586030621</v>
      </c>
      <c r="AR83" s="35">
        <f t="shared" si="64"/>
        <v>8.5081286340653168</v>
      </c>
      <c r="AS83" s="38"/>
      <c r="AT83" s="38">
        <f t="shared" si="65"/>
        <v>6.6110979631979205E-2</v>
      </c>
      <c r="AU83" s="38">
        <f t="shared" si="66"/>
        <v>5.0811800205034174E-2</v>
      </c>
      <c r="AV83" s="38">
        <f t="shared" si="67"/>
        <v>1.8009271025823281E-2</v>
      </c>
      <c r="AW83" s="38">
        <f t="shared" si="68"/>
        <v>3.2651932343405576E-2</v>
      </c>
      <c r="AX83" s="38">
        <f t="shared" si="69"/>
        <v>-9.537214662334037E-4</v>
      </c>
      <c r="AY83" s="38">
        <f t="shared" si="70"/>
        <v>7.2082828983694114E-2</v>
      </c>
      <c r="AZ83" s="38">
        <f t="shared" si="71"/>
        <v>5.1717754797630633E-2</v>
      </c>
      <c r="BA83" s="38">
        <f t="shared" si="72"/>
        <v>8.0403528664383828E-2</v>
      </c>
      <c r="BB83" s="38">
        <f t="shared" si="73"/>
        <v>6.5377691360327006E-2</v>
      </c>
      <c r="BC83" s="38">
        <f t="shared" si="74"/>
        <v>0.10135762775797197</v>
      </c>
      <c r="BD83" s="38">
        <f t="shared" si="75"/>
        <v>5.9595108151793141E-3</v>
      </c>
      <c r="BE83" s="38">
        <f t="shared" si="76"/>
        <v>-9.9694634718931141E-2</v>
      </c>
      <c r="BF83" s="38">
        <f t="shared" si="77"/>
        <v>4.3388880953934006E-2</v>
      </c>
      <c r="BG83" s="38">
        <f t="shared" si="78"/>
        <v>3.8206859123650183E-2</v>
      </c>
      <c r="BH83" s="38">
        <f t="shared" si="79"/>
        <v>8.6393511045212534E-2</v>
      </c>
      <c r="BI83" s="38">
        <f t="shared" si="80"/>
        <v>3.1298333886469187E-2</v>
      </c>
      <c r="BJ83" s="38">
        <f t="shared" si="81"/>
        <v>3.055687129691087E-2</v>
      </c>
      <c r="BK83" s="38">
        <f t="shared" si="82"/>
        <v>6.6212670112159699E-2</v>
      </c>
      <c r="BL83" s="38">
        <f t="shared" si="83"/>
        <v>2.6168586688319451E-2</v>
      </c>
      <c r="BM83" s="38">
        <f t="shared" si="84"/>
        <v>5.6413972949130198E-2</v>
      </c>
      <c r="BN83" s="38">
        <f t="shared" si="85"/>
        <v>6.1487153287792751E-2</v>
      </c>
      <c r="BO83" s="7"/>
      <c r="BX83" s="7"/>
      <c r="CN83" s="7"/>
      <c r="CO83" s="8"/>
      <c r="CP83" s="7"/>
      <c r="DG83" s="7"/>
      <c r="DO83" s="7"/>
      <c r="EE83" s="7"/>
      <c r="EF83" s="7"/>
      <c r="GH83" s="7"/>
      <c r="GJ83" s="9"/>
    </row>
    <row r="84" spans="1:192" x14ac:dyDescent="0.25">
      <c r="A84" s="7">
        <v>1952</v>
      </c>
      <c r="B84" s="8">
        <v>3967.2206302401405</v>
      </c>
      <c r="C84" s="8">
        <v>5668.2364678385475</v>
      </c>
      <c r="D84" s="8">
        <v>1752.2352345900965</v>
      </c>
      <c r="E84" s="8">
        <v>7833.0352051024829</v>
      </c>
      <c r="F84" s="8">
        <v>6955.2376557452699</v>
      </c>
      <c r="G84" s="8">
        <v>4674.4896711893407</v>
      </c>
      <c r="H84" s="8">
        <v>5564.2599110781775</v>
      </c>
      <c r="I84" s="8">
        <v>4552.6020091530445</v>
      </c>
      <c r="J84" s="8">
        <v>3997.4195443292911</v>
      </c>
      <c r="K84" s="8">
        <v>2336.4246820965195</v>
      </c>
      <c r="L84" s="8">
        <v>6083.8059146282967</v>
      </c>
      <c r="M84" s="8">
        <v>7796.2937526381165</v>
      </c>
      <c r="N84" s="8">
        <v>5813.9216344623719</v>
      </c>
      <c r="O84" s="8">
        <v>2161.3760182030364</v>
      </c>
      <c r="P84" s="8">
        <v>2558.4704939111807</v>
      </c>
      <c r="Q84" s="8">
        <v>1312.6137739442474</v>
      </c>
      <c r="R84" s="8">
        <v>6974.0350877192986</v>
      </c>
      <c r="S84" s="8">
        <v>9630.1142263759084</v>
      </c>
      <c r="T84" s="8">
        <v>7090.7198096371212</v>
      </c>
      <c r="U84" s="8">
        <v>10315.544610385077</v>
      </c>
      <c r="V84" s="8">
        <v>4956.5794408701422</v>
      </c>
      <c r="W84" s="7"/>
      <c r="X84" s="35">
        <f t="shared" si="44"/>
        <v>8.2858210353630923</v>
      </c>
      <c r="Y84" s="35">
        <f t="shared" si="45"/>
        <v>8.6426333197424672</v>
      </c>
      <c r="Z84" s="35">
        <f t="shared" si="46"/>
        <v>7.46864752880197</v>
      </c>
      <c r="AA84" s="35">
        <f t="shared" si="47"/>
        <v>8.966105351816795</v>
      </c>
      <c r="AB84" s="35">
        <f t="shared" si="48"/>
        <v>8.8472502742619223</v>
      </c>
      <c r="AC84" s="35">
        <f t="shared" si="49"/>
        <v>8.449875274521343</v>
      </c>
      <c r="AD84" s="35">
        <f t="shared" si="50"/>
        <v>8.6241192649426424</v>
      </c>
      <c r="AE84" s="35">
        <f t="shared" si="51"/>
        <v>8.4234542186331058</v>
      </c>
      <c r="AF84" s="35">
        <f t="shared" si="52"/>
        <v>8.2934043180088306</v>
      </c>
      <c r="AG84" s="35">
        <f t="shared" si="53"/>
        <v>7.7563771262673988</v>
      </c>
      <c r="AH84" s="35">
        <f t="shared" si="54"/>
        <v>8.7133857519216686</v>
      </c>
      <c r="AI84" s="35">
        <f t="shared" si="55"/>
        <v>8.9614037398352462</v>
      </c>
      <c r="AJ84" s="35">
        <f t="shared" si="56"/>
        <v>8.6680106022633403</v>
      </c>
      <c r="AK84" s="35">
        <f t="shared" si="57"/>
        <v>7.6785003433152532</v>
      </c>
      <c r="AL84" s="35">
        <f t="shared" si="58"/>
        <v>7.8471648956053333</v>
      </c>
      <c r="AM84" s="35">
        <f t="shared" si="59"/>
        <v>7.1797756756187621</v>
      </c>
      <c r="AN84" s="35">
        <f t="shared" si="60"/>
        <v>8.8499492584416526</v>
      </c>
      <c r="AO84" s="35">
        <f t="shared" si="61"/>
        <v>9.172650366235418</v>
      </c>
      <c r="AP84" s="35">
        <f t="shared" si="62"/>
        <v>8.8665421390043662</v>
      </c>
      <c r="AQ84" s="35">
        <f t="shared" si="63"/>
        <v>9.2414072220161074</v>
      </c>
      <c r="AR84" s="35">
        <f t="shared" si="64"/>
        <v>8.5084711529587835</v>
      </c>
      <c r="AS84" s="38"/>
      <c r="AT84" s="38">
        <f t="shared" si="65"/>
        <v>1.9814401375306545E-3</v>
      </c>
      <c r="AU84" s="38">
        <f t="shared" si="66"/>
        <v>-1.3786217441438708E-2</v>
      </c>
      <c r="AV84" s="38">
        <f t="shared" si="67"/>
        <v>2.9028345472158712E-2</v>
      </c>
      <c r="AW84" s="38">
        <f t="shared" si="68"/>
        <v>3.8991629393246185E-2</v>
      </c>
      <c r="AX84" s="38">
        <f t="shared" si="69"/>
        <v>2.6996850095137859E-3</v>
      </c>
      <c r="AY84" s="38">
        <f t="shared" si="70"/>
        <v>2.2345202992484658E-2</v>
      </c>
      <c r="AZ84" s="38">
        <f t="shared" si="71"/>
        <v>1.8712333792160862E-2</v>
      </c>
      <c r="BA84" s="38">
        <f t="shared" si="72"/>
        <v>7.9231628521048592E-2</v>
      </c>
      <c r="BB84" s="38">
        <f t="shared" si="73"/>
        <v>6.696566629068279E-2</v>
      </c>
      <c r="BC84" s="38">
        <f t="shared" si="74"/>
        <v>9.4563728547934822E-2</v>
      </c>
      <c r="BD84" s="38">
        <f t="shared" si="75"/>
        <v>8.5570745101382073E-3</v>
      </c>
      <c r="BE84" s="38">
        <f t="shared" si="76"/>
        <v>1.8508328543337171E-2</v>
      </c>
      <c r="BF84" s="38">
        <f t="shared" si="77"/>
        <v>2.5017545727708423E-2</v>
      </c>
      <c r="BG84" s="38">
        <f t="shared" si="78"/>
        <v>-2.9045216628489356E-3</v>
      </c>
      <c r="BH84" s="38">
        <f t="shared" si="79"/>
        <v>6.9584733478622596E-2</v>
      </c>
      <c r="BI84" s="38">
        <f t="shared" si="80"/>
        <v>1.5284214882573366E-2</v>
      </c>
      <c r="BJ84" s="38">
        <f t="shared" si="81"/>
        <v>-7.2118597451975575E-4</v>
      </c>
      <c r="BK84" s="38">
        <f t="shared" si="82"/>
        <v>-5.5948247315669164E-3</v>
      </c>
      <c r="BL84" s="38">
        <f t="shared" si="83"/>
        <v>-4.5932939556241337E-3</v>
      </c>
      <c r="BM84" s="38">
        <f t="shared" si="84"/>
        <v>1.9509263413045375E-2</v>
      </c>
      <c r="BN84" s="38">
        <f t="shared" si="85"/>
        <v>3.4251889346670339E-4</v>
      </c>
      <c r="BO84" s="7"/>
      <c r="BX84" s="7"/>
      <c r="CN84" s="7"/>
      <c r="CO84" s="8"/>
      <c r="CP84" s="7"/>
      <c r="DG84" s="7"/>
      <c r="DO84" s="7"/>
      <c r="EE84" s="7"/>
      <c r="EF84" s="7"/>
      <c r="GH84" s="7"/>
      <c r="GJ84" s="9"/>
    </row>
    <row r="85" spans="1:192" x14ac:dyDescent="0.25">
      <c r="A85" s="7">
        <v>1953</v>
      </c>
      <c r="B85" s="8">
        <v>4137.0458463439427</v>
      </c>
      <c r="C85" s="8">
        <v>5818.1520739705393</v>
      </c>
      <c r="D85" s="8">
        <v>1784.1685211244628</v>
      </c>
      <c r="E85" s="8">
        <v>7984.2590991792003</v>
      </c>
      <c r="F85" s="8">
        <v>7291.5903764464629</v>
      </c>
      <c r="G85" s="8">
        <v>4651.6403343479742</v>
      </c>
      <c r="H85" s="8">
        <v>5683.9406828371075</v>
      </c>
      <c r="I85" s="8">
        <v>4905.0875974022574</v>
      </c>
      <c r="J85" s="8">
        <v>4259.8160852430301</v>
      </c>
      <c r="K85" s="8">
        <v>2474.3436961037883</v>
      </c>
      <c r="L85" s="8">
        <v>6542.5327526897463</v>
      </c>
      <c r="M85" s="8">
        <v>7855.8516668286611</v>
      </c>
      <c r="N85" s="8">
        <v>5985.1894483682881</v>
      </c>
      <c r="O85" s="8">
        <v>2297.9502153526946</v>
      </c>
      <c r="P85" s="8">
        <v>2527.6238183638125</v>
      </c>
      <c r="Q85" s="8">
        <v>1298.6875697689156</v>
      </c>
      <c r="R85" s="8">
        <v>7042.9507739506344</v>
      </c>
      <c r="S85" s="8">
        <v>9840.3034030340295</v>
      </c>
      <c r="T85" s="8">
        <v>7345.7988259245349</v>
      </c>
      <c r="U85" s="8">
        <v>10612.608000799082</v>
      </c>
      <c r="V85" s="8">
        <v>5138.5337489929589</v>
      </c>
      <c r="W85" s="7"/>
      <c r="X85" s="35">
        <f t="shared" si="44"/>
        <v>8.3277372484265815</v>
      </c>
      <c r="Y85" s="35">
        <f t="shared" si="45"/>
        <v>8.6687379772440565</v>
      </c>
      <c r="Z85" s="35">
        <f t="shared" si="46"/>
        <v>7.4867077711923651</v>
      </c>
      <c r="AA85" s="35">
        <f t="shared" si="47"/>
        <v>8.9852272697667388</v>
      </c>
      <c r="AB85" s="35">
        <f t="shared" si="48"/>
        <v>8.8944769598442015</v>
      </c>
      <c r="AC85" s="35">
        <f t="shared" si="49"/>
        <v>8.4449751964510291</v>
      </c>
      <c r="AD85" s="35">
        <f t="shared" si="50"/>
        <v>8.6454000533492206</v>
      </c>
      <c r="AE85" s="35">
        <f t="shared" si="51"/>
        <v>8.4980282306376029</v>
      </c>
      <c r="AF85" s="35">
        <f t="shared" si="52"/>
        <v>8.356981265853296</v>
      </c>
      <c r="AG85" s="35">
        <f t="shared" si="53"/>
        <v>7.8137304665467378</v>
      </c>
      <c r="AH85" s="35">
        <f t="shared" si="54"/>
        <v>8.7860796405346431</v>
      </c>
      <c r="AI85" s="35">
        <f t="shared" si="55"/>
        <v>8.9690139683423808</v>
      </c>
      <c r="AJ85" s="35">
        <f t="shared" si="56"/>
        <v>8.6970432713538059</v>
      </c>
      <c r="AK85" s="35">
        <f t="shared" si="57"/>
        <v>7.739772793836643</v>
      </c>
      <c r="AL85" s="35">
        <f t="shared" si="58"/>
        <v>7.8350349381670599</v>
      </c>
      <c r="AM85" s="35">
        <f t="shared" si="59"/>
        <v>7.1691094717827335</v>
      </c>
      <c r="AN85" s="35">
        <f t="shared" si="60"/>
        <v>8.8597825053628458</v>
      </c>
      <c r="AO85" s="35">
        <f t="shared" si="61"/>
        <v>9.1942418232126215</v>
      </c>
      <c r="AP85" s="35">
        <f t="shared" si="62"/>
        <v>8.9018838404784226</v>
      </c>
      <c r="AQ85" s="35">
        <f t="shared" si="63"/>
        <v>9.2697980073215618</v>
      </c>
      <c r="AR85" s="35">
        <f t="shared" si="64"/>
        <v>8.5445230549121902</v>
      </c>
      <c r="AS85" s="38"/>
      <c r="AT85" s="38">
        <f t="shared" si="65"/>
        <v>4.1916213063489138E-2</v>
      </c>
      <c r="AU85" s="38">
        <f t="shared" si="66"/>
        <v>2.6104657501589301E-2</v>
      </c>
      <c r="AV85" s="38">
        <f t="shared" si="67"/>
        <v>1.8060242390395054E-2</v>
      </c>
      <c r="AW85" s="38">
        <f t="shared" si="68"/>
        <v>1.9121917949943779E-2</v>
      </c>
      <c r="AX85" s="38">
        <f t="shared" si="69"/>
        <v>4.722668558227916E-2</v>
      </c>
      <c r="AY85" s="38">
        <f t="shared" si="70"/>
        <v>-4.9000780703138958E-3</v>
      </c>
      <c r="AZ85" s="38">
        <f t="shared" si="71"/>
        <v>2.128078840657821E-2</v>
      </c>
      <c r="BA85" s="38">
        <f t="shared" si="72"/>
        <v>7.4574012004497092E-2</v>
      </c>
      <c r="BB85" s="38">
        <f t="shared" si="73"/>
        <v>6.3576947844465437E-2</v>
      </c>
      <c r="BC85" s="38">
        <f t="shared" si="74"/>
        <v>5.7353340279338916E-2</v>
      </c>
      <c r="BD85" s="38">
        <f t="shared" si="75"/>
        <v>7.2693888612974433E-2</v>
      </c>
      <c r="BE85" s="38">
        <f t="shared" si="76"/>
        <v>7.6102285071346643E-3</v>
      </c>
      <c r="BF85" s="38">
        <f t="shared" si="77"/>
        <v>2.9032669090465646E-2</v>
      </c>
      <c r="BG85" s="38">
        <f t="shared" si="78"/>
        <v>6.1272450521389743E-2</v>
      </c>
      <c r="BH85" s="38">
        <f t="shared" si="79"/>
        <v>-1.2129957438273387E-2</v>
      </c>
      <c r="BI85" s="38">
        <f t="shared" si="80"/>
        <v>-1.0666203836028565E-2</v>
      </c>
      <c r="BJ85" s="38">
        <f t="shared" si="81"/>
        <v>9.8332469211932505E-3</v>
      </c>
      <c r="BK85" s="38">
        <f t="shared" si="82"/>
        <v>2.1591456977203549E-2</v>
      </c>
      <c r="BL85" s="38">
        <f t="shared" si="83"/>
        <v>3.5341701474056464E-2</v>
      </c>
      <c r="BM85" s="38">
        <f t="shared" si="84"/>
        <v>2.8390785305454358E-2</v>
      </c>
      <c r="BN85" s="38">
        <f t="shared" si="85"/>
        <v>3.6051901953406684E-2</v>
      </c>
      <c r="BO85" s="7"/>
      <c r="BX85" s="7"/>
      <c r="CN85" s="7"/>
      <c r="CO85" s="8"/>
      <c r="CP85" s="7"/>
      <c r="DG85" s="7"/>
      <c r="DO85" s="7"/>
      <c r="EE85" s="7"/>
      <c r="EF85" s="7"/>
      <c r="GH85" s="7"/>
      <c r="GJ85" s="9"/>
    </row>
    <row r="86" spans="1:192" x14ac:dyDescent="0.25">
      <c r="A86" s="7">
        <v>1954</v>
      </c>
      <c r="B86" s="8">
        <v>4554.7619675430533</v>
      </c>
      <c r="C86" s="8">
        <v>6029.1086221480427</v>
      </c>
      <c r="D86" s="8">
        <v>1847.5986493506441</v>
      </c>
      <c r="E86" s="8">
        <v>7699.4188822188444</v>
      </c>
      <c r="F86" s="8">
        <v>7371.3118474807079</v>
      </c>
      <c r="G86" s="8">
        <v>5001.5524612481795</v>
      </c>
      <c r="H86" s="8">
        <v>5915.1795901601936</v>
      </c>
      <c r="I86" s="8">
        <v>5246.7996309904738</v>
      </c>
      <c r="J86" s="8">
        <v>4449.0362119298534</v>
      </c>
      <c r="K86" s="8">
        <v>2581.8698745064607</v>
      </c>
      <c r="L86" s="8">
        <v>6906.8653218255031</v>
      </c>
      <c r="M86" s="8">
        <v>8743.398132339822</v>
      </c>
      <c r="N86" s="8">
        <v>6225.5033348584338</v>
      </c>
      <c r="O86" s="8">
        <v>2393.3921062082227</v>
      </c>
      <c r="P86" s="8">
        <v>2695.5914219113129</v>
      </c>
      <c r="Q86" s="8">
        <v>1296.3811377075817</v>
      </c>
      <c r="R86" s="8">
        <v>7338.9713018161647</v>
      </c>
      <c r="S86" s="8">
        <v>10287.076486102658</v>
      </c>
      <c r="T86" s="8">
        <v>7619.2061459667093</v>
      </c>
      <c r="U86" s="8">
        <v>10359.108363083189</v>
      </c>
      <c r="V86" s="8">
        <v>5390.7913645462222</v>
      </c>
      <c r="W86" s="7"/>
      <c r="X86" s="35">
        <f t="shared" si="44"/>
        <v>8.4239285509286042</v>
      </c>
      <c r="Y86" s="35">
        <f t="shared" si="45"/>
        <v>8.7043544549381622</v>
      </c>
      <c r="Z86" s="35">
        <f t="shared" si="46"/>
        <v>7.521642047527088</v>
      </c>
      <c r="AA86" s="35">
        <f t="shared" si="47"/>
        <v>8.9489001351520745</v>
      </c>
      <c r="AB86" s="35">
        <f t="shared" si="48"/>
        <v>8.9053509676448819</v>
      </c>
      <c r="AC86" s="35">
        <f t="shared" si="49"/>
        <v>8.5175036354731297</v>
      </c>
      <c r="AD86" s="35">
        <f t="shared" si="50"/>
        <v>8.6852771377707132</v>
      </c>
      <c r="AE86" s="35">
        <f t="shared" si="51"/>
        <v>8.5653735756105913</v>
      </c>
      <c r="AF86" s="35">
        <f t="shared" si="52"/>
        <v>8.4004427701143101</v>
      </c>
      <c r="AG86" s="35">
        <f t="shared" si="53"/>
        <v>7.8562691729663756</v>
      </c>
      <c r="AH86" s="35">
        <f t="shared" si="54"/>
        <v>8.8402711701042413</v>
      </c>
      <c r="AI86" s="35">
        <f t="shared" si="55"/>
        <v>9.0760541954127536</v>
      </c>
      <c r="AJ86" s="35">
        <f t="shared" si="56"/>
        <v>8.7364095750695281</v>
      </c>
      <c r="AK86" s="35">
        <f t="shared" si="57"/>
        <v>7.7804669299841578</v>
      </c>
      <c r="AL86" s="35">
        <f t="shared" si="58"/>
        <v>7.8993729108112163</v>
      </c>
      <c r="AM86" s="35">
        <f t="shared" si="59"/>
        <v>7.1673319214142293</v>
      </c>
      <c r="AN86" s="35">
        <f t="shared" si="60"/>
        <v>8.9009539621703606</v>
      </c>
      <c r="AO86" s="35">
        <f t="shared" si="61"/>
        <v>9.2386436763228552</v>
      </c>
      <c r="AP86" s="35">
        <f t="shared" si="62"/>
        <v>8.9384274629342162</v>
      </c>
      <c r="AQ86" s="35">
        <f t="shared" si="63"/>
        <v>9.2456214467701798</v>
      </c>
      <c r="AR86" s="35">
        <f t="shared" si="64"/>
        <v>8.5924474740064731</v>
      </c>
      <c r="AS86" s="38"/>
      <c r="AT86" s="38">
        <f t="shared" si="65"/>
        <v>9.619130250202268E-2</v>
      </c>
      <c r="AU86" s="38">
        <f t="shared" si="66"/>
        <v>3.5616477694105697E-2</v>
      </c>
      <c r="AV86" s="38">
        <f t="shared" si="67"/>
        <v>3.4934276334722902E-2</v>
      </c>
      <c r="AW86" s="38">
        <f t="shared" si="68"/>
        <v>-3.6327134614664303E-2</v>
      </c>
      <c r="AX86" s="38">
        <f t="shared" si="69"/>
        <v>1.0874007800680374E-2</v>
      </c>
      <c r="AY86" s="38">
        <f t="shared" si="70"/>
        <v>7.2528439022100599E-2</v>
      </c>
      <c r="AZ86" s="38">
        <f t="shared" si="71"/>
        <v>3.9877084421492626E-2</v>
      </c>
      <c r="BA86" s="38">
        <f t="shared" si="72"/>
        <v>6.7345344972988386E-2</v>
      </c>
      <c r="BB86" s="38">
        <f t="shared" si="73"/>
        <v>4.3461504261014028E-2</v>
      </c>
      <c r="BC86" s="38">
        <f t="shared" si="74"/>
        <v>4.2538706419637862E-2</v>
      </c>
      <c r="BD86" s="38">
        <f t="shared" si="75"/>
        <v>5.4191529569598273E-2</v>
      </c>
      <c r="BE86" s="38">
        <f t="shared" si="76"/>
        <v>0.10704022707037275</v>
      </c>
      <c r="BF86" s="38">
        <f t="shared" si="77"/>
        <v>3.936630371572214E-2</v>
      </c>
      <c r="BG86" s="38">
        <f t="shared" si="78"/>
        <v>4.0694136147514826E-2</v>
      </c>
      <c r="BH86" s="38">
        <f t="shared" si="79"/>
        <v>6.4337972644156416E-2</v>
      </c>
      <c r="BI86" s="38">
        <f t="shared" si="80"/>
        <v>-1.7775503685042437E-3</v>
      </c>
      <c r="BJ86" s="38">
        <f t="shared" si="81"/>
        <v>4.1171456807514772E-2</v>
      </c>
      <c r="BK86" s="38">
        <f t="shared" si="82"/>
        <v>4.4401853110233702E-2</v>
      </c>
      <c r="BL86" s="38">
        <f t="shared" si="83"/>
        <v>3.6543622455793567E-2</v>
      </c>
      <c r="BM86" s="38">
        <f t="shared" si="84"/>
        <v>-2.4176560551381954E-2</v>
      </c>
      <c r="BN86" s="38">
        <f t="shared" si="85"/>
        <v>4.7924419094282911E-2</v>
      </c>
      <c r="BO86" s="7"/>
      <c r="BX86" s="7"/>
      <c r="CN86" s="7"/>
      <c r="CO86" s="8"/>
      <c r="CP86" s="7"/>
      <c r="DG86" s="7"/>
      <c r="DO86" s="7"/>
      <c r="EE86" s="7"/>
      <c r="EF86" s="7"/>
      <c r="GH86" s="7"/>
      <c r="GJ86" s="9"/>
    </row>
    <row r="87" spans="1:192" x14ac:dyDescent="0.25">
      <c r="A87" s="7">
        <v>1955</v>
      </c>
      <c r="B87" s="8">
        <v>5053.344052766096</v>
      </c>
      <c r="C87" s="8">
        <v>6280.2229244599548</v>
      </c>
      <c r="D87" s="8">
        <v>1925.7434242159256</v>
      </c>
      <c r="E87" s="8">
        <v>8201.2511124363846</v>
      </c>
      <c r="F87" s="8">
        <v>7395.3593151610721</v>
      </c>
      <c r="G87" s="8">
        <v>5196.8169260195045</v>
      </c>
      <c r="H87" s="8">
        <v>6198.7878239630918</v>
      </c>
      <c r="I87" s="8">
        <v>5796.9720386510771</v>
      </c>
      <c r="J87" s="8">
        <v>4675.6112104949316</v>
      </c>
      <c r="K87" s="8">
        <v>2770.7491371714273</v>
      </c>
      <c r="L87" s="8">
        <v>7325.8448035977081</v>
      </c>
      <c r="M87" s="8">
        <v>8725.437325154202</v>
      </c>
      <c r="N87" s="8">
        <v>6301.3789294422995</v>
      </c>
      <c r="O87" s="8">
        <v>2474.7486367715064</v>
      </c>
      <c r="P87" s="8">
        <v>2778.3249248902025</v>
      </c>
      <c r="Q87" s="8">
        <v>1336.7029458650834</v>
      </c>
      <c r="R87" s="8">
        <v>7477.9675020655468</v>
      </c>
      <c r="S87" s="8">
        <v>10866.867469879518</v>
      </c>
      <c r="T87" s="8">
        <v>7868.1348879205434</v>
      </c>
      <c r="U87" s="8">
        <v>10896.854716719601</v>
      </c>
      <c r="V87" s="8">
        <v>5351.5818890195887</v>
      </c>
      <c r="W87" s="7"/>
      <c r="X87" s="35">
        <f t="shared" si="44"/>
        <v>8.5278054917857844</v>
      </c>
      <c r="Y87" s="35">
        <f t="shared" si="45"/>
        <v>8.7451607563576932</v>
      </c>
      <c r="Z87" s="35">
        <f t="shared" si="46"/>
        <v>7.5630673665659058</v>
      </c>
      <c r="AA87" s="35">
        <f t="shared" si="47"/>
        <v>9.0120419963013738</v>
      </c>
      <c r="AB87" s="35">
        <f t="shared" si="48"/>
        <v>8.9086079628977046</v>
      </c>
      <c r="AC87" s="35">
        <f t="shared" si="49"/>
        <v>8.5558015875300644</v>
      </c>
      <c r="AD87" s="35">
        <f t="shared" si="50"/>
        <v>8.7321090396541514</v>
      </c>
      <c r="AE87" s="35">
        <f t="shared" si="51"/>
        <v>8.6650909979110011</v>
      </c>
      <c r="AF87" s="35">
        <f t="shared" si="52"/>
        <v>8.4501151733898503</v>
      </c>
      <c r="AG87" s="35">
        <f t="shared" si="53"/>
        <v>7.9268730092495705</v>
      </c>
      <c r="AH87" s="35">
        <f t="shared" si="54"/>
        <v>8.8991637587842707</v>
      </c>
      <c r="AI87" s="35">
        <f t="shared" si="55"/>
        <v>9.0739978690413441</v>
      </c>
      <c r="AJ87" s="35">
        <f t="shared" si="56"/>
        <v>8.7485237661186517</v>
      </c>
      <c r="AK87" s="35">
        <f t="shared" si="57"/>
        <v>7.8138941089447318</v>
      </c>
      <c r="AL87" s="35">
        <f t="shared" si="58"/>
        <v>7.9296034800779651</v>
      </c>
      <c r="AM87" s="35">
        <f t="shared" si="59"/>
        <v>7.1979613728091305</v>
      </c>
      <c r="AN87" s="35">
        <f t="shared" si="60"/>
        <v>8.9197163097219931</v>
      </c>
      <c r="AO87" s="35">
        <f t="shared" si="61"/>
        <v>9.2934737573392265</v>
      </c>
      <c r="AP87" s="35">
        <f t="shared" si="62"/>
        <v>8.9705763232258171</v>
      </c>
      <c r="AQ87" s="35">
        <f t="shared" si="63"/>
        <v>9.2962294684772164</v>
      </c>
      <c r="AR87" s="35">
        <f t="shared" si="64"/>
        <v>8.5851474763758571</v>
      </c>
      <c r="AS87" s="38"/>
      <c r="AT87" s="38">
        <f t="shared" si="65"/>
        <v>0.10387694085718024</v>
      </c>
      <c r="AU87" s="38">
        <f t="shared" si="66"/>
        <v>4.080630141953101E-2</v>
      </c>
      <c r="AV87" s="38">
        <f t="shared" si="67"/>
        <v>4.1425319038817854E-2</v>
      </c>
      <c r="AW87" s="38">
        <f t="shared" si="68"/>
        <v>6.3141861149299316E-2</v>
      </c>
      <c r="AX87" s="38">
        <f t="shared" si="69"/>
        <v>3.2569952528227475E-3</v>
      </c>
      <c r="AY87" s="38">
        <f t="shared" si="70"/>
        <v>3.8297952056934648E-2</v>
      </c>
      <c r="AZ87" s="38">
        <f t="shared" si="71"/>
        <v>4.6831901883438221E-2</v>
      </c>
      <c r="BA87" s="38">
        <f t="shared" si="72"/>
        <v>9.9717422300409808E-2</v>
      </c>
      <c r="BB87" s="38">
        <f t="shared" si="73"/>
        <v>4.9672403275540233E-2</v>
      </c>
      <c r="BC87" s="38">
        <f t="shared" si="74"/>
        <v>7.0603836283194887E-2</v>
      </c>
      <c r="BD87" s="38">
        <f t="shared" si="75"/>
        <v>5.8892588680029334E-2</v>
      </c>
      <c r="BE87" s="38">
        <f t="shared" si="76"/>
        <v>-2.0563263714095115E-3</v>
      </c>
      <c r="BF87" s="38">
        <f t="shared" si="77"/>
        <v>1.211419104912359E-2</v>
      </c>
      <c r="BG87" s="38">
        <f t="shared" si="78"/>
        <v>3.3427178960574011E-2</v>
      </c>
      <c r="BH87" s="38">
        <f t="shared" si="79"/>
        <v>3.023056926674883E-2</v>
      </c>
      <c r="BI87" s="38">
        <f t="shared" si="80"/>
        <v>3.0629451394901253E-2</v>
      </c>
      <c r="BJ87" s="38">
        <f t="shared" si="81"/>
        <v>1.876234755163253E-2</v>
      </c>
      <c r="BK87" s="38">
        <f t="shared" si="82"/>
        <v>5.4830081016371324E-2</v>
      </c>
      <c r="BL87" s="38">
        <f t="shared" si="83"/>
        <v>3.2148860291600911E-2</v>
      </c>
      <c r="BM87" s="38">
        <f t="shared" si="84"/>
        <v>5.0608021707036599E-2</v>
      </c>
      <c r="BN87" s="38">
        <f t="shared" si="85"/>
        <v>-7.2999976306160619E-3</v>
      </c>
      <c r="BO87" s="7"/>
      <c r="BX87" s="7"/>
      <c r="CN87" s="7"/>
      <c r="CO87" s="8"/>
      <c r="CP87" s="7"/>
      <c r="DG87" s="7"/>
      <c r="DO87" s="7"/>
      <c r="EE87" s="7"/>
      <c r="EF87" s="7"/>
      <c r="GH87" s="7"/>
      <c r="GJ87" s="9"/>
    </row>
    <row r="88" spans="1:192" x14ac:dyDescent="0.25">
      <c r="A88" s="7">
        <v>1956</v>
      </c>
      <c r="B88" s="8">
        <v>5396.7293691249261</v>
      </c>
      <c r="C88" s="8">
        <v>6422.455791197629</v>
      </c>
      <c r="D88" s="8">
        <v>1896.435994020115</v>
      </c>
      <c r="E88" s="8">
        <v>8651.9457148508864</v>
      </c>
      <c r="F88" s="8">
        <v>7438.7586978623622</v>
      </c>
      <c r="G88" s="8">
        <v>5295.3266226031719</v>
      </c>
      <c r="H88" s="8">
        <v>6448.4627270080837</v>
      </c>
      <c r="I88" s="8">
        <v>6176.6352299219698</v>
      </c>
      <c r="J88" s="8">
        <v>4858.8336297295646</v>
      </c>
      <c r="K88" s="8">
        <v>2947.8701055396045</v>
      </c>
      <c r="L88" s="8">
        <v>7498.5185067503098</v>
      </c>
      <c r="M88" s="8">
        <v>9000.1831712871881</v>
      </c>
      <c r="N88" s="8">
        <v>6575.1612223649645</v>
      </c>
      <c r="O88" s="8">
        <v>2564.070351758794</v>
      </c>
      <c r="P88" s="8">
        <v>2977.8754231613616</v>
      </c>
      <c r="Q88" s="8">
        <v>1311.8747203378712</v>
      </c>
      <c r="R88" s="8">
        <v>7701.9822282980176</v>
      </c>
      <c r="S88" s="8">
        <v>11439.048562933598</v>
      </c>
      <c r="T88" s="8">
        <v>7928.7472647702407</v>
      </c>
      <c r="U88" s="8">
        <v>10914.282161950941</v>
      </c>
      <c r="V88" s="8">
        <v>5360.1697575430362</v>
      </c>
      <c r="W88" s="7"/>
      <c r="X88" s="35">
        <f t="shared" si="44"/>
        <v>8.5935483766744785</v>
      </c>
      <c r="Y88" s="35">
        <f t="shared" si="45"/>
        <v>8.7675558455345204</v>
      </c>
      <c r="Z88" s="35">
        <f t="shared" si="46"/>
        <v>7.5477316110314083</v>
      </c>
      <c r="AA88" s="35">
        <f t="shared" si="47"/>
        <v>9.065539512764186</v>
      </c>
      <c r="AB88" s="35">
        <f t="shared" si="48"/>
        <v>8.9144592722223486</v>
      </c>
      <c r="AC88" s="35">
        <f t="shared" si="49"/>
        <v>8.574579941232809</v>
      </c>
      <c r="AD88" s="35">
        <f t="shared" si="50"/>
        <v>8.7715970444850946</v>
      </c>
      <c r="AE88" s="35">
        <f t="shared" si="51"/>
        <v>8.7285289410012528</v>
      </c>
      <c r="AF88" s="35">
        <f t="shared" si="52"/>
        <v>8.4885536942085942</v>
      </c>
      <c r="AG88" s="35">
        <f t="shared" si="53"/>
        <v>7.9888381904455308</v>
      </c>
      <c r="AH88" s="35">
        <f t="shared" si="54"/>
        <v>8.9224607475790094</v>
      </c>
      <c r="AI88" s="35">
        <f t="shared" si="55"/>
        <v>9.1050002084764934</v>
      </c>
      <c r="AJ88" s="35">
        <f t="shared" si="56"/>
        <v>8.7910543772571241</v>
      </c>
      <c r="AK88" s="35">
        <f t="shared" si="57"/>
        <v>7.8493512559475986</v>
      </c>
      <c r="AL88" s="35">
        <f t="shared" si="58"/>
        <v>7.9989653799852629</v>
      </c>
      <c r="AM88" s="35">
        <f t="shared" si="59"/>
        <v>7.1792124773974537</v>
      </c>
      <c r="AN88" s="35">
        <f t="shared" si="60"/>
        <v>8.9492330069582753</v>
      </c>
      <c r="AO88" s="35">
        <f t="shared" si="61"/>
        <v>9.3447880938994405</v>
      </c>
      <c r="AP88" s="35">
        <f t="shared" si="62"/>
        <v>8.9782503279718835</v>
      </c>
      <c r="AQ88" s="35">
        <f t="shared" si="63"/>
        <v>9.297827500623546</v>
      </c>
      <c r="AR88" s="35">
        <f t="shared" si="64"/>
        <v>8.5867509247467293</v>
      </c>
      <c r="AS88" s="38"/>
      <c r="AT88" s="38">
        <f t="shared" si="65"/>
        <v>6.5742884888694064E-2</v>
      </c>
      <c r="AU88" s="38">
        <f t="shared" si="66"/>
        <v>2.2395089176827199E-2</v>
      </c>
      <c r="AV88" s="38">
        <f t="shared" si="67"/>
        <v>-1.5335755534497508E-2</v>
      </c>
      <c r="AW88" s="38">
        <f t="shared" si="68"/>
        <v>5.34975164628122E-2</v>
      </c>
      <c r="AX88" s="38">
        <f t="shared" si="69"/>
        <v>5.8513093246439496E-3</v>
      </c>
      <c r="AY88" s="38">
        <f t="shared" si="70"/>
        <v>1.877835370274461E-2</v>
      </c>
      <c r="AZ88" s="38">
        <f t="shared" si="71"/>
        <v>3.9488004830943169E-2</v>
      </c>
      <c r="BA88" s="38">
        <f t="shared" si="72"/>
        <v>6.3437943090251636E-2</v>
      </c>
      <c r="BB88" s="38">
        <f t="shared" si="73"/>
        <v>3.8438520818743882E-2</v>
      </c>
      <c r="BC88" s="38">
        <f t="shared" si="74"/>
        <v>6.1965181195960284E-2</v>
      </c>
      <c r="BD88" s="38">
        <f t="shared" si="75"/>
        <v>2.3296988794738738E-2</v>
      </c>
      <c r="BE88" s="38">
        <f t="shared" si="76"/>
        <v>3.1002339435149295E-2</v>
      </c>
      <c r="BF88" s="38">
        <f t="shared" si="77"/>
        <v>4.2530611138472452E-2</v>
      </c>
      <c r="BG88" s="38">
        <f t="shared" si="78"/>
        <v>3.545714700286684E-2</v>
      </c>
      <c r="BH88" s="38">
        <f t="shared" si="79"/>
        <v>6.9361899907297797E-2</v>
      </c>
      <c r="BI88" s="38">
        <f t="shared" si="80"/>
        <v>-1.8748895411676791E-2</v>
      </c>
      <c r="BJ88" s="38">
        <f t="shared" si="81"/>
        <v>2.9516697236282141E-2</v>
      </c>
      <c r="BK88" s="38">
        <f t="shared" si="82"/>
        <v>5.1314336560214002E-2</v>
      </c>
      <c r="BL88" s="38">
        <f t="shared" si="83"/>
        <v>7.6740047460663874E-3</v>
      </c>
      <c r="BM88" s="38">
        <f t="shared" si="84"/>
        <v>1.5980321463295866E-3</v>
      </c>
      <c r="BN88" s="38">
        <f t="shared" si="85"/>
        <v>1.6034483708722291E-3</v>
      </c>
      <c r="BO88" s="7"/>
      <c r="BX88" s="7"/>
      <c r="CN88" s="7"/>
      <c r="CO88" s="8"/>
      <c r="CP88" s="7"/>
      <c r="DG88" s="7"/>
      <c r="DO88" s="7"/>
      <c r="EE88" s="7"/>
      <c r="EF88" s="7"/>
      <c r="GH88" s="7"/>
      <c r="GJ88" s="9"/>
    </row>
    <row r="89" spans="1:192" x14ac:dyDescent="0.25">
      <c r="A89" s="7">
        <v>1957</v>
      </c>
      <c r="B89" s="8">
        <v>5716.1642639961183</v>
      </c>
      <c r="C89" s="8">
        <v>6494.6355651854774</v>
      </c>
      <c r="D89" s="8">
        <v>1994.121508523471</v>
      </c>
      <c r="E89" s="8">
        <v>8606.7415968132918</v>
      </c>
      <c r="F89" s="8">
        <v>7965.0949423006341</v>
      </c>
      <c r="G89" s="8">
        <v>5490.0555041628122</v>
      </c>
      <c r="H89" s="8">
        <v>6761.7824238128987</v>
      </c>
      <c r="I89" s="8">
        <v>6492.2140840793054</v>
      </c>
      <c r="J89" s="8">
        <v>5118.3766418608429</v>
      </c>
      <c r="K89" s="8">
        <v>3135.873352523834</v>
      </c>
      <c r="L89" s="8">
        <v>7613.557410440033</v>
      </c>
      <c r="M89" s="8">
        <v>9045.0061384036198</v>
      </c>
      <c r="N89" s="8">
        <v>6711.4864405250319</v>
      </c>
      <c r="O89" s="8">
        <v>2658.871694839328</v>
      </c>
      <c r="P89" s="8">
        <v>3046.1154011307831</v>
      </c>
      <c r="Q89" s="8">
        <v>1297.0552725422503</v>
      </c>
      <c r="R89" s="8">
        <v>7897.0668115154804</v>
      </c>
      <c r="S89" s="8">
        <v>11705.423332032775</v>
      </c>
      <c r="T89" s="8">
        <v>8017.0134162939921</v>
      </c>
      <c r="U89" s="8">
        <v>10919.986742952833</v>
      </c>
      <c r="V89" s="8">
        <v>5332.8736692043049</v>
      </c>
      <c r="W89" s="7"/>
      <c r="X89" s="35">
        <f t="shared" si="44"/>
        <v>8.6510532762148884</v>
      </c>
      <c r="Y89" s="35">
        <f t="shared" si="45"/>
        <v>8.7787318174743483</v>
      </c>
      <c r="Z89" s="35">
        <f t="shared" si="46"/>
        <v>7.5979588857381497</v>
      </c>
      <c r="AA89" s="35">
        <f t="shared" si="47"/>
        <v>9.0603010817534901</v>
      </c>
      <c r="AB89" s="35">
        <f t="shared" si="48"/>
        <v>8.9828241422104114</v>
      </c>
      <c r="AC89" s="35">
        <f t="shared" si="49"/>
        <v>8.6106936445003406</v>
      </c>
      <c r="AD89" s="35">
        <f t="shared" si="50"/>
        <v>8.8190418064432858</v>
      </c>
      <c r="AE89" s="35">
        <f t="shared" si="51"/>
        <v>8.7783589046895489</v>
      </c>
      <c r="AF89" s="35">
        <f t="shared" si="52"/>
        <v>8.540592605622173</v>
      </c>
      <c r="AG89" s="35">
        <f t="shared" si="53"/>
        <v>8.050662995617758</v>
      </c>
      <c r="AH89" s="35">
        <f t="shared" si="54"/>
        <v>8.9376858068631186</v>
      </c>
      <c r="AI89" s="35">
        <f t="shared" si="55"/>
        <v>9.1099680764807545</v>
      </c>
      <c r="AJ89" s="35">
        <f t="shared" si="56"/>
        <v>8.8115757315911534</v>
      </c>
      <c r="AK89" s="35">
        <f t="shared" si="57"/>
        <v>7.8856571369157029</v>
      </c>
      <c r="AL89" s="35">
        <f t="shared" si="58"/>
        <v>8.0216224188604865</v>
      </c>
      <c r="AM89" s="35">
        <f t="shared" si="59"/>
        <v>7.1678517990925004</v>
      </c>
      <c r="AN89" s="35">
        <f t="shared" si="60"/>
        <v>8.9742466798284486</v>
      </c>
      <c r="AO89" s="35">
        <f t="shared" si="61"/>
        <v>9.3678075460401491</v>
      </c>
      <c r="AP89" s="35">
        <f t="shared" si="62"/>
        <v>8.9893212395221536</v>
      </c>
      <c r="AQ89" s="35">
        <f t="shared" si="63"/>
        <v>9.2983500352828514</v>
      </c>
      <c r="AR89" s="35">
        <f t="shared" si="64"/>
        <v>8.5816455218153003</v>
      </c>
      <c r="AS89" s="38"/>
      <c r="AT89" s="38">
        <f t="shared" si="65"/>
        <v>5.7504899540409937E-2</v>
      </c>
      <c r="AU89" s="38">
        <f t="shared" si="66"/>
        <v>1.1175971939827889E-2</v>
      </c>
      <c r="AV89" s="38">
        <f t="shared" si="67"/>
        <v>5.0227274706741376E-2</v>
      </c>
      <c r="AW89" s="38">
        <f t="shared" si="68"/>
        <v>-5.2384310106958765E-3</v>
      </c>
      <c r="AX89" s="38">
        <f t="shared" si="69"/>
        <v>6.8364869988062793E-2</v>
      </c>
      <c r="AY89" s="38">
        <f t="shared" si="70"/>
        <v>3.6113703267531605E-2</v>
      </c>
      <c r="AZ89" s="38">
        <f t="shared" si="71"/>
        <v>4.7444761958191251E-2</v>
      </c>
      <c r="BA89" s="38">
        <f t="shared" si="72"/>
        <v>4.9829963688296175E-2</v>
      </c>
      <c r="BB89" s="38">
        <f t="shared" si="73"/>
        <v>5.2038911413578859E-2</v>
      </c>
      <c r="BC89" s="38">
        <f t="shared" si="74"/>
        <v>6.1824805172227215E-2</v>
      </c>
      <c r="BD89" s="38">
        <f t="shared" si="75"/>
        <v>1.5225059284109221E-2</v>
      </c>
      <c r="BE89" s="38">
        <f t="shared" si="76"/>
        <v>4.9678680042610779E-3</v>
      </c>
      <c r="BF89" s="38">
        <f t="shared" si="77"/>
        <v>2.052135433402924E-2</v>
      </c>
      <c r="BG89" s="38">
        <f t="shared" si="78"/>
        <v>3.6305880968104276E-2</v>
      </c>
      <c r="BH89" s="38">
        <f t="shared" si="79"/>
        <v>2.2657038875223634E-2</v>
      </c>
      <c r="BI89" s="38">
        <f t="shared" si="80"/>
        <v>-1.1360678304953353E-2</v>
      </c>
      <c r="BJ89" s="38">
        <f t="shared" si="81"/>
        <v>2.5013672870173309E-2</v>
      </c>
      <c r="BK89" s="38">
        <f t="shared" si="82"/>
        <v>2.3019452140708552E-2</v>
      </c>
      <c r="BL89" s="38">
        <f t="shared" si="83"/>
        <v>1.1070911550270068E-2</v>
      </c>
      <c r="BM89" s="38">
        <f t="shared" si="84"/>
        <v>5.2253465930540699E-4</v>
      </c>
      <c r="BN89" s="38">
        <f t="shared" si="85"/>
        <v>-5.1054029314290261E-3</v>
      </c>
      <c r="BO89" s="7"/>
      <c r="BX89" s="7"/>
      <c r="CN89" s="7"/>
      <c r="CO89" s="8"/>
      <c r="CP89" s="7"/>
      <c r="DG89" s="7"/>
      <c r="DO89" s="7"/>
      <c r="EE89" s="7"/>
      <c r="EF89" s="7"/>
      <c r="GH89" s="7"/>
      <c r="GJ89" s="9"/>
    </row>
    <row r="90" spans="1:192" x14ac:dyDescent="0.25">
      <c r="A90" s="7">
        <v>1958</v>
      </c>
      <c r="B90" s="8">
        <v>5906.6674413991668</v>
      </c>
      <c r="C90" s="8">
        <v>6441.8300514973034</v>
      </c>
      <c r="D90" s="8">
        <v>2111.2130412038887</v>
      </c>
      <c r="E90" s="8">
        <v>8534.0147671481463</v>
      </c>
      <c r="F90" s="8">
        <v>8095.2229082117647</v>
      </c>
      <c r="G90" s="8">
        <v>5474.3336850314236</v>
      </c>
      <c r="H90" s="8">
        <v>6855.171507425418</v>
      </c>
      <c r="I90" s="8">
        <v>6736.7652607458804</v>
      </c>
      <c r="J90" s="8">
        <v>5360.0129355647186</v>
      </c>
      <c r="K90" s="8">
        <v>3288.895321608994</v>
      </c>
      <c r="L90" s="8">
        <v>7482.0716241130785</v>
      </c>
      <c r="M90" s="8">
        <v>9185.4906328332745</v>
      </c>
      <c r="N90" s="8">
        <v>6652.3250367383935</v>
      </c>
      <c r="O90" s="8">
        <v>2672.3143819858133</v>
      </c>
      <c r="P90" s="8">
        <v>3149.8175723874442</v>
      </c>
      <c r="Q90" s="8">
        <v>1301.0562586994956</v>
      </c>
      <c r="R90" s="8">
        <v>8044.9453367525975</v>
      </c>
      <c r="S90" s="8">
        <v>11296.787843816119</v>
      </c>
      <c r="T90" s="8">
        <v>7965.8096491907381</v>
      </c>
      <c r="U90" s="8">
        <v>10630.528013174597</v>
      </c>
      <c r="V90" s="8">
        <v>5402.3494448691699</v>
      </c>
      <c r="W90" s="7"/>
      <c r="X90" s="35">
        <f t="shared" si="44"/>
        <v>8.6838370666533411</v>
      </c>
      <c r="Y90" s="35">
        <f t="shared" si="45"/>
        <v>8.7705679482170567</v>
      </c>
      <c r="Z90" s="35">
        <f t="shared" si="46"/>
        <v>7.6550179623223134</v>
      </c>
      <c r="AA90" s="35">
        <f t="shared" si="47"/>
        <v>9.0518151941364344</v>
      </c>
      <c r="AB90" s="35">
        <f t="shared" si="48"/>
        <v>8.9990294022627868</v>
      </c>
      <c r="AC90" s="35">
        <f t="shared" si="49"/>
        <v>8.6078258459143662</v>
      </c>
      <c r="AD90" s="35">
        <f t="shared" si="50"/>
        <v>8.8327586110015144</v>
      </c>
      <c r="AE90" s="35">
        <f t="shared" si="51"/>
        <v>8.8153351570622238</v>
      </c>
      <c r="AF90" s="35">
        <f t="shared" si="52"/>
        <v>8.5867216674135616</v>
      </c>
      <c r="AG90" s="35">
        <f t="shared" si="53"/>
        <v>8.0983070188686455</v>
      </c>
      <c r="AH90" s="35">
        <f t="shared" si="54"/>
        <v>8.9202649877188716</v>
      </c>
      <c r="AI90" s="35">
        <f t="shared" si="55"/>
        <v>9.1253804129709177</v>
      </c>
      <c r="AJ90" s="35">
        <f t="shared" si="56"/>
        <v>8.8027217021284407</v>
      </c>
      <c r="AK90" s="35">
        <f t="shared" si="57"/>
        <v>7.8907001856642074</v>
      </c>
      <c r="AL90" s="35">
        <f t="shared" si="58"/>
        <v>8.0550998166148293</v>
      </c>
      <c r="AM90" s="35">
        <f t="shared" si="59"/>
        <v>7.1709317202366734</v>
      </c>
      <c r="AN90" s="35">
        <f t="shared" si="60"/>
        <v>8.9927992647175827</v>
      </c>
      <c r="AO90" s="35">
        <f t="shared" si="61"/>
        <v>9.332273702681249</v>
      </c>
      <c r="AP90" s="35">
        <f t="shared" si="62"/>
        <v>8.9829138680494545</v>
      </c>
      <c r="AQ90" s="35">
        <f t="shared" si="63"/>
        <v>9.2714851420849396</v>
      </c>
      <c r="AR90" s="35">
        <f t="shared" si="64"/>
        <v>8.5945892203146492</v>
      </c>
      <c r="AS90" s="38"/>
      <c r="AT90" s="38">
        <f t="shared" si="65"/>
        <v>3.2783790438452698E-2</v>
      </c>
      <c r="AU90" s="38">
        <f t="shared" si="66"/>
        <v>-8.1638692572916227E-3</v>
      </c>
      <c r="AV90" s="38">
        <f t="shared" si="67"/>
        <v>5.7059076584163648E-2</v>
      </c>
      <c r="AW90" s="38">
        <f t="shared" si="68"/>
        <v>-8.4858876170557096E-3</v>
      </c>
      <c r="AX90" s="38">
        <f t="shared" si="69"/>
        <v>1.6205260052375436E-2</v>
      </c>
      <c r="AY90" s="38">
        <f t="shared" si="70"/>
        <v>-2.8677985859744126E-3</v>
      </c>
      <c r="AZ90" s="38">
        <f t="shared" si="71"/>
        <v>1.3716804558228546E-2</v>
      </c>
      <c r="BA90" s="38">
        <f t="shared" si="72"/>
        <v>3.6976252372674878E-2</v>
      </c>
      <c r="BB90" s="38">
        <f t="shared" si="73"/>
        <v>4.6129061791388537E-2</v>
      </c>
      <c r="BC90" s="38">
        <f t="shared" si="74"/>
        <v>4.7644023250887457E-2</v>
      </c>
      <c r="BD90" s="38">
        <f t="shared" si="75"/>
        <v>-1.7420819144247091E-2</v>
      </c>
      <c r="BE90" s="38">
        <f t="shared" si="76"/>
        <v>1.541233649016327E-2</v>
      </c>
      <c r="BF90" s="38">
        <f t="shared" si="77"/>
        <v>-8.8540294627126315E-3</v>
      </c>
      <c r="BG90" s="38">
        <f t="shared" si="78"/>
        <v>5.043048748504475E-3</v>
      </c>
      <c r="BH90" s="38">
        <f t="shared" si="79"/>
        <v>3.3477397754342775E-2</v>
      </c>
      <c r="BI90" s="38">
        <f t="shared" si="80"/>
        <v>3.0799211441729923E-3</v>
      </c>
      <c r="BJ90" s="38">
        <f t="shared" si="81"/>
        <v>1.8552584889134138E-2</v>
      </c>
      <c r="BK90" s="38">
        <f t="shared" si="82"/>
        <v>-3.5533843358900086E-2</v>
      </c>
      <c r="BL90" s="38">
        <f t="shared" si="83"/>
        <v>-6.4073714726990971E-3</v>
      </c>
      <c r="BM90" s="38">
        <f t="shared" si="84"/>
        <v>-2.6864893197911854E-2</v>
      </c>
      <c r="BN90" s="38">
        <f t="shared" si="85"/>
        <v>1.2943698499348955E-2</v>
      </c>
      <c r="BO90" s="7"/>
      <c r="BX90" s="7"/>
      <c r="CN90" s="7"/>
      <c r="CO90" s="8"/>
      <c r="CP90" s="7"/>
      <c r="DG90" s="7"/>
      <c r="DO90" s="7"/>
      <c r="EE90" s="7"/>
      <c r="EF90" s="7"/>
      <c r="GH90" s="7"/>
      <c r="GJ90" s="9"/>
    </row>
    <row r="91" spans="1:192" x14ac:dyDescent="0.25">
      <c r="A91" s="7">
        <v>1959</v>
      </c>
      <c r="B91" s="8">
        <v>6051.1829282079789</v>
      </c>
      <c r="C91" s="8">
        <v>6608.2810681205474</v>
      </c>
      <c r="D91" s="8">
        <v>2221.0013151993194</v>
      </c>
      <c r="E91" s="8">
        <v>8676.2368513846832</v>
      </c>
      <c r="F91" s="8">
        <v>8637.1550306644294</v>
      </c>
      <c r="G91" s="8">
        <v>5753.5212870048017</v>
      </c>
      <c r="H91" s="8">
        <v>6978.7769082356008</v>
      </c>
      <c r="I91" s="8">
        <v>7176.6886296168595</v>
      </c>
      <c r="J91" s="8">
        <v>5653.1345320276123</v>
      </c>
      <c r="K91" s="8">
        <v>3553.9357364985972</v>
      </c>
      <c r="L91" s="8">
        <v>7736.675444116614</v>
      </c>
      <c r="M91" s="8">
        <v>9630.1266085601692</v>
      </c>
      <c r="N91" s="8">
        <v>6874.4778522308707</v>
      </c>
      <c r="O91" s="8">
        <v>2794.0479046593505</v>
      </c>
      <c r="P91" s="8">
        <v>3050.4518883739597</v>
      </c>
      <c r="Q91" s="8">
        <v>1284.8059481380326</v>
      </c>
      <c r="R91" s="8">
        <v>8356.0300832661833</v>
      </c>
      <c r="S91" s="8">
        <v>11870.127400646512</v>
      </c>
      <c r="T91" s="8">
        <v>8239.7990607437059</v>
      </c>
      <c r="U91" s="8">
        <v>11230.16926277906</v>
      </c>
      <c r="V91" s="8">
        <v>4859.6765880220692</v>
      </c>
      <c r="W91" s="7"/>
      <c r="X91" s="35">
        <f t="shared" si="44"/>
        <v>8.7080090572359357</v>
      </c>
      <c r="Y91" s="35">
        <f t="shared" si="45"/>
        <v>8.7960788488181212</v>
      </c>
      <c r="Z91" s="35">
        <f t="shared" si="46"/>
        <v>7.7057134160596368</v>
      </c>
      <c r="AA91" s="35">
        <f t="shared" si="47"/>
        <v>9.0683431711804872</v>
      </c>
      <c r="AB91" s="35">
        <f t="shared" si="48"/>
        <v>9.0638285287156304</v>
      </c>
      <c r="AC91" s="35">
        <f t="shared" si="49"/>
        <v>8.6575673440923868</v>
      </c>
      <c r="AD91" s="35">
        <f t="shared" si="50"/>
        <v>8.8506289523557147</v>
      </c>
      <c r="AE91" s="35">
        <f t="shared" si="51"/>
        <v>8.8785933620130937</v>
      </c>
      <c r="AF91" s="35">
        <f t="shared" si="52"/>
        <v>8.6399654547341651</v>
      </c>
      <c r="AG91" s="35">
        <f t="shared" si="53"/>
        <v>8.1758109265304615</v>
      </c>
      <c r="AH91" s="35">
        <f t="shared" si="54"/>
        <v>8.9537273451257882</v>
      </c>
      <c r="AI91" s="35">
        <f t="shared" si="55"/>
        <v>9.1726516520120978</v>
      </c>
      <c r="AJ91" s="35">
        <f t="shared" si="56"/>
        <v>8.835570970884099</v>
      </c>
      <c r="AK91" s="35">
        <f t="shared" si="57"/>
        <v>7.9352466852172938</v>
      </c>
      <c r="AL91" s="35">
        <f t="shared" si="58"/>
        <v>8.0230450187494409</v>
      </c>
      <c r="AM91" s="35">
        <f t="shared" si="59"/>
        <v>7.1583629728035367</v>
      </c>
      <c r="AN91" s="35">
        <f t="shared" si="60"/>
        <v>9.0307387228693745</v>
      </c>
      <c r="AO91" s="35">
        <f t="shared" si="61"/>
        <v>9.381780220540767</v>
      </c>
      <c r="AP91" s="35">
        <f t="shared" si="62"/>
        <v>9.0167312367741044</v>
      </c>
      <c r="AQ91" s="35">
        <f t="shared" si="63"/>
        <v>9.3263591199945974</v>
      </c>
      <c r="AR91" s="35">
        <f t="shared" si="64"/>
        <v>8.4887271690058057</v>
      </c>
      <c r="AS91" s="38"/>
      <c r="AT91" s="38">
        <f t="shared" si="65"/>
        <v>2.417199058259456E-2</v>
      </c>
      <c r="AU91" s="38">
        <f t="shared" si="66"/>
        <v>2.5510900601064534E-2</v>
      </c>
      <c r="AV91" s="38">
        <f t="shared" si="67"/>
        <v>5.0695453737323426E-2</v>
      </c>
      <c r="AW91" s="38">
        <f t="shared" si="68"/>
        <v>1.6527977044052733E-2</v>
      </c>
      <c r="AX91" s="38">
        <f t="shared" si="69"/>
        <v>6.4799126452843581E-2</v>
      </c>
      <c r="AY91" s="38">
        <f t="shared" si="70"/>
        <v>4.9741498178020649E-2</v>
      </c>
      <c r="AZ91" s="38">
        <f t="shared" si="71"/>
        <v>1.7870341354200292E-2</v>
      </c>
      <c r="BA91" s="38">
        <f t="shared" si="72"/>
        <v>6.3258204950869867E-2</v>
      </c>
      <c r="BB91" s="38">
        <f t="shared" si="73"/>
        <v>5.3243787320603531E-2</v>
      </c>
      <c r="BC91" s="38">
        <f t="shared" si="74"/>
        <v>7.7503907661816029E-2</v>
      </c>
      <c r="BD91" s="38">
        <f t="shared" si="75"/>
        <v>3.346235740691661E-2</v>
      </c>
      <c r="BE91" s="38">
        <f t="shared" si="76"/>
        <v>4.7271239041180024E-2</v>
      </c>
      <c r="BF91" s="38">
        <f t="shared" si="77"/>
        <v>3.2849268755658301E-2</v>
      </c>
      <c r="BG91" s="38">
        <f t="shared" si="78"/>
        <v>4.4546499553086427E-2</v>
      </c>
      <c r="BH91" s="38">
        <f t="shared" si="79"/>
        <v>-3.2054797865388451E-2</v>
      </c>
      <c r="BI91" s="38">
        <f t="shared" si="80"/>
        <v>-1.2568747433136629E-2</v>
      </c>
      <c r="BJ91" s="38">
        <f t="shared" si="81"/>
        <v>3.7939458151791783E-2</v>
      </c>
      <c r="BK91" s="38">
        <f t="shared" si="82"/>
        <v>4.9506517859517984E-2</v>
      </c>
      <c r="BL91" s="38">
        <f t="shared" si="83"/>
        <v>3.381736872464991E-2</v>
      </c>
      <c r="BM91" s="38">
        <f t="shared" si="84"/>
        <v>5.4873977909657867E-2</v>
      </c>
      <c r="BN91" s="38">
        <f t="shared" si="85"/>
        <v>-0.10586205130884352</v>
      </c>
      <c r="BO91" s="7"/>
      <c r="BX91" s="7"/>
      <c r="CN91" s="7"/>
      <c r="CO91" s="8"/>
      <c r="CP91" s="7"/>
      <c r="DG91" s="7"/>
      <c r="DO91" s="7"/>
      <c r="EE91" s="7"/>
      <c r="EF91" s="7"/>
      <c r="GH91" s="7"/>
      <c r="GJ91" s="9"/>
    </row>
    <row r="92" spans="1:192" x14ac:dyDescent="0.25">
      <c r="A92" s="7">
        <v>1960</v>
      </c>
      <c r="B92" s="8">
        <v>6518.5400025569579</v>
      </c>
      <c r="C92" s="8">
        <v>6952.0874686084635</v>
      </c>
      <c r="D92" s="8">
        <v>2334.8552008157912</v>
      </c>
      <c r="E92" s="8">
        <v>8752.5076279242676</v>
      </c>
      <c r="F92" s="8">
        <v>8811.831477843265</v>
      </c>
      <c r="G92" s="8">
        <v>6230.3594003973267</v>
      </c>
      <c r="H92" s="8">
        <v>7397.5828610681774</v>
      </c>
      <c r="I92" s="8">
        <v>7705.2332250597037</v>
      </c>
      <c r="J92" s="8">
        <v>5916.2390233796041</v>
      </c>
      <c r="K92" s="8">
        <v>3986.4328857788614</v>
      </c>
      <c r="L92" s="8">
        <v>8286.6097858262237</v>
      </c>
      <c r="M92" s="8">
        <v>9465.1788176305545</v>
      </c>
      <c r="N92" s="8">
        <v>7203.72173741814</v>
      </c>
      <c r="O92" s="8">
        <v>2955.8356479688382</v>
      </c>
      <c r="P92" s="8">
        <v>3071.6499331439081</v>
      </c>
      <c r="Q92" s="8">
        <v>1295.3058201809674</v>
      </c>
      <c r="R92" s="8">
        <v>8791.9786096256685</v>
      </c>
      <c r="S92" s="8">
        <v>12456.732562476687</v>
      </c>
      <c r="T92" s="8">
        <v>8645.2302757198504</v>
      </c>
      <c r="U92" s="8">
        <v>11328.475516269904</v>
      </c>
      <c r="V92" s="8">
        <v>4960.1555767771151</v>
      </c>
      <c r="W92" s="7"/>
      <c r="X92" s="35">
        <f t="shared" si="44"/>
        <v>8.782405703857334</v>
      </c>
      <c r="Y92" s="35">
        <f t="shared" si="45"/>
        <v>8.8467972486567081</v>
      </c>
      <c r="Z92" s="35">
        <f t="shared" si="46"/>
        <v>7.7557051556815528</v>
      </c>
      <c r="AA92" s="35">
        <f t="shared" si="47"/>
        <v>9.0770955243422105</v>
      </c>
      <c r="AB92" s="35">
        <f t="shared" si="48"/>
        <v>9.0838505835726906</v>
      </c>
      <c r="AC92" s="35">
        <f t="shared" si="49"/>
        <v>8.7371892987848785</v>
      </c>
      <c r="AD92" s="35">
        <f t="shared" si="50"/>
        <v>8.9089085854374748</v>
      </c>
      <c r="AE92" s="35">
        <f t="shared" si="51"/>
        <v>8.9496550166095048</v>
      </c>
      <c r="AF92" s="35">
        <f t="shared" si="52"/>
        <v>8.6854562258846322</v>
      </c>
      <c r="AG92" s="35">
        <f t="shared" si="53"/>
        <v>8.2906520964261592</v>
      </c>
      <c r="AH92" s="35">
        <f t="shared" si="54"/>
        <v>9.0223962122329961</v>
      </c>
      <c r="AI92" s="35">
        <f t="shared" si="55"/>
        <v>9.1553749559774342</v>
      </c>
      <c r="AJ92" s="35">
        <f t="shared" si="56"/>
        <v>8.8823530794279808</v>
      </c>
      <c r="AK92" s="35">
        <f t="shared" si="57"/>
        <v>7.9915366810531143</v>
      </c>
      <c r="AL92" s="35">
        <f t="shared" si="58"/>
        <v>8.0299701337195888</v>
      </c>
      <c r="AM92" s="35">
        <f t="shared" si="59"/>
        <v>7.1665021008334326</v>
      </c>
      <c r="AN92" s="35">
        <f t="shared" si="60"/>
        <v>9.0815950631443823</v>
      </c>
      <c r="AO92" s="35">
        <f t="shared" si="61"/>
        <v>9.4300165238009086</v>
      </c>
      <c r="AP92" s="35">
        <f t="shared" si="62"/>
        <v>9.0647630346301717</v>
      </c>
      <c r="AQ92" s="35">
        <f t="shared" si="63"/>
        <v>9.3350747921243364</v>
      </c>
      <c r="AR92" s="35">
        <f t="shared" si="64"/>
        <v>8.5091923855127707</v>
      </c>
      <c r="AS92" s="38"/>
      <c r="AT92" s="38">
        <f t="shared" si="65"/>
        <v>7.4396646621398332E-2</v>
      </c>
      <c r="AU92" s="38">
        <f t="shared" si="66"/>
        <v>5.0718399838586947E-2</v>
      </c>
      <c r="AV92" s="38">
        <f t="shared" si="67"/>
        <v>4.9991739621916054E-2</v>
      </c>
      <c r="AW92" s="38">
        <f t="shared" si="68"/>
        <v>8.7523531617232919E-3</v>
      </c>
      <c r="AX92" s="38">
        <f t="shared" si="69"/>
        <v>2.0022054857060212E-2</v>
      </c>
      <c r="AY92" s="38">
        <f t="shared" si="70"/>
        <v>7.962195469249167E-2</v>
      </c>
      <c r="AZ92" s="38">
        <f t="shared" si="71"/>
        <v>5.8279633081760096E-2</v>
      </c>
      <c r="BA92" s="38">
        <f t="shared" si="72"/>
        <v>7.1061654596411117E-2</v>
      </c>
      <c r="BB92" s="38">
        <f t="shared" si="73"/>
        <v>4.5490771150467069E-2</v>
      </c>
      <c r="BC92" s="38">
        <f t="shared" si="74"/>
        <v>0.1148411698956977</v>
      </c>
      <c r="BD92" s="38">
        <f t="shared" si="75"/>
        <v>6.8668867107207987E-2</v>
      </c>
      <c r="BE92" s="38">
        <f t="shared" si="76"/>
        <v>-1.727669603466353E-2</v>
      </c>
      <c r="BF92" s="38">
        <f t="shared" si="77"/>
        <v>4.6782108543881762E-2</v>
      </c>
      <c r="BG92" s="38">
        <f t="shared" si="78"/>
        <v>5.6289995835820505E-2</v>
      </c>
      <c r="BH92" s="38">
        <f t="shared" si="79"/>
        <v>6.9251149701479164E-3</v>
      </c>
      <c r="BI92" s="38">
        <f t="shared" si="80"/>
        <v>8.1391280298959146E-3</v>
      </c>
      <c r="BJ92" s="38">
        <f t="shared" si="81"/>
        <v>5.0856340275007739E-2</v>
      </c>
      <c r="BK92" s="38">
        <f t="shared" si="82"/>
        <v>4.8236303260141611E-2</v>
      </c>
      <c r="BL92" s="38">
        <f t="shared" si="83"/>
        <v>4.8031797856067371E-2</v>
      </c>
      <c r="BM92" s="38">
        <f t="shared" si="84"/>
        <v>8.715672129739005E-3</v>
      </c>
      <c r="BN92" s="38">
        <f t="shared" si="85"/>
        <v>2.0465216506964978E-2</v>
      </c>
      <c r="BO92" s="7"/>
      <c r="BX92" s="7"/>
      <c r="CN92" s="7"/>
      <c r="CO92" s="8"/>
      <c r="CP92" s="7"/>
      <c r="DG92" s="7"/>
      <c r="DO92" s="7"/>
      <c r="EE92" s="7"/>
      <c r="EF92" s="7"/>
      <c r="GH92" s="7"/>
      <c r="GJ92" s="9"/>
    </row>
    <row r="93" spans="1:192" x14ac:dyDescent="0.25">
      <c r="A93" s="7">
        <v>1961</v>
      </c>
      <c r="B93" s="8">
        <v>6826.9769593408355</v>
      </c>
      <c r="C93" s="8">
        <v>7252.8311767658042</v>
      </c>
      <c r="D93" s="8">
        <v>2437.2738322001751</v>
      </c>
      <c r="E93" s="8">
        <v>8832.7450041929224</v>
      </c>
      <c r="F93" s="8">
        <v>9311.8663929609356</v>
      </c>
      <c r="G93" s="8">
        <v>6657.9182623463239</v>
      </c>
      <c r="H93" s="8">
        <v>7718.4264131726368</v>
      </c>
      <c r="I93" s="8">
        <v>7952.160374714721</v>
      </c>
      <c r="J93" s="8">
        <v>6373.1513443329013</v>
      </c>
      <c r="K93" s="8">
        <v>4426.2842242052848</v>
      </c>
      <c r="L93" s="8">
        <v>8201.5081908111333</v>
      </c>
      <c r="M93" s="8">
        <v>9744.9073978910164</v>
      </c>
      <c r="N93" s="8">
        <v>7594.6625054386104</v>
      </c>
      <c r="O93" s="8">
        <v>3119.1868190273717</v>
      </c>
      <c r="P93" s="8">
        <v>3436.0394842151604</v>
      </c>
      <c r="Q93" s="8">
        <v>1285.8921809237738</v>
      </c>
      <c r="R93" s="8">
        <v>9236.968085106384</v>
      </c>
      <c r="S93" s="8">
        <v>13098.693759071119</v>
      </c>
      <c r="T93" s="8">
        <v>8856.6667297896111</v>
      </c>
      <c r="U93" s="8">
        <v>11401.734434457867</v>
      </c>
      <c r="V93" s="8">
        <v>5036.2860666652632</v>
      </c>
      <c r="W93" s="7"/>
      <c r="X93" s="35">
        <f t="shared" si="44"/>
        <v>8.8286372424808199</v>
      </c>
      <c r="Y93" s="35">
        <f t="shared" si="45"/>
        <v>8.8891471787607621</v>
      </c>
      <c r="Z93" s="35">
        <f t="shared" si="46"/>
        <v>7.7986354117773704</v>
      </c>
      <c r="AA93" s="35">
        <f t="shared" si="47"/>
        <v>9.0862211177891918</v>
      </c>
      <c r="AB93" s="35">
        <f t="shared" si="48"/>
        <v>9.1390448220333376</v>
      </c>
      <c r="AC93" s="35">
        <f t="shared" si="49"/>
        <v>8.8035621414519714</v>
      </c>
      <c r="AD93" s="35">
        <f t="shared" si="50"/>
        <v>8.9513657897515646</v>
      </c>
      <c r="AE93" s="35">
        <f t="shared" si="51"/>
        <v>8.9811989159794603</v>
      </c>
      <c r="AF93" s="35">
        <f t="shared" si="52"/>
        <v>8.7598493427701065</v>
      </c>
      <c r="AG93" s="35">
        <f t="shared" si="53"/>
        <v>8.3953157354956929</v>
      </c>
      <c r="AH93" s="35">
        <f t="shared" si="54"/>
        <v>9.01207334204876</v>
      </c>
      <c r="AI93" s="35">
        <f t="shared" si="55"/>
        <v>9.1845001093712177</v>
      </c>
      <c r="AJ93" s="35">
        <f t="shared" si="56"/>
        <v>8.9352009776289343</v>
      </c>
      <c r="AK93" s="35">
        <f t="shared" si="57"/>
        <v>8.0453276119052184</v>
      </c>
      <c r="AL93" s="35">
        <f t="shared" si="58"/>
        <v>8.1420747743696573</v>
      </c>
      <c r="AM93" s="35">
        <f t="shared" si="59"/>
        <v>7.159208060632487</v>
      </c>
      <c r="AN93" s="35">
        <f t="shared" si="60"/>
        <v>9.1309689814720354</v>
      </c>
      <c r="AO93" s="35">
        <f t="shared" si="61"/>
        <v>9.4802677911695596</v>
      </c>
      <c r="AP93" s="35">
        <f t="shared" si="62"/>
        <v>9.0889257572129161</v>
      </c>
      <c r="AQ93" s="35">
        <f t="shared" si="63"/>
        <v>9.3415207661834554</v>
      </c>
      <c r="AR93" s="35">
        <f t="shared" si="64"/>
        <v>8.5244241978927242</v>
      </c>
      <c r="AS93" s="38"/>
      <c r="AT93" s="38">
        <f t="shared" si="65"/>
        <v>4.6231538623485946E-2</v>
      </c>
      <c r="AU93" s="38">
        <f t="shared" si="66"/>
        <v>4.2349930104053968E-2</v>
      </c>
      <c r="AV93" s="38">
        <f t="shared" si="67"/>
        <v>4.2930256095817576E-2</v>
      </c>
      <c r="AW93" s="38">
        <f t="shared" si="68"/>
        <v>9.1255934469813837E-3</v>
      </c>
      <c r="AX93" s="38">
        <f t="shared" si="69"/>
        <v>5.5194238460646972E-2</v>
      </c>
      <c r="AY93" s="38">
        <f t="shared" si="70"/>
        <v>6.6372842667092868E-2</v>
      </c>
      <c r="AZ93" s="38">
        <f t="shared" si="71"/>
        <v>4.2457204314089836E-2</v>
      </c>
      <c r="BA93" s="38">
        <f t="shared" si="72"/>
        <v>3.1543899369955497E-2</v>
      </c>
      <c r="BB93" s="38">
        <f t="shared" si="73"/>
        <v>7.4393116885474342E-2</v>
      </c>
      <c r="BC93" s="38">
        <f t="shared" si="74"/>
        <v>0.10466363906953369</v>
      </c>
      <c r="BD93" s="38">
        <f t="shared" si="75"/>
        <v>-1.0322870184236166E-2</v>
      </c>
      <c r="BE93" s="38">
        <f t="shared" si="76"/>
        <v>2.9125153393783521E-2</v>
      </c>
      <c r="BF93" s="38">
        <f t="shared" si="77"/>
        <v>5.284789820095348E-2</v>
      </c>
      <c r="BG93" s="38">
        <f t="shared" si="78"/>
        <v>5.3790930852104069E-2</v>
      </c>
      <c r="BH93" s="38">
        <f t="shared" si="79"/>
        <v>0.11210464065006853</v>
      </c>
      <c r="BI93" s="38">
        <f t="shared" si="80"/>
        <v>-7.2940402009455951E-3</v>
      </c>
      <c r="BJ93" s="38">
        <f t="shared" si="81"/>
        <v>4.9373918327653143E-2</v>
      </c>
      <c r="BK93" s="38">
        <f t="shared" si="82"/>
        <v>5.0251267368651042E-2</v>
      </c>
      <c r="BL93" s="38">
        <f t="shared" si="83"/>
        <v>2.4162722582744323E-2</v>
      </c>
      <c r="BM93" s="38">
        <f t="shared" si="84"/>
        <v>6.4459740591189529E-3</v>
      </c>
      <c r="BN93" s="38">
        <f t="shared" si="85"/>
        <v>1.5231812379953524E-2</v>
      </c>
      <c r="BO93" s="7"/>
      <c r="BX93" s="7"/>
      <c r="CN93" s="7"/>
      <c r="CO93" s="8"/>
      <c r="CP93" s="7"/>
      <c r="DG93" s="7"/>
      <c r="DO93" s="7"/>
      <c r="EE93" s="7"/>
      <c r="EF93" s="7"/>
      <c r="GH93" s="7"/>
      <c r="GJ93" s="9"/>
    </row>
    <row r="94" spans="1:192" x14ac:dyDescent="0.25">
      <c r="A94" s="7">
        <v>1962</v>
      </c>
      <c r="B94" s="8">
        <v>6949.6416761946657</v>
      </c>
      <c r="C94" s="8">
        <v>7583.0946802048084</v>
      </c>
      <c r="D94" s="8">
        <v>2510.9617528494114</v>
      </c>
      <c r="E94" s="8">
        <v>9276.9093444280534</v>
      </c>
      <c r="F94" s="8">
        <v>9747.3605516280859</v>
      </c>
      <c r="G94" s="8">
        <v>6818.9666439048651</v>
      </c>
      <c r="H94" s="8">
        <v>8067.0631537357822</v>
      </c>
      <c r="I94" s="8">
        <v>8222.1217810351591</v>
      </c>
      <c r="J94" s="8">
        <v>6826.8323000912615</v>
      </c>
      <c r="K94" s="8">
        <v>4776.5168283411522</v>
      </c>
      <c r="L94" s="8">
        <v>8639.3094041355835</v>
      </c>
      <c r="M94" s="8">
        <v>9730.5659922444793</v>
      </c>
      <c r="N94" s="8">
        <v>7746.0439498518108</v>
      </c>
      <c r="O94" s="8">
        <v>3330.4507860484714</v>
      </c>
      <c r="P94" s="8">
        <v>3799.5304008166613</v>
      </c>
      <c r="Q94" s="8">
        <v>1297.1331112743369</v>
      </c>
      <c r="R94" s="8">
        <v>9601.9571541920122</v>
      </c>
      <c r="S94" s="8">
        <v>13353.512177903283</v>
      </c>
      <c r="T94" s="8">
        <v>8865.3831719582668</v>
      </c>
      <c r="U94" s="8">
        <v>11904.984507178162</v>
      </c>
      <c r="V94" s="8">
        <v>4858.2509834648599</v>
      </c>
      <c r="W94" s="7"/>
      <c r="X94" s="35">
        <f t="shared" si="44"/>
        <v>8.8464453798476477</v>
      </c>
      <c r="Y94" s="35">
        <f t="shared" si="45"/>
        <v>8.9336766644735501</v>
      </c>
      <c r="Z94" s="35">
        <f t="shared" si="46"/>
        <v>7.8284211272014401</v>
      </c>
      <c r="AA94" s="35">
        <f t="shared" si="47"/>
        <v>9.1352837255270565</v>
      </c>
      <c r="AB94" s="35">
        <f t="shared" si="48"/>
        <v>9.1847518146890792</v>
      </c>
      <c r="AC94" s="35">
        <f t="shared" si="49"/>
        <v>8.827463220868399</v>
      </c>
      <c r="AD94" s="35">
        <f t="shared" si="50"/>
        <v>8.9955447735583434</v>
      </c>
      <c r="AE94" s="35">
        <f t="shared" si="51"/>
        <v>9.0145835789554258</v>
      </c>
      <c r="AF94" s="35">
        <f t="shared" si="52"/>
        <v>8.8286160528996813</v>
      </c>
      <c r="AG94" s="35">
        <f t="shared" si="53"/>
        <v>8.4714668628570351</v>
      </c>
      <c r="AH94" s="35">
        <f t="shared" si="54"/>
        <v>9.064077928526622</v>
      </c>
      <c r="AI94" s="35">
        <f t="shared" si="55"/>
        <v>9.1830273432975513</v>
      </c>
      <c r="AJ94" s="35">
        <f t="shared" si="56"/>
        <v>8.9549375339356754</v>
      </c>
      <c r="AK94" s="35">
        <f t="shared" si="57"/>
        <v>8.1108629449983649</v>
      </c>
      <c r="AL94" s="35">
        <f t="shared" si="58"/>
        <v>8.2426327593455397</v>
      </c>
      <c r="AM94" s="35">
        <f t="shared" si="59"/>
        <v>7.1679118091770384</v>
      </c>
      <c r="AN94" s="35">
        <f t="shared" si="60"/>
        <v>9.1697222269055505</v>
      </c>
      <c r="AO94" s="35">
        <f t="shared" si="61"/>
        <v>9.499534713714878</v>
      </c>
      <c r="AP94" s="35">
        <f t="shared" si="62"/>
        <v>9.0899094405813585</v>
      </c>
      <c r="AQ94" s="35">
        <f t="shared" si="63"/>
        <v>9.3847124575491101</v>
      </c>
      <c r="AR94" s="35">
        <f t="shared" si="64"/>
        <v>8.4884337721767089</v>
      </c>
      <c r="AS94" s="38"/>
      <c r="AT94" s="38">
        <f t="shared" si="65"/>
        <v>1.7808137366827737E-2</v>
      </c>
      <c r="AU94" s="38">
        <f t="shared" si="66"/>
        <v>4.4529485712788031E-2</v>
      </c>
      <c r="AV94" s="38">
        <f t="shared" si="67"/>
        <v>2.9785715424069714E-2</v>
      </c>
      <c r="AW94" s="38">
        <f t="shared" si="68"/>
        <v>4.9062607737864639E-2</v>
      </c>
      <c r="AX94" s="38">
        <f t="shared" si="69"/>
        <v>4.570699265574163E-2</v>
      </c>
      <c r="AY94" s="38">
        <f t="shared" si="70"/>
        <v>2.3901079416427606E-2</v>
      </c>
      <c r="AZ94" s="38">
        <f t="shared" si="71"/>
        <v>4.417898380677876E-2</v>
      </c>
      <c r="BA94" s="38">
        <f t="shared" si="72"/>
        <v>3.338466297596554E-2</v>
      </c>
      <c r="BB94" s="38">
        <f t="shared" si="73"/>
        <v>6.8766710129574804E-2</v>
      </c>
      <c r="BC94" s="38">
        <f t="shared" si="74"/>
        <v>7.6151127361342219E-2</v>
      </c>
      <c r="BD94" s="38">
        <f t="shared" si="75"/>
        <v>5.2004586477861992E-2</v>
      </c>
      <c r="BE94" s="38">
        <f t="shared" si="76"/>
        <v>-1.4727660736664205E-3</v>
      </c>
      <c r="BF94" s="38">
        <f t="shared" si="77"/>
        <v>1.9736556306741093E-2</v>
      </c>
      <c r="BG94" s="38">
        <f t="shared" si="78"/>
        <v>6.5535333093146519E-2</v>
      </c>
      <c r="BH94" s="38">
        <f t="shared" si="79"/>
        <v>0.10055798497588242</v>
      </c>
      <c r="BI94" s="38">
        <f t="shared" si="80"/>
        <v>8.7037485445513596E-3</v>
      </c>
      <c r="BJ94" s="38">
        <f t="shared" si="81"/>
        <v>3.8753245433515104E-2</v>
      </c>
      <c r="BK94" s="38">
        <f t="shared" si="82"/>
        <v>1.9266922545318366E-2</v>
      </c>
      <c r="BL94" s="38">
        <f t="shared" si="83"/>
        <v>9.8368336844245619E-4</v>
      </c>
      <c r="BM94" s="38">
        <f t="shared" si="84"/>
        <v>4.3191691365654705E-2</v>
      </c>
      <c r="BN94" s="38">
        <f t="shared" si="85"/>
        <v>-3.5990425716015295E-2</v>
      </c>
      <c r="BO94" s="7"/>
      <c r="BX94" s="7"/>
      <c r="CN94" s="7"/>
      <c r="CO94" s="8"/>
      <c r="CP94" s="7"/>
      <c r="DG94" s="7"/>
      <c r="DO94" s="7"/>
      <c r="EE94" s="7"/>
      <c r="EF94" s="7"/>
      <c r="GH94" s="7"/>
      <c r="GJ94" s="9"/>
    </row>
    <row r="95" spans="1:192" x14ac:dyDescent="0.25">
      <c r="A95" s="7">
        <v>1963</v>
      </c>
      <c r="B95" s="8">
        <v>7186.2260586294706</v>
      </c>
      <c r="C95" s="8">
        <v>7862.4597386648848</v>
      </c>
      <c r="D95" s="8">
        <v>2463.2326342878173</v>
      </c>
      <c r="E95" s="8">
        <v>9566.3816912934344</v>
      </c>
      <c r="F95" s="8">
        <v>9731.6603392405686</v>
      </c>
      <c r="G95" s="8">
        <v>6993.9948829496279</v>
      </c>
      <c r="H95" s="8">
        <v>8362.6713662165203</v>
      </c>
      <c r="I95" s="8">
        <v>8385.523537313431</v>
      </c>
      <c r="J95" s="8">
        <v>7262.3895715287417</v>
      </c>
      <c r="K95" s="8">
        <v>5128.6442560700671</v>
      </c>
      <c r="L95" s="8">
        <v>8832.2163041412623</v>
      </c>
      <c r="M95" s="8">
        <v>10132.016447950893</v>
      </c>
      <c r="N95" s="8">
        <v>7981.6945016044019</v>
      </c>
      <c r="O95" s="8">
        <v>3504.1182170542634</v>
      </c>
      <c r="P95" s="8">
        <v>4151.3741370698935</v>
      </c>
      <c r="Q95" s="8">
        <v>1290.7031183484216</v>
      </c>
      <c r="R95" s="8">
        <v>10021.041557075223</v>
      </c>
      <c r="S95" s="8">
        <v>13710.485403351184</v>
      </c>
      <c r="T95" s="8">
        <v>9149.1841491841496</v>
      </c>
      <c r="U95" s="8">
        <v>12242.340495238901</v>
      </c>
      <c r="V95" s="8">
        <v>4819.7055519315109</v>
      </c>
      <c r="W95" s="7"/>
      <c r="X95" s="35">
        <f t="shared" si="44"/>
        <v>8.8799214253792602</v>
      </c>
      <c r="Y95" s="35">
        <f t="shared" si="45"/>
        <v>8.9698547803170339</v>
      </c>
      <c r="Z95" s="35">
        <f t="shared" si="46"/>
        <v>7.8092298452590558</v>
      </c>
      <c r="AA95" s="35">
        <f t="shared" si="47"/>
        <v>9.1660103242693811</v>
      </c>
      <c r="AB95" s="35">
        <f t="shared" si="48"/>
        <v>9.1831398018599586</v>
      </c>
      <c r="AC95" s="35">
        <f t="shared" si="49"/>
        <v>8.8528071859887429</v>
      </c>
      <c r="AD95" s="35">
        <f t="shared" si="50"/>
        <v>9.0315331964497219</v>
      </c>
      <c r="AE95" s="35">
        <f t="shared" si="51"/>
        <v>9.0342621096741205</v>
      </c>
      <c r="AF95" s="35">
        <f t="shared" si="52"/>
        <v>8.8904641957473185</v>
      </c>
      <c r="AG95" s="35">
        <f t="shared" si="53"/>
        <v>8.5425966256681569</v>
      </c>
      <c r="AH95" s="35">
        <f t="shared" si="54"/>
        <v>9.0861612591750021</v>
      </c>
      <c r="AI95" s="35">
        <f t="shared" si="55"/>
        <v>9.2234556344868981</v>
      </c>
      <c r="AJ95" s="35">
        <f t="shared" si="56"/>
        <v>8.9849060114616002</v>
      </c>
      <c r="AK95" s="35">
        <f t="shared" si="57"/>
        <v>8.1616941892309747</v>
      </c>
      <c r="AL95" s="35">
        <f t="shared" si="58"/>
        <v>8.3311946757837259</v>
      </c>
      <c r="AM95" s="35">
        <f t="shared" si="59"/>
        <v>7.1629424018515664</v>
      </c>
      <c r="AN95" s="35">
        <f t="shared" si="60"/>
        <v>9.2124423170485557</v>
      </c>
      <c r="AO95" s="35">
        <f t="shared" si="61"/>
        <v>9.5259161769880532</v>
      </c>
      <c r="AP95" s="35">
        <f t="shared" si="62"/>
        <v>9.1214199902706294</v>
      </c>
      <c r="AQ95" s="35">
        <f t="shared" si="63"/>
        <v>9.4126557547179726</v>
      </c>
      <c r="AR95" s="35">
        <f t="shared" si="64"/>
        <v>8.4804681163677582</v>
      </c>
      <c r="AS95" s="38"/>
      <c r="AT95" s="38">
        <f t="shared" si="65"/>
        <v>3.3476045531612542E-2</v>
      </c>
      <c r="AU95" s="38">
        <f t="shared" si="66"/>
        <v>3.6178115843483738E-2</v>
      </c>
      <c r="AV95" s="38">
        <f t="shared" si="67"/>
        <v>-1.9191281942384286E-2</v>
      </c>
      <c r="AW95" s="38">
        <f t="shared" si="68"/>
        <v>3.072659874232464E-2</v>
      </c>
      <c r="AX95" s="38">
        <f t="shared" si="69"/>
        <v>-1.6120128291206015E-3</v>
      </c>
      <c r="AY95" s="38">
        <f t="shared" si="70"/>
        <v>2.5343965120343981E-2</v>
      </c>
      <c r="AZ95" s="38">
        <f t="shared" si="71"/>
        <v>3.5988422891378491E-2</v>
      </c>
      <c r="BA95" s="38">
        <f t="shared" si="72"/>
        <v>1.9678530718694631E-2</v>
      </c>
      <c r="BB95" s="38">
        <f t="shared" si="73"/>
        <v>6.1848142847637178E-2</v>
      </c>
      <c r="BC95" s="38">
        <f t="shared" si="74"/>
        <v>7.1129762811121822E-2</v>
      </c>
      <c r="BD95" s="38">
        <f t="shared" si="75"/>
        <v>2.2083330648380084E-2</v>
      </c>
      <c r="BE95" s="38">
        <f t="shared" si="76"/>
        <v>4.0428291189346766E-2</v>
      </c>
      <c r="BF95" s="38">
        <f t="shared" si="77"/>
        <v>2.9968477525924797E-2</v>
      </c>
      <c r="BG95" s="38">
        <f t="shared" si="78"/>
        <v>5.0831244232609762E-2</v>
      </c>
      <c r="BH95" s="38">
        <f t="shared" si="79"/>
        <v>8.8561916438186117E-2</v>
      </c>
      <c r="BI95" s="38">
        <f t="shared" si="80"/>
        <v>-4.9694073254720195E-3</v>
      </c>
      <c r="BJ95" s="38">
        <f t="shared" si="81"/>
        <v>4.2720090143005152E-2</v>
      </c>
      <c r="BK95" s="38">
        <f t="shared" si="82"/>
        <v>2.6381463273175143E-2</v>
      </c>
      <c r="BL95" s="38">
        <f t="shared" si="83"/>
        <v>3.1510549689270917E-2</v>
      </c>
      <c r="BM95" s="38">
        <f t="shared" si="84"/>
        <v>2.7943297168862458E-2</v>
      </c>
      <c r="BN95" s="38">
        <f t="shared" si="85"/>
        <v>-7.9656558089507001E-3</v>
      </c>
      <c r="BO95" s="7"/>
      <c r="BX95" s="7"/>
      <c r="CN95" s="7"/>
      <c r="CO95" s="8"/>
      <c r="CP95" s="7"/>
      <c r="DG95" s="7"/>
      <c r="DO95" s="7"/>
      <c r="EE95" s="7"/>
      <c r="EF95" s="7"/>
      <c r="GH95" s="7"/>
      <c r="GJ95" s="9"/>
    </row>
    <row r="96" spans="1:192" x14ac:dyDescent="0.25">
      <c r="A96" s="7">
        <v>1964</v>
      </c>
      <c r="B96" s="8">
        <v>7566.9304843807295</v>
      </c>
      <c r="C96" s="8">
        <v>8340.7707910750505</v>
      </c>
      <c r="D96" s="8">
        <v>2472.1776042599063</v>
      </c>
      <c r="E96" s="8">
        <v>9999.3643160515076</v>
      </c>
      <c r="F96" s="8">
        <v>10559.575066242303</v>
      </c>
      <c r="G96" s="8">
        <v>7306.7337591985479</v>
      </c>
      <c r="H96" s="8">
        <v>8819.3366695706791</v>
      </c>
      <c r="I96" s="8">
        <v>8822.3535574267935</v>
      </c>
      <c r="J96" s="8">
        <v>7487.044623858048</v>
      </c>
      <c r="K96" s="8">
        <v>5667.6904578194726</v>
      </c>
      <c r="L96" s="8">
        <v>9437.1953110054164</v>
      </c>
      <c r="M96" s="8">
        <v>10418.41084897471</v>
      </c>
      <c r="N96" s="8">
        <v>8315.9455210430879</v>
      </c>
      <c r="O96" s="8">
        <v>3718.3885996163331</v>
      </c>
      <c r="P96" s="8">
        <v>4514.9372439853714</v>
      </c>
      <c r="Q96" s="8">
        <v>1320.0715630665893</v>
      </c>
      <c r="R96" s="8">
        <v>10617.934995431408</v>
      </c>
      <c r="S96" s="8">
        <v>14190.759300152878</v>
      </c>
      <c r="T96" s="8">
        <v>9567.9650312089052</v>
      </c>
      <c r="U96" s="8">
        <v>12772.566431634954</v>
      </c>
      <c r="V96" s="8">
        <v>4858.0685610881465</v>
      </c>
      <c r="W96" s="7"/>
      <c r="X96" s="35">
        <f t="shared" si="44"/>
        <v>8.9315427799707763</v>
      </c>
      <c r="Y96" s="35">
        <f t="shared" si="45"/>
        <v>9.0289109120744477</v>
      </c>
      <c r="Z96" s="35">
        <f t="shared" si="46"/>
        <v>7.8128546623802109</v>
      </c>
      <c r="AA96" s="35">
        <f t="shared" si="47"/>
        <v>9.2102768015607772</v>
      </c>
      <c r="AB96" s="35">
        <f t="shared" si="48"/>
        <v>9.264788316511428</v>
      </c>
      <c r="AC96" s="35">
        <f t="shared" si="49"/>
        <v>8.8965516347237479</v>
      </c>
      <c r="AD96" s="35">
        <f t="shared" si="50"/>
        <v>9.08470193864094</v>
      </c>
      <c r="AE96" s="35">
        <f t="shared" si="51"/>
        <v>9.0850439566501784</v>
      </c>
      <c r="AF96" s="35">
        <f t="shared" si="52"/>
        <v>8.9209294223916391</v>
      </c>
      <c r="AG96" s="35">
        <f t="shared" si="53"/>
        <v>8.6425369870785254</v>
      </c>
      <c r="AH96" s="35">
        <f t="shared" si="54"/>
        <v>9.1524141081095323</v>
      </c>
      <c r="AI96" s="35">
        <f t="shared" si="55"/>
        <v>9.2513297939812471</v>
      </c>
      <c r="AJ96" s="35">
        <f t="shared" si="56"/>
        <v>9.0259300978553245</v>
      </c>
      <c r="AK96" s="35">
        <f t="shared" si="57"/>
        <v>8.2210456812748891</v>
      </c>
      <c r="AL96" s="35">
        <f t="shared" si="58"/>
        <v>8.4151465663049567</v>
      </c>
      <c r="AM96" s="35">
        <f t="shared" si="59"/>
        <v>7.1854412285552529</v>
      </c>
      <c r="AN96" s="35">
        <f t="shared" si="60"/>
        <v>9.2702998310144427</v>
      </c>
      <c r="AO96" s="35">
        <f t="shared" si="61"/>
        <v>9.560346278247021</v>
      </c>
      <c r="AP96" s="35">
        <f t="shared" si="62"/>
        <v>9.1661758214187792</v>
      </c>
      <c r="AQ96" s="35">
        <f t="shared" si="63"/>
        <v>9.4550549023372454</v>
      </c>
      <c r="AR96" s="35">
        <f t="shared" si="64"/>
        <v>8.4883962224901435</v>
      </c>
      <c r="AS96" s="38"/>
      <c r="AT96" s="38">
        <f t="shared" si="65"/>
        <v>5.1621354591516067E-2</v>
      </c>
      <c r="AU96" s="38">
        <f t="shared" si="66"/>
        <v>5.9056131757413866E-2</v>
      </c>
      <c r="AV96" s="38">
        <f t="shared" si="67"/>
        <v>3.6248171211550329E-3</v>
      </c>
      <c r="AW96" s="38">
        <f t="shared" si="68"/>
        <v>4.42664772913961E-2</v>
      </c>
      <c r="AX96" s="38">
        <f t="shared" si="69"/>
        <v>8.1648514651469384E-2</v>
      </c>
      <c r="AY96" s="38">
        <f t="shared" si="70"/>
        <v>4.3744448735004937E-2</v>
      </c>
      <c r="AZ96" s="38">
        <f t="shared" si="71"/>
        <v>5.3168742191218143E-2</v>
      </c>
      <c r="BA96" s="38">
        <f t="shared" si="72"/>
        <v>5.0781846976057921E-2</v>
      </c>
      <c r="BB96" s="38">
        <f t="shared" si="73"/>
        <v>3.0465226644320609E-2</v>
      </c>
      <c r="BC96" s="38">
        <f t="shared" si="74"/>
        <v>9.9940361410368439E-2</v>
      </c>
      <c r="BD96" s="38">
        <f t="shared" si="75"/>
        <v>6.6252848934530206E-2</v>
      </c>
      <c r="BE96" s="38">
        <f t="shared" si="76"/>
        <v>2.7874159494349016E-2</v>
      </c>
      <c r="BF96" s="38">
        <f t="shared" si="77"/>
        <v>4.1024086393724346E-2</v>
      </c>
      <c r="BG96" s="38">
        <f t="shared" si="78"/>
        <v>5.9351492043914433E-2</v>
      </c>
      <c r="BH96" s="38">
        <f t="shared" si="79"/>
        <v>8.3951890521230865E-2</v>
      </c>
      <c r="BI96" s="38">
        <f t="shared" si="80"/>
        <v>2.2498826703686525E-2</v>
      </c>
      <c r="BJ96" s="38">
        <f t="shared" si="81"/>
        <v>5.7857513965887009E-2</v>
      </c>
      <c r="BK96" s="38">
        <f t="shared" si="82"/>
        <v>3.4430101258967838E-2</v>
      </c>
      <c r="BL96" s="38">
        <f t="shared" si="83"/>
        <v>4.4755831148149738E-2</v>
      </c>
      <c r="BM96" s="38">
        <f t="shared" si="84"/>
        <v>4.2399147619272881E-2</v>
      </c>
      <c r="BN96" s="38">
        <f t="shared" si="85"/>
        <v>7.9281061223852589E-3</v>
      </c>
      <c r="BO96" s="7"/>
      <c r="BX96" s="7"/>
      <c r="CN96" s="7"/>
      <c r="CO96" s="8"/>
      <c r="CP96" s="7"/>
      <c r="DG96" s="7"/>
      <c r="DO96" s="7"/>
      <c r="EE96" s="7"/>
      <c r="EF96" s="7"/>
      <c r="GH96" s="7"/>
      <c r="GJ96" s="9"/>
    </row>
    <row r="97" spans="1:192" x14ac:dyDescent="0.25">
      <c r="A97" s="7">
        <v>1965</v>
      </c>
      <c r="B97" s="8">
        <v>7734.1298980083457</v>
      </c>
      <c r="C97" s="8">
        <v>8559.3928938093359</v>
      </c>
      <c r="D97" s="8">
        <v>2448.3918651637518</v>
      </c>
      <c r="E97" s="8">
        <v>10472.916686595814</v>
      </c>
      <c r="F97" s="8">
        <v>10953.321704041527</v>
      </c>
      <c r="G97" s="8">
        <v>7669.6002306883929</v>
      </c>
      <c r="H97" s="8">
        <v>9165.4150435725478</v>
      </c>
      <c r="I97" s="8">
        <v>9185.7291697886849</v>
      </c>
      <c r="J97" s="8">
        <v>7598.4234550494257</v>
      </c>
      <c r="K97" s="8">
        <v>5933.7476120909278</v>
      </c>
      <c r="L97" s="8">
        <v>9797.8359908883813</v>
      </c>
      <c r="M97" s="8">
        <v>10878.654749280411</v>
      </c>
      <c r="N97" s="8">
        <v>8689.788208071277</v>
      </c>
      <c r="O97" s="8">
        <v>3992.3977280818503</v>
      </c>
      <c r="P97" s="8">
        <v>4762.2355846408263</v>
      </c>
      <c r="Q97" s="8">
        <v>1329.4940134583405</v>
      </c>
      <c r="R97" s="8">
        <v>11044.996121024049</v>
      </c>
      <c r="S97" s="8">
        <v>14503.61770149756</v>
      </c>
      <c r="T97" s="8">
        <v>9751.5363385464589</v>
      </c>
      <c r="U97" s="8">
        <v>13418.701718450051</v>
      </c>
      <c r="V97" s="8">
        <v>4859.7674158684331</v>
      </c>
      <c r="W97" s="7"/>
      <c r="X97" s="35">
        <f t="shared" si="44"/>
        <v>8.9533982677345421</v>
      </c>
      <c r="Y97" s="35">
        <f t="shared" si="45"/>
        <v>9.054784543000185</v>
      </c>
      <c r="Z97" s="35">
        <f t="shared" si="46"/>
        <v>7.8031867064602665</v>
      </c>
      <c r="AA97" s="35">
        <f t="shared" si="47"/>
        <v>9.2565478406756974</v>
      </c>
      <c r="AB97" s="35">
        <f t="shared" si="48"/>
        <v>9.301398041210005</v>
      </c>
      <c r="AC97" s="35">
        <f t="shared" si="49"/>
        <v>8.9450197718410678</v>
      </c>
      <c r="AD97" s="35">
        <f t="shared" si="50"/>
        <v>9.1231924449628465</v>
      </c>
      <c r="AE97" s="35">
        <f t="shared" si="51"/>
        <v>9.1254063815193298</v>
      </c>
      <c r="AF97" s="35">
        <f t="shared" si="52"/>
        <v>8.9356960646306689</v>
      </c>
      <c r="AG97" s="35">
        <f t="shared" si="53"/>
        <v>8.6884112674371217</v>
      </c>
      <c r="AH97" s="35">
        <f t="shared" si="54"/>
        <v>9.1899168230186561</v>
      </c>
      <c r="AI97" s="35">
        <f t="shared" si="55"/>
        <v>9.2945578683977299</v>
      </c>
      <c r="AJ97" s="35">
        <f t="shared" si="56"/>
        <v>9.0699038460488914</v>
      </c>
      <c r="AK97" s="35">
        <f t="shared" si="57"/>
        <v>8.2921472637515166</v>
      </c>
      <c r="AL97" s="35">
        <f t="shared" si="58"/>
        <v>8.468472497608257</v>
      </c>
      <c r="AM97" s="35">
        <f t="shared" si="59"/>
        <v>7.1925537078209931</v>
      </c>
      <c r="AN97" s="35">
        <f t="shared" si="60"/>
        <v>9.3097327646566956</v>
      </c>
      <c r="AO97" s="35">
        <f t="shared" si="61"/>
        <v>9.5821533939445551</v>
      </c>
      <c r="AP97" s="35">
        <f t="shared" si="62"/>
        <v>9.1851801247627947</v>
      </c>
      <c r="AQ97" s="35">
        <f t="shared" si="63"/>
        <v>9.5044046635544834</v>
      </c>
      <c r="AR97" s="35">
        <f t="shared" si="64"/>
        <v>8.4887458589321714</v>
      </c>
      <c r="AS97" s="38"/>
      <c r="AT97" s="38">
        <f t="shared" si="65"/>
        <v>2.185548776376578E-2</v>
      </c>
      <c r="AU97" s="38">
        <f t="shared" si="66"/>
        <v>2.5873630925737245E-2</v>
      </c>
      <c r="AV97" s="38">
        <f t="shared" si="67"/>
        <v>-9.6679559199444043E-3</v>
      </c>
      <c r="AW97" s="38">
        <f t="shared" si="68"/>
        <v>4.6271039114920143E-2</v>
      </c>
      <c r="AX97" s="38">
        <f t="shared" si="69"/>
        <v>3.660972469857704E-2</v>
      </c>
      <c r="AY97" s="38">
        <f t="shared" si="70"/>
        <v>4.8468137117319898E-2</v>
      </c>
      <c r="AZ97" s="38">
        <f t="shared" si="71"/>
        <v>3.8490506321906537E-2</v>
      </c>
      <c r="BA97" s="38">
        <f t="shared" si="72"/>
        <v>4.0362424869151425E-2</v>
      </c>
      <c r="BB97" s="38">
        <f t="shared" si="73"/>
        <v>1.4766642239029792E-2</v>
      </c>
      <c r="BC97" s="38">
        <f t="shared" si="74"/>
        <v>4.5874280358596309E-2</v>
      </c>
      <c r="BD97" s="38">
        <f t="shared" si="75"/>
        <v>3.7502714909123824E-2</v>
      </c>
      <c r="BE97" s="38">
        <f t="shared" si="76"/>
        <v>4.3228074416482798E-2</v>
      </c>
      <c r="BF97" s="38">
        <f t="shared" si="77"/>
        <v>4.3973748193566919E-2</v>
      </c>
      <c r="BG97" s="38">
        <f t="shared" si="78"/>
        <v>7.1101582476627456E-2</v>
      </c>
      <c r="BH97" s="38">
        <f t="shared" si="79"/>
        <v>5.3325931303300322E-2</v>
      </c>
      <c r="BI97" s="38">
        <f t="shared" si="80"/>
        <v>7.1124792657402125E-3</v>
      </c>
      <c r="BJ97" s="38">
        <f t="shared" si="81"/>
        <v>3.9432933642252976E-2</v>
      </c>
      <c r="BK97" s="38">
        <f t="shared" si="82"/>
        <v>2.180711569753413E-2</v>
      </c>
      <c r="BL97" s="38">
        <f t="shared" si="83"/>
        <v>1.9004303344015483E-2</v>
      </c>
      <c r="BM97" s="38">
        <f t="shared" si="84"/>
        <v>4.9349761217237997E-2</v>
      </c>
      <c r="BN97" s="38">
        <f t="shared" si="85"/>
        <v>3.4963644202790078E-4</v>
      </c>
      <c r="BO97" s="7"/>
      <c r="BX97" s="7"/>
      <c r="CN97" s="7"/>
      <c r="CO97" s="8"/>
      <c r="CP97" s="7"/>
      <c r="DG97" s="7"/>
      <c r="DO97" s="7"/>
      <c r="EE97" s="7"/>
      <c r="EF97" s="7"/>
      <c r="GH97" s="7"/>
      <c r="GJ97" s="9"/>
    </row>
    <row r="98" spans="1:192" x14ac:dyDescent="0.25">
      <c r="A98" s="7">
        <v>1966</v>
      </c>
      <c r="B98" s="8">
        <v>8112.3278593773948</v>
      </c>
      <c r="C98" s="8">
        <v>8775.9523759439617</v>
      </c>
      <c r="D98" s="8">
        <v>2526.735225753187</v>
      </c>
      <c r="E98" s="8">
        <v>10946.135109398754</v>
      </c>
      <c r="F98" s="8">
        <v>11159.770713913496</v>
      </c>
      <c r="G98" s="8">
        <v>7824.4979282315217</v>
      </c>
      <c r="H98" s="8">
        <v>9544.1357901858555</v>
      </c>
      <c r="I98" s="8">
        <v>9387.5990859690592</v>
      </c>
      <c r="J98" s="8">
        <v>7942.4095575140072</v>
      </c>
      <c r="K98" s="8">
        <v>6505.5315792792226</v>
      </c>
      <c r="L98" s="8">
        <v>9936.2494781128553</v>
      </c>
      <c r="M98" s="8">
        <v>11362.021171699131</v>
      </c>
      <c r="N98" s="8">
        <v>8945.2199094397474</v>
      </c>
      <c r="O98" s="8">
        <v>4163.9952573335677</v>
      </c>
      <c r="P98" s="8">
        <v>5059.7536821718868</v>
      </c>
      <c r="Q98" s="8">
        <v>1283.5672696242125</v>
      </c>
      <c r="R98" s="8">
        <v>11275.998975409835</v>
      </c>
      <c r="S98" s="8">
        <v>14727.318212141428</v>
      </c>
      <c r="T98" s="8">
        <v>9885.3101037644337</v>
      </c>
      <c r="U98" s="8">
        <v>14133.526658526658</v>
      </c>
      <c r="V98" s="8">
        <v>4974.2632589141513</v>
      </c>
      <c r="W98" s="7"/>
      <c r="X98" s="35">
        <f t="shared" si="44"/>
        <v>9.0011401416041519</v>
      </c>
      <c r="Y98" s="35">
        <f t="shared" si="45"/>
        <v>9.0797705753159068</v>
      </c>
      <c r="Z98" s="35">
        <f t="shared" si="46"/>
        <v>7.83468332380329</v>
      </c>
      <c r="AA98" s="35">
        <f t="shared" si="47"/>
        <v>9.3007417148945191</v>
      </c>
      <c r="AB98" s="35">
        <f t="shared" si="48"/>
        <v>9.3200706903759905</v>
      </c>
      <c r="AC98" s="35">
        <f t="shared" si="49"/>
        <v>8.9650148508235272</v>
      </c>
      <c r="AD98" s="35">
        <f t="shared" si="50"/>
        <v>9.1636821914831028</v>
      </c>
      <c r="AE98" s="35">
        <f t="shared" si="51"/>
        <v>9.1471448511132571</v>
      </c>
      <c r="AF98" s="35">
        <f t="shared" si="52"/>
        <v>8.9799719789229044</v>
      </c>
      <c r="AG98" s="35">
        <f t="shared" si="53"/>
        <v>8.7804081061749617</v>
      </c>
      <c r="AH98" s="35">
        <f t="shared" si="54"/>
        <v>9.2039449123637684</v>
      </c>
      <c r="AI98" s="35">
        <f t="shared" si="55"/>
        <v>9.3380315964931864</v>
      </c>
      <c r="AJ98" s="35">
        <f t="shared" si="56"/>
        <v>9.0988745802621711</v>
      </c>
      <c r="AK98" s="35">
        <f t="shared" si="57"/>
        <v>8.3342302907653263</v>
      </c>
      <c r="AL98" s="35">
        <f t="shared" si="58"/>
        <v>8.5290730816839595</v>
      </c>
      <c r="AM98" s="35">
        <f t="shared" si="59"/>
        <v>7.1573984100201447</v>
      </c>
      <c r="AN98" s="35">
        <f t="shared" si="60"/>
        <v>9.3304317613693168</v>
      </c>
      <c r="AO98" s="35">
        <f t="shared" si="61"/>
        <v>9.5974594298901206</v>
      </c>
      <c r="AP98" s="35">
        <f t="shared" si="62"/>
        <v>9.1988051062572591</v>
      </c>
      <c r="AQ98" s="35">
        <f t="shared" si="63"/>
        <v>9.5563050311277262</v>
      </c>
      <c r="AR98" s="35">
        <f t="shared" si="64"/>
        <v>8.5120325499660119</v>
      </c>
      <c r="AS98" s="38"/>
      <c r="AT98" s="38">
        <f t="shared" si="65"/>
        <v>4.7741873869609819E-2</v>
      </c>
      <c r="AU98" s="38">
        <f t="shared" si="66"/>
        <v>2.4986032315721829E-2</v>
      </c>
      <c r="AV98" s="38">
        <f t="shared" si="67"/>
        <v>3.1496617343023559E-2</v>
      </c>
      <c r="AW98" s="38">
        <f t="shared" si="68"/>
        <v>4.4193874218821705E-2</v>
      </c>
      <c r="AX98" s="38">
        <f t="shared" si="69"/>
        <v>1.8672649165985433E-2</v>
      </c>
      <c r="AY98" s="38">
        <f t="shared" si="70"/>
        <v>1.9995078982459447E-2</v>
      </c>
      <c r="AZ98" s="38">
        <f t="shared" si="71"/>
        <v>4.0489746520256276E-2</v>
      </c>
      <c r="BA98" s="38">
        <f t="shared" si="72"/>
        <v>2.1738469593927334E-2</v>
      </c>
      <c r="BB98" s="38">
        <f t="shared" si="73"/>
        <v>4.4275914292235541E-2</v>
      </c>
      <c r="BC98" s="38">
        <f t="shared" si="74"/>
        <v>9.1996838737840037E-2</v>
      </c>
      <c r="BD98" s="38">
        <f t="shared" si="75"/>
        <v>1.4028089345112349E-2</v>
      </c>
      <c r="BE98" s="38">
        <f t="shared" si="76"/>
        <v>4.3473728095456465E-2</v>
      </c>
      <c r="BF98" s="38">
        <f t="shared" si="77"/>
        <v>2.897073421327967E-2</v>
      </c>
      <c r="BG98" s="38">
        <f t="shared" si="78"/>
        <v>4.2083027013809726E-2</v>
      </c>
      <c r="BH98" s="38">
        <f t="shared" si="79"/>
        <v>6.0600584075702457E-2</v>
      </c>
      <c r="BI98" s="38">
        <f t="shared" si="80"/>
        <v>-3.5155297800848473E-2</v>
      </c>
      <c r="BJ98" s="38">
        <f t="shared" si="81"/>
        <v>2.0698996712621209E-2</v>
      </c>
      <c r="BK98" s="38">
        <f t="shared" si="82"/>
        <v>1.5306035945565455E-2</v>
      </c>
      <c r="BL98" s="38">
        <f t="shared" si="83"/>
        <v>1.362498149446445E-2</v>
      </c>
      <c r="BM98" s="38">
        <f t="shared" si="84"/>
        <v>5.1900367573242789E-2</v>
      </c>
      <c r="BN98" s="38">
        <f t="shared" si="85"/>
        <v>2.3286691033840512E-2</v>
      </c>
      <c r="BO98" s="7"/>
      <c r="BX98" s="7"/>
      <c r="CN98" s="7"/>
      <c r="CO98" s="8"/>
      <c r="CP98" s="7"/>
      <c r="DG98" s="7"/>
      <c r="DO98" s="7"/>
      <c r="EE98" s="7"/>
      <c r="EF98" s="7"/>
      <c r="GH98" s="7"/>
      <c r="GJ98" s="9"/>
    </row>
    <row r="99" spans="1:192" x14ac:dyDescent="0.25">
      <c r="A99" s="7">
        <v>1967</v>
      </c>
      <c r="B99" s="8">
        <v>8296.7353386838386</v>
      </c>
      <c r="C99" s="8">
        <v>9071.8359231936374</v>
      </c>
      <c r="D99" s="8">
        <v>2553.9744696590701</v>
      </c>
      <c r="E99" s="8">
        <v>11078.269992166579</v>
      </c>
      <c r="F99" s="8">
        <v>11436.513185087211</v>
      </c>
      <c r="G99" s="8">
        <v>7946.5988556897655</v>
      </c>
      <c r="H99" s="8">
        <v>9907.1865745310952</v>
      </c>
      <c r="I99" s="8">
        <v>9396.6811138625544</v>
      </c>
      <c r="J99" s="8">
        <v>8453.7025961178806</v>
      </c>
      <c r="K99" s="8">
        <v>7152.2936227134069</v>
      </c>
      <c r="L99" s="8">
        <v>10341.259088998797</v>
      </c>
      <c r="M99" s="8">
        <v>10681.963968256878</v>
      </c>
      <c r="N99" s="8">
        <v>9422.7532230938887</v>
      </c>
      <c r="O99" s="8">
        <v>4481.1600571240242</v>
      </c>
      <c r="P99" s="8">
        <v>5334.1105972476635</v>
      </c>
      <c r="Q99" s="8">
        <v>1368.450892753918</v>
      </c>
      <c r="R99" s="8">
        <v>11623.029994916116</v>
      </c>
      <c r="S99" s="8">
        <v>15010.39089559624</v>
      </c>
      <c r="T99" s="8">
        <v>10048.890991466365</v>
      </c>
      <c r="U99" s="8">
        <v>14330.030395748621</v>
      </c>
      <c r="V99" s="8">
        <v>4720.6210918441848</v>
      </c>
      <c r="W99" s="7"/>
      <c r="X99" s="35">
        <f t="shared" si="44"/>
        <v>9.0236173837204028</v>
      </c>
      <c r="Y99" s="35">
        <f t="shared" si="45"/>
        <v>9.112929939736258</v>
      </c>
      <c r="Z99" s="35">
        <f t="shared" si="46"/>
        <v>7.8454060403244599</v>
      </c>
      <c r="AA99" s="35">
        <f t="shared" si="47"/>
        <v>9.3127408102193829</v>
      </c>
      <c r="AB99" s="35">
        <f t="shared" si="48"/>
        <v>9.344566426962059</v>
      </c>
      <c r="AC99" s="35">
        <f t="shared" si="49"/>
        <v>8.9804992992142516</v>
      </c>
      <c r="AD99" s="35">
        <f t="shared" si="50"/>
        <v>9.2010156893919532</v>
      </c>
      <c r="AE99" s="35">
        <f t="shared" si="51"/>
        <v>9.1481118329198061</v>
      </c>
      <c r="AF99" s="35">
        <f t="shared" si="52"/>
        <v>9.0423598014350581</v>
      </c>
      <c r="AG99" s="35">
        <f t="shared" si="53"/>
        <v>8.8751883706405827</v>
      </c>
      <c r="AH99" s="35">
        <f t="shared" si="54"/>
        <v>9.2438969094111787</v>
      </c>
      <c r="AI99" s="35">
        <f t="shared" si="55"/>
        <v>9.2763119877669791</v>
      </c>
      <c r="AJ99" s="35">
        <f t="shared" si="56"/>
        <v>9.1508825990804095</v>
      </c>
      <c r="AK99" s="35">
        <f t="shared" si="57"/>
        <v>8.4076372332118403</v>
      </c>
      <c r="AL99" s="35">
        <f t="shared" si="58"/>
        <v>8.5818774389191432</v>
      </c>
      <c r="AM99" s="35">
        <f t="shared" si="59"/>
        <v>7.2214346438426738</v>
      </c>
      <c r="AN99" s="35">
        <f t="shared" si="60"/>
        <v>9.3607437532921995</v>
      </c>
      <c r="AO99" s="35">
        <f t="shared" si="61"/>
        <v>9.6164979666332648</v>
      </c>
      <c r="AP99" s="35">
        <f t="shared" si="62"/>
        <v>9.2152175582904867</v>
      </c>
      <c r="AQ99" s="35">
        <f t="shared" si="63"/>
        <v>9.5701126419468778</v>
      </c>
      <c r="AR99" s="35">
        <f t="shared" si="64"/>
        <v>8.4596956571778819</v>
      </c>
      <c r="AS99" s="38"/>
      <c r="AT99" s="38">
        <f t="shared" si="65"/>
        <v>2.2477242116250906E-2</v>
      </c>
      <c r="AU99" s="38">
        <f t="shared" si="66"/>
        <v>3.3159364420351167E-2</v>
      </c>
      <c r="AV99" s="38">
        <f t="shared" si="67"/>
        <v>1.0722716521169851E-2</v>
      </c>
      <c r="AW99" s="38">
        <f t="shared" si="68"/>
        <v>1.1999095324863873E-2</v>
      </c>
      <c r="AX99" s="38">
        <f t="shared" si="69"/>
        <v>2.4495736586068517E-2</v>
      </c>
      <c r="AY99" s="38">
        <f t="shared" si="70"/>
        <v>1.5484448390724381E-2</v>
      </c>
      <c r="AZ99" s="38">
        <f t="shared" si="71"/>
        <v>3.7333497908850433E-2</v>
      </c>
      <c r="BA99" s="38">
        <f t="shared" si="72"/>
        <v>9.6698180654897214E-4</v>
      </c>
      <c r="BB99" s="38">
        <f t="shared" si="73"/>
        <v>6.238782251215369E-2</v>
      </c>
      <c r="BC99" s="38">
        <f t="shared" si="74"/>
        <v>9.4780264465621045E-2</v>
      </c>
      <c r="BD99" s="38">
        <f t="shared" si="75"/>
        <v>3.9951997047410259E-2</v>
      </c>
      <c r="BE99" s="38">
        <f t="shared" si="76"/>
        <v>-6.1719608726207298E-2</v>
      </c>
      <c r="BF99" s="38">
        <f t="shared" si="77"/>
        <v>5.2008018818238355E-2</v>
      </c>
      <c r="BG99" s="38">
        <f t="shared" si="78"/>
        <v>7.3406942446514023E-2</v>
      </c>
      <c r="BH99" s="38">
        <f t="shared" si="79"/>
        <v>5.280435723518373E-2</v>
      </c>
      <c r="BI99" s="38">
        <f t="shared" si="80"/>
        <v>6.4036233822529098E-2</v>
      </c>
      <c r="BJ99" s="38">
        <f t="shared" si="81"/>
        <v>3.0311991922882697E-2</v>
      </c>
      <c r="BK99" s="38">
        <f t="shared" si="82"/>
        <v>1.9038536743144263E-2</v>
      </c>
      <c r="BL99" s="38">
        <f t="shared" si="83"/>
        <v>1.6412452033227609E-2</v>
      </c>
      <c r="BM99" s="38">
        <f t="shared" si="84"/>
        <v>1.3807610819151606E-2</v>
      </c>
      <c r="BN99" s="38">
        <f t="shared" si="85"/>
        <v>-5.2336892788130029E-2</v>
      </c>
      <c r="BO99" s="7"/>
      <c r="BX99" s="7"/>
      <c r="CN99" s="7"/>
      <c r="CO99" s="8"/>
      <c r="CP99" s="7"/>
      <c r="DG99" s="7"/>
      <c r="DO99" s="7"/>
      <c r="EE99" s="7"/>
      <c r="EF99" s="7"/>
      <c r="GH99" s="7"/>
      <c r="GJ99" s="9"/>
    </row>
    <row r="100" spans="1:192" x14ac:dyDescent="0.25">
      <c r="A100" s="7">
        <v>1968</v>
      </c>
      <c r="B100" s="8">
        <v>8620.5699137322681</v>
      </c>
      <c r="C100" s="8">
        <v>9415.5248284635763</v>
      </c>
      <c r="D100" s="8">
        <v>2704.2450821297916</v>
      </c>
      <c r="E100" s="8">
        <v>11479.064091831378</v>
      </c>
      <c r="F100" s="8">
        <v>11836.747272615208</v>
      </c>
      <c r="G100" s="8">
        <v>8092.9970567186338</v>
      </c>
      <c r="H100" s="8">
        <v>10267.018066387114</v>
      </c>
      <c r="I100" s="8">
        <v>9864.4500725415346</v>
      </c>
      <c r="J100" s="8">
        <v>9105.3587133350702</v>
      </c>
      <c r="K100" s="8">
        <v>7983.3134093113858</v>
      </c>
      <c r="L100" s="8">
        <v>10894.340761417969</v>
      </c>
      <c r="M100" s="8">
        <v>10545.487495469373</v>
      </c>
      <c r="N100" s="8">
        <v>9551.19851865481</v>
      </c>
      <c r="O100" s="8">
        <v>4873.3687692333015</v>
      </c>
      <c r="P100" s="8">
        <v>5588.174071410227</v>
      </c>
      <c r="Q100" s="8">
        <v>1436.6236085036003</v>
      </c>
      <c r="R100" s="8">
        <v>12036.021233569261</v>
      </c>
      <c r="S100" s="8">
        <v>15373.776908023483</v>
      </c>
      <c r="T100" s="8">
        <v>10409.950374904916</v>
      </c>
      <c r="U100" s="8">
        <v>14862.938825944417</v>
      </c>
      <c r="V100" s="8">
        <v>4747.1608333480399</v>
      </c>
      <c r="W100" s="7"/>
      <c r="X100" s="35">
        <f t="shared" si="44"/>
        <v>9.0619064767543858</v>
      </c>
      <c r="Y100" s="35">
        <f t="shared" si="45"/>
        <v>9.1501151833999241</v>
      </c>
      <c r="Z100" s="35">
        <f t="shared" si="46"/>
        <v>7.9025780699379</v>
      </c>
      <c r="AA100" s="35">
        <f t="shared" si="47"/>
        <v>9.3482801414484094</v>
      </c>
      <c r="AB100" s="35">
        <f t="shared" si="48"/>
        <v>9.378964147097868</v>
      </c>
      <c r="AC100" s="35">
        <f t="shared" si="49"/>
        <v>8.9987544058132727</v>
      </c>
      <c r="AD100" s="35">
        <f t="shared" si="50"/>
        <v>9.2366919069533147</v>
      </c>
      <c r="AE100" s="35">
        <f t="shared" si="51"/>
        <v>9.1966926715953914</v>
      </c>
      <c r="AF100" s="35">
        <f t="shared" si="52"/>
        <v>9.116618388786538</v>
      </c>
      <c r="AG100" s="35">
        <f t="shared" si="53"/>
        <v>8.9851088184657151</v>
      </c>
      <c r="AH100" s="35">
        <f t="shared" si="54"/>
        <v>9.2959987371880306</v>
      </c>
      <c r="AI100" s="35">
        <f t="shared" si="55"/>
        <v>9.2634533218556214</v>
      </c>
      <c r="AJ100" s="35">
        <f t="shared" si="56"/>
        <v>9.1644219249359757</v>
      </c>
      <c r="AK100" s="35">
        <f t="shared" si="57"/>
        <v>8.4915407159977256</v>
      </c>
      <c r="AL100" s="35">
        <f t="shared" si="58"/>
        <v>8.6284078708240681</v>
      </c>
      <c r="AM100" s="35">
        <f t="shared" si="59"/>
        <v>7.2700509231013832</v>
      </c>
      <c r="AN100" s="35">
        <f t="shared" si="60"/>
        <v>9.3956592019199707</v>
      </c>
      <c r="AO100" s="35">
        <f t="shared" si="61"/>
        <v>9.6404185388127352</v>
      </c>
      <c r="AP100" s="35">
        <f t="shared" si="62"/>
        <v>9.2505173945376065</v>
      </c>
      <c r="AQ100" s="35">
        <f t="shared" si="63"/>
        <v>9.6066260662785137</v>
      </c>
      <c r="AR100" s="35">
        <f t="shared" si="64"/>
        <v>8.4653019990281457</v>
      </c>
      <c r="AS100" s="38"/>
      <c r="AT100" s="38">
        <f t="shared" si="65"/>
        <v>3.8289093033982979E-2</v>
      </c>
      <c r="AU100" s="38">
        <f t="shared" si="66"/>
        <v>3.7185243663666157E-2</v>
      </c>
      <c r="AV100" s="38">
        <f t="shared" si="67"/>
        <v>5.7172029613440145E-2</v>
      </c>
      <c r="AW100" s="38">
        <f t="shared" si="68"/>
        <v>3.5539331229026416E-2</v>
      </c>
      <c r="AX100" s="38">
        <f t="shared" si="69"/>
        <v>3.4397720135808996E-2</v>
      </c>
      <c r="AY100" s="38">
        <f t="shared" si="70"/>
        <v>1.8255106599021076E-2</v>
      </c>
      <c r="AZ100" s="38">
        <f t="shared" si="71"/>
        <v>3.5676217561361412E-2</v>
      </c>
      <c r="BA100" s="38">
        <f t="shared" si="72"/>
        <v>4.8580838675585269E-2</v>
      </c>
      <c r="BB100" s="38">
        <f t="shared" si="73"/>
        <v>7.4258587351479832E-2</v>
      </c>
      <c r="BC100" s="38">
        <f t="shared" si="74"/>
        <v>0.10992044782513233</v>
      </c>
      <c r="BD100" s="38">
        <f t="shared" si="75"/>
        <v>5.2101827776851906E-2</v>
      </c>
      <c r="BE100" s="38">
        <f t="shared" si="76"/>
        <v>-1.2858665911357647E-2</v>
      </c>
      <c r="BF100" s="38">
        <f t="shared" si="77"/>
        <v>1.3539325855566275E-2</v>
      </c>
      <c r="BG100" s="38">
        <f t="shared" si="78"/>
        <v>8.390348278588533E-2</v>
      </c>
      <c r="BH100" s="38">
        <f t="shared" si="79"/>
        <v>4.6530431904924896E-2</v>
      </c>
      <c r="BI100" s="38">
        <f t="shared" si="80"/>
        <v>4.8616279258709483E-2</v>
      </c>
      <c r="BJ100" s="38">
        <f t="shared" si="81"/>
        <v>3.4915448627771184E-2</v>
      </c>
      <c r="BK100" s="38">
        <f t="shared" si="82"/>
        <v>2.3920572179470412E-2</v>
      </c>
      <c r="BL100" s="38">
        <f t="shared" si="83"/>
        <v>3.5299836247119742E-2</v>
      </c>
      <c r="BM100" s="38">
        <f t="shared" si="84"/>
        <v>3.6513424331635846E-2</v>
      </c>
      <c r="BN100" s="38">
        <f t="shared" si="85"/>
        <v>5.606341850263874E-3</v>
      </c>
      <c r="BO100" s="7"/>
      <c r="BX100" s="7"/>
      <c r="CN100" s="7"/>
      <c r="CO100" s="8"/>
      <c r="CP100" s="7"/>
      <c r="DG100" s="7"/>
      <c r="DO100" s="7"/>
      <c r="EE100" s="7"/>
      <c r="EF100" s="7"/>
      <c r="GH100" s="7"/>
      <c r="GJ100" s="9"/>
    </row>
    <row r="101" spans="1:192" x14ac:dyDescent="0.25">
      <c r="A101" s="7">
        <v>1969</v>
      </c>
      <c r="B101" s="8">
        <v>9131.0976736497705</v>
      </c>
      <c r="C101" s="8">
        <v>10018.205082859133</v>
      </c>
      <c r="D101" s="8">
        <v>2859.8418151741153</v>
      </c>
      <c r="E101" s="8">
        <v>11912.352219241327</v>
      </c>
      <c r="F101" s="8">
        <v>12530.550411424816</v>
      </c>
      <c r="G101" s="8">
        <v>8877.5754062959259</v>
      </c>
      <c r="H101" s="8">
        <v>10885.564406450359</v>
      </c>
      <c r="I101" s="8">
        <v>10440.360485849507</v>
      </c>
      <c r="J101" s="8">
        <v>9566.3859556989337</v>
      </c>
      <c r="K101" s="8">
        <v>8874.0888973851779</v>
      </c>
      <c r="L101" s="8">
        <v>11462.130039617805</v>
      </c>
      <c r="M101" s="8">
        <v>11511.206741975973</v>
      </c>
      <c r="N101" s="8">
        <v>9899.2947760828756</v>
      </c>
      <c r="O101" s="8">
        <v>4986.5892802180888</v>
      </c>
      <c r="P101" s="8">
        <v>6032.0411520152302</v>
      </c>
      <c r="Q101" s="8">
        <v>1461.0171521617035</v>
      </c>
      <c r="R101" s="8">
        <v>12540.03514056225</v>
      </c>
      <c r="S101" s="8">
        <v>16030.907920154541</v>
      </c>
      <c r="T101" s="8">
        <v>10551.684967815221</v>
      </c>
      <c r="U101" s="8">
        <v>15179.408615679135</v>
      </c>
      <c r="V101" s="8">
        <v>4990.9720653323384</v>
      </c>
      <c r="W101" s="7"/>
      <c r="X101" s="35">
        <f t="shared" si="44"/>
        <v>9.11944119348715</v>
      </c>
      <c r="Y101" s="35">
        <f t="shared" si="45"/>
        <v>9.212159225145351</v>
      </c>
      <c r="Z101" s="35">
        <f t="shared" si="46"/>
        <v>7.9585215929045985</v>
      </c>
      <c r="AA101" s="35">
        <f t="shared" si="47"/>
        <v>9.3853311423653683</v>
      </c>
      <c r="AB101" s="35">
        <f t="shared" si="48"/>
        <v>9.4359249744133447</v>
      </c>
      <c r="AC101" s="35">
        <f t="shared" si="49"/>
        <v>9.0912837588725139</v>
      </c>
      <c r="AD101" s="35">
        <f t="shared" si="50"/>
        <v>9.2951928240883195</v>
      </c>
      <c r="AE101" s="35">
        <f t="shared" si="51"/>
        <v>9.2534343901364373</v>
      </c>
      <c r="AF101" s="35">
        <f t="shared" si="52"/>
        <v>9.1660107700392324</v>
      </c>
      <c r="AG101" s="35">
        <f t="shared" si="53"/>
        <v>9.0908909496242174</v>
      </c>
      <c r="AH101" s="35">
        <f t="shared" si="54"/>
        <v>9.3468038403289349</v>
      </c>
      <c r="AI101" s="35">
        <f t="shared" si="55"/>
        <v>9.351076339137407</v>
      </c>
      <c r="AJ101" s="35">
        <f t="shared" si="56"/>
        <v>9.2002187988462634</v>
      </c>
      <c r="AK101" s="35">
        <f t="shared" si="57"/>
        <v>8.5145074440670996</v>
      </c>
      <c r="AL101" s="35">
        <f t="shared" si="58"/>
        <v>8.7048407319482131</v>
      </c>
      <c r="AM101" s="35">
        <f t="shared" si="59"/>
        <v>7.2868881516966413</v>
      </c>
      <c r="AN101" s="35">
        <f t="shared" si="60"/>
        <v>9.4366816164606764</v>
      </c>
      <c r="AO101" s="35">
        <f t="shared" si="61"/>
        <v>9.6822738828115682</v>
      </c>
      <c r="AP101" s="35">
        <f t="shared" si="62"/>
        <v>9.2640408387406357</v>
      </c>
      <c r="AQ101" s="35">
        <f t="shared" si="63"/>
        <v>9.6276950920668298</v>
      </c>
      <c r="AR101" s="35">
        <f t="shared" si="64"/>
        <v>8.5153859724457988</v>
      </c>
      <c r="AS101" s="38"/>
      <c r="AT101" s="38">
        <f t="shared" si="65"/>
        <v>5.7534716732764224E-2</v>
      </c>
      <c r="AU101" s="38">
        <f t="shared" si="66"/>
        <v>6.2044041745426881E-2</v>
      </c>
      <c r="AV101" s="38">
        <f t="shared" si="67"/>
        <v>5.5943522966698467E-2</v>
      </c>
      <c r="AW101" s="38">
        <f t="shared" si="68"/>
        <v>3.7051000916958898E-2</v>
      </c>
      <c r="AX101" s="38">
        <f t="shared" si="69"/>
        <v>5.6960827315476692E-2</v>
      </c>
      <c r="AY101" s="38">
        <f t="shared" si="70"/>
        <v>9.2529353059241259E-2</v>
      </c>
      <c r="AZ101" s="38">
        <f t="shared" si="71"/>
        <v>5.8500917135004826E-2</v>
      </c>
      <c r="BA101" s="38">
        <f t="shared" si="72"/>
        <v>5.6741718541045927E-2</v>
      </c>
      <c r="BB101" s="38">
        <f t="shared" si="73"/>
        <v>4.9392381252694406E-2</v>
      </c>
      <c r="BC101" s="38">
        <f t="shared" si="74"/>
        <v>0.10578213115850232</v>
      </c>
      <c r="BD101" s="38">
        <f t="shared" si="75"/>
        <v>5.0805103140904251E-2</v>
      </c>
      <c r="BE101" s="38">
        <f t="shared" si="76"/>
        <v>8.7623017281785565E-2</v>
      </c>
      <c r="BF101" s="38">
        <f t="shared" si="77"/>
        <v>3.579687391028763E-2</v>
      </c>
      <c r="BG101" s="38">
        <f t="shared" si="78"/>
        <v>2.2966728069373943E-2</v>
      </c>
      <c r="BH101" s="38">
        <f t="shared" si="79"/>
        <v>7.6432861124144935E-2</v>
      </c>
      <c r="BI101" s="38">
        <f t="shared" si="80"/>
        <v>1.6837228595258047E-2</v>
      </c>
      <c r="BJ101" s="38">
        <f t="shared" si="81"/>
        <v>4.1022414540705654E-2</v>
      </c>
      <c r="BK101" s="38">
        <f t="shared" si="82"/>
        <v>4.185534399883295E-2</v>
      </c>
      <c r="BL101" s="38">
        <f t="shared" si="83"/>
        <v>1.35234442030292E-2</v>
      </c>
      <c r="BM101" s="38">
        <f t="shared" si="84"/>
        <v>2.1069025788316154E-2</v>
      </c>
      <c r="BN101" s="38">
        <f t="shared" si="85"/>
        <v>5.0083973417653027E-2</v>
      </c>
      <c r="BO101" s="7"/>
      <c r="BX101" s="7"/>
      <c r="CN101" s="7"/>
      <c r="CO101" s="8"/>
      <c r="CP101" s="7"/>
      <c r="DG101" s="7"/>
      <c r="DO101" s="7"/>
      <c r="EE101" s="7"/>
      <c r="EF101" s="7"/>
      <c r="GH101" s="7"/>
      <c r="GJ101" s="9"/>
    </row>
    <row r="102" spans="1:192" x14ac:dyDescent="0.25">
      <c r="A102" s="7">
        <v>1970</v>
      </c>
      <c r="B102" s="8">
        <v>9747.4436480308377</v>
      </c>
      <c r="C102" s="8">
        <v>10610.824046981676</v>
      </c>
      <c r="D102" s="8">
        <v>3056.7189096869261</v>
      </c>
      <c r="E102" s="8">
        <v>12050.490515258263</v>
      </c>
      <c r="F102" s="8">
        <v>12685.551346921749</v>
      </c>
      <c r="G102" s="8">
        <v>9576.8692794466369</v>
      </c>
      <c r="H102" s="8">
        <v>11410.088986478679</v>
      </c>
      <c r="I102" s="8">
        <v>10839.145088003876</v>
      </c>
      <c r="J102" s="8">
        <v>9718.5111747616047</v>
      </c>
      <c r="K102" s="8">
        <v>9713.9514330029106</v>
      </c>
      <c r="L102" s="8">
        <v>11966.773413973782</v>
      </c>
      <c r="M102" s="8">
        <v>11189.33540778982</v>
      </c>
      <c r="N102" s="8">
        <v>10027.230870410142</v>
      </c>
      <c r="O102" s="8">
        <v>5472.8997589615446</v>
      </c>
      <c r="P102" s="8">
        <v>6319.1336974542137</v>
      </c>
      <c r="Q102" s="8">
        <v>1498.7257027654152</v>
      </c>
      <c r="R102" s="8">
        <v>13010.941191097849</v>
      </c>
      <c r="S102" s="8">
        <v>16903.622147758098</v>
      </c>
      <c r="T102" s="8">
        <v>10767.471958584987</v>
      </c>
      <c r="U102" s="8">
        <v>15029.846087821626</v>
      </c>
      <c r="V102" s="8">
        <v>5184.0537402002155</v>
      </c>
      <c r="W102" s="7"/>
      <c r="X102" s="35">
        <f t="shared" si="44"/>
        <v>9.1847603396685447</v>
      </c>
      <c r="Y102" s="35">
        <f t="shared" si="45"/>
        <v>9.2696298956026286</v>
      </c>
      <c r="Z102" s="35">
        <f t="shared" si="46"/>
        <v>8.0250973679369721</v>
      </c>
      <c r="AA102" s="35">
        <f t="shared" si="47"/>
        <v>9.3968606447507437</v>
      </c>
      <c r="AB102" s="35">
        <f t="shared" si="48"/>
        <v>9.4482189355682742</v>
      </c>
      <c r="AC102" s="35">
        <f t="shared" si="49"/>
        <v>9.1671060200024073</v>
      </c>
      <c r="AD102" s="35">
        <f t="shared" si="50"/>
        <v>9.3422532418159534</v>
      </c>
      <c r="AE102" s="35">
        <f t="shared" si="51"/>
        <v>9.2909194054632103</v>
      </c>
      <c r="AF102" s="35">
        <f t="shared" si="52"/>
        <v>9.1817877144017377</v>
      </c>
      <c r="AG102" s="35">
        <f t="shared" si="53"/>
        <v>9.1813184232023239</v>
      </c>
      <c r="AH102" s="35">
        <f t="shared" si="54"/>
        <v>9.3898892061562549</v>
      </c>
      <c r="AI102" s="35">
        <f t="shared" si="55"/>
        <v>9.3227164079237941</v>
      </c>
      <c r="AJ102" s="35">
        <f t="shared" si="56"/>
        <v>9.2130597581327116</v>
      </c>
      <c r="AK102" s="35">
        <f t="shared" si="57"/>
        <v>8.6075638754201016</v>
      </c>
      <c r="AL102" s="35">
        <f t="shared" si="58"/>
        <v>8.7513374045578907</v>
      </c>
      <c r="AM102" s="35">
        <f t="shared" si="59"/>
        <v>7.3123704945442016</v>
      </c>
      <c r="AN102" s="35">
        <f t="shared" si="60"/>
        <v>9.4735459125561192</v>
      </c>
      <c r="AO102" s="35">
        <f t="shared" si="61"/>
        <v>9.7352832062158523</v>
      </c>
      <c r="AP102" s="35">
        <f t="shared" si="62"/>
        <v>9.2842850126606518</v>
      </c>
      <c r="AQ102" s="35">
        <f t="shared" si="63"/>
        <v>9.6177932423633585</v>
      </c>
      <c r="AR102" s="35">
        <f t="shared" si="64"/>
        <v>8.5533426045293464</v>
      </c>
      <c r="AS102" s="38"/>
      <c r="AT102" s="38">
        <f t="shared" si="65"/>
        <v>6.5319146181394672E-2</v>
      </c>
      <c r="AU102" s="38">
        <f t="shared" si="66"/>
        <v>5.7470670457277606E-2</v>
      </c>
      <c r="AV102" s="38">
        <f t="shared" si="67"/>
        <v>6.6575775032373663E-2</v>
      </c>
      <c r="AW102" s="38">
        <f t="shared" si="68"/>
        <v>1.1529502385375423E-2</v>
      </c>
      <c r="AX102" s="38">
        <f t="shared" si="69"/>
        <v>1.2293961154929534E-2</v>
      </c>
      <c r="AY102" s="38">
        <f t="shared" si="70"/>
        <v>7.582226112989332E-2</v>
      </c>
      <c r="AZ102" s="38">
        <f t="shared" si="71"/>
        <v>4.7060417727633919E-2</v>
      </c>
      <c r="BA102" s="38">
        <f t="shared" si="72"/>
        <v>3.7485015326772952E-2</v>
      </c>
      <c r="BB102" s="38">
        <f t="shared" si="73"/>
        <v>1.5776944362505319E-2</v>
      </c>
      <c r="BC102" s="38">
        <f t="shared" si="74"/>
        <v>9.0427473578106543E-2</v>
      </c>
      <c r="BD102" s="38">
        <f t="shared" si="75"/>
        <v>4.3085365827320032E-2</v>
      </c>
      <c r="BE102" s="38">
        <f t="shared" si="76"/>
        <v>-2.835993121361291E-2</v>
      </c>
      <c r="BF102" s="38">
        <f t="shared" si="77"/>
        <v>1.2840959286448239E-2</v>
      </c>
      <c r="BG102" s="38">
        <f t="shared" si="78"/>
        <v>9.3056431353002012E-2</v>
      </c>
      <c r="BH102" s="38">
        <f t="shared" si="79"/>
        <v>4.6496672609677603E-2</v>
      </c>
      <c r="BI102" s="38">
        <f t="shared" si="80"/>
        <v>2.5482342847560346E-2</v>
      </c>
      <c r="BJ102" s="38">
        <f t="shared" si="81"/>
        <v>3.6864296095442839E-2</v>
      </c>
      <c r="BK102" s="38">
        <f t="shared" si="82"/>
        <v>5.3009323404284103E-2</v>
      </c>
      <c r="BL102" s="38">
        <f t="shared" si="83"/>
        <v>2.0244173920016095E-2</v>
      </c>
      <c r="BM102" s="38">
        <f t="shared" si="84"/>
        <v>-9.9018497034712993E-3</v>
      </c>
      <c r="BN102" s="38">
        <f t="shared" si="85"/>
        <v>3.7956632083547603E-2</v>
      </c>
      <c r="BO102" s="7"/>
      <c r="BX102" s="7"/>
      <c r="CN102" s="7"/>
      <c r="CO102" s="8"/>
      <c r="CP102" s="7"/>
      <c r="DG102" s="7"/>
      <c r="DO102" s="7"/>
      <c r="EE102" s="7"/>
      <c r="EF102" s="7"/>
      <c r="GH102" s="7"/>
      <c r="GJ102" s="9"/>
    </row>
    <row r="103" spans="1:192" x14ac:dyDescent="0.25">
      <c r="A103" s="7">
        <v>1971</v>
      </c>
      <c r="B103" s="8">
        <v>10200.14447071535</v>
      </c>
      <c r="C103" s="8">
        <v>10969.55285603515</v>
      </c>
      <c r="D103" s="8">
        <v>3278.4714801811429</v>
      </c>
      <c r="E103" s="8">
        <v>12561.925689172991</v>
      </c>
      <c r="F103" s="8">
        <v>12933.582584846727</v>
      </c>
      <c r="G103" s="8">
        <v>9764.6984339536393</v>
      </c>
      <c r="H103" s="8">
        <v>11844.961092462618</v>
      </c>
      <c r="I103" s="8">
        <v>11076.768851250534</v>
      </c>
      <c r="J103" s="8">
        <v>9839.460795659701</v>
      </c>
      <c r="K103" s="8">
        <v>10040.324215724026</v>
      </c>
      <c r="L103" s="8">
        <v>12319.369375378208</v>
      </c>
      <c r="M103" s="8">
        <v>11576.183354780371</v>
      </c>
      <c r="N103" s="8">
        <v>10472.391642294197</v>
      </c>
      <c r="O103" s="8">
        <v>5870.7851108676432</v>
      </c>
      <c r="P103" s="8">
        <v>6618.4713953970422</v>
      </c>
      <c r="Q103" s="8">
        <v>1457.0978623196374</v>
      </c>
      <c r="R103" s="8">
        <v>13226.969622128921</v>
      </c>
      <c r="S103" s="8">
        <v>17381.035370745132</v>
      </c>
      <c r="T103" s="8">
        <v>10941.474233995743</v>
      </c>
      <c r="U103" s="8">
        <v>15304.298833194485</v>
      </c>
      <c r="V103" s="8">
        <v>5130.1431472002187</v>
      </c>
      <c r="W103" s="7"/>
      <c r="X103" s="35">
        <f t="shared" si="44"/>
        <v>9.2301571629676786</v>
      </c>
      <c r="Y103" s="35">
        <f t="shared" si="45"/>
        <v>9.3028787918218718</v>
      </c>
      <c r="Z103" s="35">
        <f t="shared" si="46"/>
        <v>8.0951325806208914</v>
      </c>
      <c r="AA103" s="35">
        <f t="shared" si="47"/>
        <v>9.4384257474716726</v>
      </c>
      <c r="AB103" s="35">
        <f t="shared" si="48"/>
        <v>9.4675825087817831</v>
      </c>
      <c r="AC103" s="35">
        <f t="shared" si="49"/>
        <v>9.186528960494293</v>
      </c>
      <c r="AD103" s="35">
        <f t="shared" si="50"/>
        <v>9.3796578318650443</v>
      </c>
      <c r="AE103" s="35">
        <f t="shared" si="51"/>
        <v>9.3126052978486786</v>
      </c>
      <c r="AF103" s="35">
        <f t="shared" si="52"/>
        <v>9.1941561913558232</v>
      </c>
      <c r="AG103" s="35">
        <f t="shared" si="53"/>
        <v>9.2143646851271228</v>
      </c>
      <c r="AH103" s="35">
        <f t="shared" si="54"/>
        <v>9.4189280487139513</v>
      </c>
      <c r="AI103" s="35">
        <f t="shared" si="55"/>
        <v>9.3567051074032594</v>
      </c>
      <c r="AJ103" s="35">
        <f t="shared" si="56"/>
        <v>9.2564977058871829</v>
      </c>
      <c r="AK103" s="35">
        <f t="shared" si="57"/>
        <v>8.6777436536003609</v>
      </c>
      <c r="AL103" s="35">
        <f t="shared" si="58"/>
        <v>8.7976197152281976</v>
      </c>
      <c r="AM103" s="35">
        <f t="shared" si="59"/>
        <v>7.2842019709400407</v>
      </c>
      <c r="AN103" s="35">
        <f t="shared" si="60"/>
        <v>9.4900131773672456</v>
      </c>
      <c r="AO103" s="35">
        <f t="shared" si="61"/>
        <v>9.7631349695850052</v>
      </c>
      <c r="AP103" s="35">
        <f t="shared" si="62"/>
        <v>9.3003158232038974</v>
      </c>
      <c r="AQ103" s="35">
        <f t="shared" si="63"/>
        <v>9.6358890374058266</v>
      </c>
      <c r="AR103" s="35">
        <f t="shared" si="64"/>
        <v>8.5428888417131716</v>
      </c>
      <c r="AS103" s="38"/>
      <c r="AT103" s="38">
        <f t="shared" si="65"/>
        <v>4.539682329913397E-2</v>
      </c>
      <c r="AU103" s="38">
        <f t="shared" si="66"/>
        <v>3.3248896219243207E-2</v>
      </c>
      <c r="AV103" s="38">
        <f t="shared" si="67"/>
        <v>7.0035212683919212E-2</v>
      </c>
      <c r="AW103" s="38">
        <f t="shared" si="68"/>
        <v>4.1565102720928948E-2</v>
      </c>
      <c r="AX103" s="38">
        <f t="shared" si="69"/>
        <v>1.93635732135089E-2</v>
      </c>
      <c r="AY103" s="38">
        <f t="shared" si="70"/>
        <v>1.9422940491885754E-2</v>
      </c>
      <c r="AZ103" s="38">
        <f t="shared" si="71"/>
        <v>3.7404590049090913E-2</v>
      </c>
      <c r="BA103" s="38">
        <f t="shared" si="72"/>
        <v>2.1685892385468364E-2</v>
      </c>
      <c r="BB103" s="38">
        <f t="shared" si="73"/>
        <v>1.2368476954085494E-2</v>
      </c>
      <c r="BC103" s="38">
        <f t="shared" si="74"/>
        <v>3.304626192479887E-2</v>
      </c>
      <c r="BD103" s="38">
        <f t="shared" si="75"/>
        <v>2.9038842557696398E-2</v>
      </c>
      <c r="BE103" s="38">
        <f t="shared" si="76"/>
        <v>3.3988699479465367E-2</v>
      </c>
      <c r="BF103" s="38">
        <f t="shared" si="77"/>
        <v>4.3437947754471296E-2</v>
      </c>
      <c r="BG103" s="38">
        <f t="shared" si="78"/>
        <v>7.0179778180259333E-2</v>
      </c>
      <c r="BH103" s="38">
        <f t="shared" si="79"/>
        <v>4.628231067030697E-2</v>
      </c>
      <c r="BI103" s="38">
        <f t="shared" si="80"/>
        <v>-2.8168523604160889E-2</v>
      </c>
      <c r="BJ103" s="38">
        <f t="shared" si="81"/>
        <v>1.646726481112637E-2</v>
      </c>
      <c r="BK103" s="38">
        <f t="shared" si="82"/>
        <v>2.7851763369152849E-2</v>
      </c>
      <c r="BL103" s="38">
        <f t="shared" si="83"/>
        <v>1.6030810543245622E-2</v>
      </c>
      <c r="BM103" s="38">
        <f t="shared" si="84"/>
        <v>1.8095795042468055E-2</v>
      </c>
      <c r="BN103" s="38">
        <f t="shared" si="85"/>
        <v>-1.0453762816174716E-2</v>
      </c>
      <c r="BO103" s="7"/>
      <c r="BX103" s="7"/>
      <c r="CN103" s="7"/>
      <c r="CO103" s="8"/>
      <c r="CP103" s="7"/>
      <c r="DG103" s="7"/>
      <c r="DO103" s="7"/>
      <c r="EE103" s="7"/>
      <c r="EF103" s="7"/>
      <c r="GH103" s="7"/>
      <c r="GJ103" s="9"/>
    </row>
    <row r="104" spans="1:192" x14ac:dyDescent="0.25">
      <c r="A104" s="7">
        <v>1972</v>
      </c>
      <c r="B104" s="8">
        <v>10770.656826349139</v>
      </c>
      <c r="C104" s="8">
        <v>11502.507956453224</v>
      </c>
      <c r="D104" s="8">
        <v>3537.8789380811704</v>
      </c>
      <c r="E104" s="8">
        <v>13072.494334627207</v>
      </c>
      <c r="F104" s="8">
        <v>13538.355267533672</v>
      </c>
      <c r="G104" s="8">
        <v>10447.53954872095</v>
      </c>
      <c r="H104" s="8">
        <v>12263.545959844218</v>
      </c>
      <c r="I104" s="8">
        <v>11480.848986690156</v>
      </c>
      <c r="J104" s="8">
        <v>10060.283748734768</v>
      </c>
      <c r="K104" s="8">
        <v>10733.599560840017</v>
      </c>
      <c r="L104" s="8">
        <v>12597.193341812534</v>
      </c>
      <c r="M104" s="8">
        <v>11850.397733092077</v>
      </c>
      <c r="N104" s="8">
        <v>10921.915849894231</v>
      </c>
      <c r="O104" s="8">
        <v>6355.4225261831907</v>
      </c>
      <c r="P104" s="8">
        <v>7099.2917745204504</v>
      </c>
      <c r="Q104" s="8">
        <v>1459.7756594626314</v>
      </c>
      <c r="R104" s="8">
        <v>13532.996798818025</v>
      </c>
      <c r="S104" s="8">
        <v>17774.393101509046</v>
      </c>
      <c r="T104" s="8">
        <v>11293.924642022861</v>
      </c>
      <c r="U104" s="8">
        <v>15943.867439112702</v>
      </c>
      <c r="V104" s="8">
        <v>4944.9978547643677</v>
      </c>
      <c r="W104" s="7"/>
      <c r="X104" s="35">
        <f t="shared" si="44"/>
        <v>9.284580754952767</v>
      </c>
      <c r="Y104" s="35">
        <f t="shared" si="45"/>
        <v>9.3503203737445091</v>
      </c>
      <c r="Z104" s="35">
        <f t="shared" si="46"/>
        <v>8.1712826565201535</v>
      </c>
      <c r="AA104" s="35">
        <f t="shared" si="47"/>
        <v>9.4782656326812162</v>
      </c>
      <c r="AB104" s="35">
        <f t="shared" si="48"/>
        <v>9.5132820669707723</v>
      </c>
      <c r="AC104" s="35">
        <f t="shared" si="49"/>
        <v>9.2541217797871198</v>
      </c>
      <c r="AD104" s="35">
        <f t="shared" si="50"/>
        <v>9.4143863976748747</v>
      </c>
      <c r="AE104" s="35">
        <f t="shared" si="51"/>
        <v>9.348435620683567</v>
      </c>
      <c r="AF104" s="35">
        <f t="shared" si="52"/>
        <v>9.2163506488955971</v>
      </c>
      <c r="AG104" s="35">
        <f t="shared" si="53"/>
        <v>9.2811342463617521</v>
      </c>
      <c r="AH104" s="35">
        <f t="shared" si="54"/>
        <v>9.4412293174771591</v>
      </c>
      <c r="AI104" s="35">
        <f t="shared" si="55"/>
        <v>9.3801167099740344</v>
      </c>
      <c r="AJ104" s="35">
        <f t="shared" si="56"/>
        <v>9.2985266780398828</v>
      </c>
      <c r="AK104" s="35">
        <f t="shared" si="57"/>
        <v>8.7570636686176577</v>
      </c>
      <c r="AL104" s="35">
        <f t="shared" si="58"/>
        <v>8.8677503079864959</v>
      </c>
      <c r="AM104" s="35">
        <f t="shared" si="59"/>
        <v>7.2860380449934903</v>
      </c>
      <c r="AN104" s="35">
        <f t="shared" si="60"/>
        <v>9.5128861895301107</v>
      </c>
      <c r="AO104" s="35">
        <f t="shared" si="61"/>
        <v>9.7855141107135246</v>
      </c>
      <c r="AP104" s="35">
        <f t="shared" si="62"/>
        <v>9.3320202178201246</v>
      </c>
      <c r="AQ104" s="35">
        <f t="shared" si="63"/>
        <v>9.6768295477030701</v>
      </c>
      <c r="AR104" s="35">
        <f t="shared" si="64"/>
        <v>8.5061318102375818</v>
      </c>
      <c r="AS104" s="38"/>
      <c r="AT104" s="38">
        <f t="shared" si="65"/>
        <v>5.4423591985088393E-2</v>
      </c>
      <c r="AU104" s="38">
        <f t="shared" si="66"/>
        <v>4.7441581922637255E-2</v>
      </c>
      <c r="AV104" s="38">
        <f t="shared" si="67"/>
        <v>7.6150075899262148E-2</v>
      </c>
      <c r="AW104" s="38">
        <f t="shared" si="68"/>
        <v>3.9839885209543624E-2</v>
      </c>
      <c r="AX104" s="38">
        <f t="shared" si="69"/>
        <v>4.5699558188989187E-2</v>
      </c>
      <c r="AY104" s="38">
        <f t="shared" si="70"/>
        <v>6.7592819292826789E-2</v>
      </c>
      <c r="AZ104" s="38">
        <f t="shared" si="71"/>
        <v>3.4728565809830414E-2</v>
      </c>
      <c r="BA104" s="38">
        <f t="shared" si="72"/>
        <v>3.5830322834888406E-2</v>
      </c>
      <c r="BB104" s="38">
        <f t="shared" si="73"/>
        <v>2.2194457539773893E-2</v>
      </c>
      <c r="BC104" s="38">
        <f t="shared" si="74"/>
        <v>6.6769561234629293E-2</v>
      </c>
      <c r="BD104" s="38">
        <f t="shared" si="75"/>
        <v>2.2301268763207815E-2</v>
      </c>
      <c r="BE104" s="38">
        <f t="shared" si="76"/>
        <v>2.3411602570774903E-2</v>
      </c>
      <c r="BF104" s="38">
        <f t="shared" si="77"/>
        <v>4.2028972152699851E-2</v>
      </c>
      <c r="BG104" s="38">
        <f t="shared" si="78"/>
        <v>7.9320015017296797E-2</v>
      </c>
      <c r="BH104" s="38">
        <f t="shared" si="79"/>
        <v>7.0130592758298249E-2</v>
      </c>
      <c r="BI104" s="38">
        <f t="shared" si="80"/>
        <v>1.8360740534495434E-3</v>
      </c>
      <c r="BJ104" s="38">
        <f t="shared" si="81"/>
        <v>2.2873012162865081E-2</v>
      </c>
      <c r="BK104" s="38">
        <f t="shared" si="82"/>
        <v>2.2379141128519464E-2</v>
      </c>
      <c r="BL104" s="38">
        <f t="shared" si="83"/>
        <v>3.1704394616227205E-2</v>
      </c>
      <c r="BM104" s="38">
        <f t="shared" si="84"/>
        <v>4.0940510297243549E-2</v>
      </c>
      <c r="BN104" s="38">
        <f t="shared" si="85"/>
        <v>-3.6757031475589841E-2</v>
      </c>
      <c r="BO104" s="7"/>
      <c r="BX104" s="7"/>
      <c r="CN104" s="7"/>
      <c r="CO104" s="8"/>
      <c r="CP104" s="7"/>
      <c r="DG104" s="7"/>
      <c r="DO104" s="7"/>
      <c r="EE104" s="7"/>
      <c r="EF104" s="7"/>
      <c r="GH104" s="7"/>
      <c r="GJ104" s="9"/>
    </row>
    <row r="105" spans="1:192" x14ac:dyDescent="0.25">
      <c r="A105" s="7">
        <v>1973</v>
      </c>
      <c r="B105" s="8">
        <v>11234.604273729045</v>
      </c>
      <c r="C105" s="8">
        <v>12169.966318902489</v>
      </c>
      <c r="D105" s="8">
        <v>3880.1213374165563</v>
      </c>
      <c r="E105" s="8">
        <v>13837.895343425165</v>
      </c>
      <c r="F105" s="8">
        <v>13945.427800570347</v>
      </c>
      <c r="G105" s="8">
        <v>11085.105466450324</v>
      </c>
      <c r="H105" s="8">
        <v>12824.423902649391</v>
      </c>
      <c r="I105" s="8">
        <v>11966.464437971166</v>
      </c>
      <c r="J105" s="8">
        <v>10634.061527960652</v>
      </c>
      <c r="K105" s="8">
        <v>11433.802064833166</v>
      </c>
      <c r="L105" s="8">
        <v>13081.24089735656</v>
      </c>
      <c r="M105" s="8">
        <v>12424.222170236941</v>
      </c>
      <c r="N105" s="8">
        <v>11324.423065573739</v>
      </c>
      <c r="O105" s="8">
        <v>7062.9849765205909</v>
      </c>
      <c r="P105" s="8">
        <v>7661.3421311009906</v>
      </c>
      <c r="Q105" s="8">
        <v>1492.0988862659945</v>
      </c>
      <c r="R105" s="8">
        <v>14017.942730736144</v>
      </c>
      <c r="S105" s="8">
        <v>18203.567713589295</v>
      </c>
      <c r="T105" s="8">
        <v>12025.280199252802</v>
      </c>
      <c r="U105" s="8">
        <v>16689.343067071241</v>
      </c>
      <c r="V105" s="8">
        <v>4974.3923588139505</v>
      </c>
      <c r="W105" s="7"/>
      <c r="X105" s="35">
        <f t="shared" si="44"/>
        <v>9.3267539613670589</v>
      </c>
      <c r="Y105" s="35">
        <f t="shared" si="45"/>
        <v>9.406726418426592</v>
      </c>
      <c r="Z105" s="35">
        <f t="shared" si="46"/>
        <v>8.2636217046583837</v>
      </c>
      <c r="AA105" s="35">
        <f t="shared" si="47"/>
        <v>9.5351661470459952</v>
      </c>
      <c r="AB105" s="35">
        <f t="shared" si="48"/>
        <v>9.5429069772941819</v>
      </c>
      <c r="AC105" s="35">
        <f t="shared" si="49"/>
        <v>9.313357636344378</v>
      </c>
      <c r="AD105" s="35">
        <f t="shared" si="50"/>
        <v>9.45910674915865</v>
      </c>
      <c r="AE105" s="35">
        <f t="shared" si="51"/>
        <v>9.3898633863315801</v>
      </c>
      <c r="AF105" s="35">
        <f t="shared" si="52"/>
        <v>9.271817480013377</v>
      </c>
      <c r="AG105" s="35">
        <f t="shared" si="53"/>
        <v>9.3443293405697538</v>
      </c>
      <c r="AH105" s="35">
        <f t="shared" si="54"/>
        <v>9.4789344903398156</v>
      </c>
      <c r="AI105" s="35">
        <f t="shared" si="55"/>
        <v>9.42740324701224</v>
      </c>
      <c r="AJ105" s="35">
        <f t="shared" si="56"/>
        <v>9.3347170056163762</v>
      </c>
      <c r="AK105" s="35">
        <f t="shared" si="57"/>
        <v>8.8626230423389263</v>
      </c>
      <c r="AL105" s="35">
        <f t="shared" si="58"/>
        <v>8.9439424603241093</v>
      </c>
      <c r="AM105" s="35">
        <f t="shared" si="59"/>
        <v>7.3079390562256128</v>
      </c>
      <c r="AN105" s="35">
        <f t="shared" si="60"/>
        <v>9.5480934116428902</v>
      </c>
      <c r="AO105" s="35">
        <f t="shared" si="61"/>
        <v>9.8093728820730579</v>
      </c>
      <c r="AP105" s="35">
        <f t="shared" si="62"/>
        <v>9.3947663960956529</v>
      </c>
      <c r="AQ105" s="35">
        <f t="shared" si="63"/>
        <v>9.7225256550107151</v>
      </c>
      <c r="AR105" s="35">
        <f t="shared" si="64"/>
        <v>8.5120585032012563</v>
      </c>
      <c r="AS105" s="38"/>
      <c r="AT105" s="38">
        <f t="shared" si="65"/>
        <v>4.2173206414291897E-2</v>
      </c>
      <c r="AU105" s="38">
        <f t="shared" si="66"/>
        <v>5.6406044682082879E-2</v>
      </c>
      <c r="AV105" s="38">
        <f t="shared" si="67"/>
        <v>9.233904813823024E-2</v>
      </c>
      <c r="AW105" s="38">
        <f t="shared" si="68"/>
        <v>5.6900514364778942E-2</v>
      </c>
      <c r="AX105" s="38">
        <f t="shared" si="69"/>
        <v>2.9624910323409637E-2</v>
      </c>
      <c r="AY105" s="38">
        <f t="shared" si="70"/>
        <v>5.923585655725816E-2</v>
      </c>
      <c r="AZ105" s="38">
        <f t="shared" si="71"/>
        <v>4.4720351483775289E-2</v>
      </c>
      <c r="BA105" s="38">
        <f t="shared" si="72"/>
        <v>4.1427765648013093E-2</v>
      </c>
      <c r="BB105" s="38">
        <f t="shared" si="73"/>
        <v>5.5466831117779947E-2</v>
      </c>
      <c r="BC105" s="38">
        <f t="shared" si="74"/>
        <v>6.3195094208001734E-2</v>
      </c>
      <c r="BD105" s="38">
        <f t="shared" si="75"/>
        <v>3.7705172862656511E-2</v>
      </c>
      <c r="BE105" s="38">
        <f t="shared" si="76"/>
        <v>4.7286537038205623E-2</v>
      </c>
      <c r="BF105" s="38">
        <f t="shared" si="77"/>
        <v>3.6190327576493431E-2</v>
      </c>
      <c r="BG105" s="38">
        <f t="shared" si="78"/>
        <v>0.10555937372126856</v>
      </c>
      <c r="BH105" s="38">
        <f t="shared" si="79"/>
        <v>7.619215233761345E-2</v>
      </c>
      <c r="BI105" s="38">
        <f t="shared" si="80"/>
        <v>2.1901011232122514E-2</v>
      </c>
      <c r="BJ105" s="38">
        <f t="shared" si="81"/>
        <v>3.520722211277949E-2</v>
      </c>
      <c r="BK105" s="38">
        <f t="shared" si="82"/>
        <v>2.3858771359533293E-2</v>
      </c>
      <c r="BL105" s="38">
        <f t="shared" si="83"/>
        <v>6.2746178275528308E-2</v>
      </c>
      <c r="BM105" s="38">
        <f t="shared" si="84"/>
        <v>4.5696107307644951E-2</v>
      </c>
      <c r="BN105" s="38">
        <f t="shared" si="85"/>
        <v>5.9266929636745402E-3</v>
      </c>
      <c r="BO105" s="7"/>
      <c r="BX105" s="7"/>
      <c r="CN105" s="7"/>
      <c r="CO105" s="8"/>
      <c r="CP105" s="7"/>
      <c r="DG105" s="7"/>
      <c r="DO105" s="7"/>
      <c r="EE105" s="7"/>
      <c r="EF105" s="7"/>
      <c r="GH105" s="7"/>
      <c r="GJ105" s="9"/>
    </row>
    <row r="106" spans="1:192" x14ac:dyDescent="0.25">
      <c r="A106" s="7">
        <v>1974</v>
      </c>
      <c r="B106" s="8">
        <v>11657.791420440326</v>
      </c>
      <c r="C106" s="8">
        <v>12642.969757775551</v>
      </c>
      <c r="D106" s="8">
        <v>4080.9365052457106</v>
      </c>
      <c r="E106" s="8">
        <v>14204.68902324402</v>
      </c>
      <c r="F106" s="8">
        <v>13751.222177802418</v>
      </c>
      <c r="G106" s="8">
        <v>11361.296080181231</v>
      </c>
      <c r="H106" s="8">
        <v>13112.534922704413</v>
      </c>
      <c r="I106" s="8">
        <v>12063.031524512842</v>
      </c>
      <c r="J106" s="8">
        <v>11046.194528584672</v>
      </c>
      <c r="K106" s="8">
        <v>11144.520200748892</v>
      </c>
      <c r="L106" s="8">
        <v>13497.423744795646</v>
      </c>
      <c r="M106" s="8">
        <v>12879.283285377975</v>
      </c>
      <c r="N106" s="8">
        <v>11726.198839657483</v>
      </c>
      <c r="O106" s="8">
        <v>7047.6902278447633</v>
      </c>
      <c r="P106" s="8">
        <v>8149.4332967440832</v>
      </c>
      <c r="Q106" s="8">
        <v>1516.7374969067992</v>
      </c>
      <c r="R106" s="8">
        <v>14484.98958460973</v>
      </c>
      <c r="S106" s="8">
        <v>18414.39628482972</v>
      </c>
      <c r="T106" s="8">
        <v>11858.903671030164</v>
      </c>
      <c r="U106" s="8">
        <v>16491.269744779151</v>
      </c>
      <c r="V106" s="8">
        <v>5123.2941290875624</v>
      </c>
      <c r="W106" s="7"/>
      <c r="X106" s="35">
        <f t="shared" si="44"/>
        <v>9.3637300269066106</v>
      </c>
      <c r="Y106" s="35">
        <f t="shared" si="45"/>
        <v>9.4448565892957141</v>
      </c>
      <c r="Z106" s="35">
        <f t="shared" si="46"/>
        <v>8.3140817766583819</v>
      </c>
      <c r="AA106" s="35">
        <f t="shared" si="47"/>
        <v>9.5613274019855794</v>
      </c>
      <c r="AB106" s="35">
        <f t="shared" si="48"/>
        <v>9.5288829848029781</v>
      </c>
      <c r="AC106" s="35">
        <f t="shared" si="49"/>
        <v>9.3379677773324445</v>
      </c>
      <c r="AD106" s="35">
        <f t="shared" si="50"/>
        <v>9.4813239160149738</v>
      </c>
      <c r="AE106" s="35">
        <f t="shared" si="51"/>
        <v>9.3979008088847618</v>
      </c>
      <c r="AF106" s="35">
        <f t="shared" si="52"/>
        <v>9.3098412610778087</v>
      </c>
      <c r="AG106" s="35">
        <f t="shared" si="53"/>
        <v>9.3187031942650798</v>
      </c>
      <c r="AH106" s="35">
        <f t="shared" si="54"/>
        <v>9.5102541124966091</v>
      </c>
      <c r="AI106" s="35">
        <f t="shared" si="55"/>
        <v>9.4633753525648849</v>
      </c>
      <c r="AJ106" s="35">
        <f t="shared" si="56"/>
        <v>9.3695808345403311</v>
      </c>
      <c r="AK106" s="35">
        <f t="shared" si="57"/>
        <v>8.8604552148687183</v>
      </c>
      <c r="AL106" s="35">
        <f t="shared" si="58"/>
        <v>9.0057036696754675</v>
      </c>
      <c r="AM106" s="35">
        <f t="shared" si="59"/>
        <v>7.3243169234436465</v>
      </c>
      <c r="AN106" s="35">
        <f t="shared" si="60"/>
        <v>9.5808681911565738</v>
      </c>
      <c r="AO106" s="35">
        <f t="shared" si="61"/>
        <v>9.8208880444606717</v>
      </c>
      <c r="AP106" s="35">
        <f t="shared" si="62"/>
        <v>9.3808342290740736</v>
      </c>
      <c r="AQ106" s="35">
        <f t="shared" si="63"/>
        <v>9.7105864134854762</v>
      </c>
      <c r="AR106" s="35">
        <f t="shared" si="64"/>
        <v>8.541552895737837</v>
      </c>
      <c r="AS106" s="38"/>
      <c r="AT106" s="38">
        <f t="shared" si="65"/>
        <v>3.6976065539551684E-2</v>
      </c>
      <c r="AU106" s="38">
        <f t="shared" si="66"/>
        <v>3.8130170869122182E-2</v>
      </c>
      <c r="AV106" s="38">
        <f t="shared" si="67"/>
        <v>5.0460071999998135E-2</v>
      </c>
      <c r="AW106" s="38">
        <f t="shared" si="68"/>
        <v>2.6161254939584211E-2</v>
      </c>
      <c r="AX106" s="38">
        <f t="shared" si="69"/>
        <v>-1.4023992491203785E-2</v>
      </c>
      <c r="AY106" s="38">
        <f t="shared" si="70"/>
        <v>2.4610140988066576E-2</v>
      </c>
      <c r="AZ106" s="38">
        <f t="shared" si="71"/>
        <v>2.22171668563238E-2</v>
      </c>
      <c r="BA106" s="38">
        <f t="shared" si="72"/>
        <v>8.0374225531816279E-3</v>
      </c>
      <c r="BB106" s="38">
        <f t="shared" si="73"/>
        <v>3.8023781064431716E-2</v>
      </c>
      <c r="BC106" s="38">
        <f t="shared" si="74"/>
        <v>-2.562614630467408E-2</v>
      </c>
      <c r="BD106" s="38">
        <f t="shared" si="75"/>
        <v>3.1319622156793514E-2</v>
      </c>
      <c r="BE106" s="38">
        <f t="shared" si="76"/>
        <v>3.5972105552644962E-2</v>
      </c>
      <c r="BF106" s="38">
        <f t="shared" si="77"/>
        <v>3.4863828923954898E-2</v>
      </c>
      <c r="BG106" s="38">
        <f t="shared" si="78"/>
        <v>-2.1678274702079392E-3</v>
      </c>
      <c r="BH106" s="38">
        <f t="shared" si="79"/>
        <v>6.1761209351358204E-2</v>
      </c>
      <c r="BI106" s="38">
        <f t="shared" si="80"/>
        <v>1.6377867218033693E-2</v>
      </c>
      <c r="BJ106" s="38">
        <f t="shared" si="81"/>
        <v>3.2774779513683683E-2</v>
      </c>
      <c r="BK106" s="38">
        <f t="shared" si="82"/>
        <v>1.1515162387613742E-2</v>
      </c>
      <c r="BL106" s="38">
        <f t="shared" si="83"/>
        <v>-1.3932167021579289E-2</v>
      </c>
      <c r="BM106" s="38">
        <f t="shared" si="84"/>
        <v>-1.1939241525238842E-2</v>
      </c>
      <c r="BN106" s="38">
        <f t="shared" si="85"/>
        <v>2.9494392536580705E-2</v>
      </c>
      <c r="BO106" s="7"/>
      <c r="BX106" s="7"/>
      <c r="CN106" s="7"/>
      <c r="CO106" s="8"/>
      <c r="CP106" s="7"/>
      <c r="DG106" s="7"/>
      <c r="DO106" s="7"/>
      <c r="EE106" s="7"/>
      <c r="EF106" s="7"/>
      <c r="GH106" s="7"/>
      <c r="GJ106" s="9"/>
    </row>
    <row r="107" spans="1:192" x14ac:dyDescent="0.25">
      <c r="A107" s="7">
        <v>1975</v>
      </c>
      <c r="B107" s="8">
        <v>11646.408457793957</v>
      </c>
      <c r="C107" s="8">
        <v>12440.7849062768</v>
      </c>
      <c r="D107" s="8">
        <v>4187.3823234967258</v>
      </c>
      <c r="E107" s="8">
        <v>14316.262516588249</v>
      </c>
      <c r="F107" s="8">
        <v>13621.125165296044</v>
      </c>
      <c r="G107" s="8">
        <v>11441.302752725864</v>
      </c>
      <c r="H107" s="8">
        <v>12957.205078305997</v>
      </c>
      <c r="I107" s="8">
        <v>12040.607595161939</v>
      </c>
      <c r="J107" s="8">
        <v>10741.868902290787</v>
      </c>
      <c r="K107" s="8">
        <v>11343.781059229359</v>
      </c>
      <c r="L107" s="8">
        <v>13373.627946309201</v>
      </c>
      <c r="M107" s="8">
        <v>12488.613766117132</v>
      </c>
      <c r="N107" s="8">
        <v>12271.31778843432</v>
      </c>
      <c r="O107" s="8">
        <v>6517.2047021120825</v>
      </c>
      <c r="P107" s="8">
        <v>8346.3019072766529</v>
      </c>
      <c r="Q107" s="8">
        <v>1527.4479427060787</v>
      </c>
      <c r="R107" s="8">
        <v>14575.003051385329</v>
      </c>
      <c r="S107" s="8">
        <v>17224.018115093309</v>
      </c>
      <c r="T107" s="8">
        <v>11847.087076403095</v>
      </c>
      <c r="U107" s="8">
        <v>16283.632676306759</v>
      </c>
      <c r="V107" s="8">
        <v>5417.0182841068918</v>
      </c>
      <c r="W107" s="7"/>
      <c r="X107" s="35">
        <f t="shared" si="44"/>
        <v>9.3627531245790365</v>
      </c>
      <c r="Y107" s="35">
        <f t="shared" si="45"/>
        <v>9.4287354596626134</v>
      </c>
      <c r="Z107" s="35">
        <f t="shared" si="46"/>
        <v>8.3398310738869288</v>
      </c>
      <c r="AA107" s="35">
        <f t="shared" si="47"/>
        <v>9.569151409003922</v>
      </c>
      <c r="AB107" s="35">
        <f t="shared" si="48"/>
        <v>9.5193771875465973</v>
      </c>
      <c r="AC107" s="35">
        <f t="shared" si="49"/>
        <v>9.3449851354368239</v>
      </c>
      <c r="AD107" s="35">
        <f t="shared" si="50"/>
        <v>9.4694072891107179</v>
      </c>
      <c r="AE107" s="35">
        <f t="shared" si="51"/>
        <v>9.3960401823039579</v>
      </c>
      <c r="AF107" s="35">
        <f t="shared" si="52"/>
        <v>9.2819043661729825</v>
      </c>
      <c r="AG107" s="35">
        <f t="shared" si="53"/>
        <v>9.3364249484472026</v>
      </c>
      <c r="AH107" s="35">
        <f t="shared" si="54"/>
        <v>9.5010399830486474</v>
      </c>
      <c r="AI107" s="35">
        <f t="shared" si="55"/>
        <v>9.4325726094594255</v>
      </c>
      <c r="AJ107" s="35">
        <f t="shared" si="56"/>
        <v>9.4150199311584739</v>
      </c>
      <c r="AK107" s="35">
        <f t="shared" si="57"/>
        <v>8.7822008363212181</v>
      </c>
      <c r="AL107" s="35">
        <f t="shared" si="58"/>
        <v>9.0295738343861256</v>
      </c>
      <c r="AM107" s="35">
        <f t="shared" si="59"/>
        <v>7.3313536104035251</v>
      </c>
      <c r="AN107" s="35">
        <f t="shared" si="60"/>
        <v>9.5870632205761552</v>
      </c>
      <c r="AO107" s="35">
        <f t="shared" si="61"/>
        <v>9.7540600907792072</v>
      </c>
      <c r="AP107" s="35">
        <f t="shared" si="62"/>
        <v>9.379837300008198</v>
      </c>
      <c r="AQ107" s="35">
        <f t="shared" si="63"/>
        <v>9.6979157520303723</v>
      </c>
      <c r="AR107" s="35">
        <f t="shared" si="64"/>
        <v>8.597300810971916</v>
      </c>
      <c r="AS107" s="38"/>
      <c r="AT107" s="38">
        <f t="shared" si="65"/>
        <v>-9.7690232757408069E-4</v>
      </c>
      <c r="AU107" s="38">
        <f t="shared" si="66"/>
        <v>-1.612112963310075E-2</v>
      </c>
      <c r="AV107" s="38">
        <f t="shared" si="67"/>
        <v>2.5749297228546908E-2</v>
      </c>
      <c r="AW107" s="38">
        <f t="shared" si="68"/>
        <v>7.8240070183426269E-3</v>
      </c>
      <c r="AX107" s="38">
        <f t="shared" si="69"/>
        <v>-9.505797256380788E-3</v>
      </c>
      <c r="AY107" s="38">
        <f t="shared" si="70"/>
        <v>7.0173581043793121E-3</v>
      </c>
      <c r="AZ107" s="38">
        <f t="shared" si="71"/>
        <v>-1.1916626904255878E-2</v>
      </c>
      <c r="BA107" s="38">
        <f t="shared" si="72"/>
        <v>-1.8606265808038813E-3</v>
      </c>
      <c r="BB107" s="38">
        <f t="shared" si="73"/>
        <v>-2.7936894904826204E-2</v>
      </c>
      <c r="BC107" s="38">
        <f t="shared" si="74"/>
        <v>1.7721754182122851E-2</v>
      </c>
      <c r="BD107" s="38">
        <f t="shared" si="75"/>
        <v>-9.2141294479617386E-3</v>
      </c>
      <c r="BE107" s="38">
        <f t="shared" si="76"/>
        <v>-3.0802743105459385E-2</v>
      </c>
      <c r="BF107" s="38">
        <f t="shared" si="77"/>
        <v>4.5439096618142827E-2</v>
      </c>
      <c r="BG107" s="38">
        <f t="shared" si="78"/>
        <v>-7.8254378547500281E-2</v>
      </c>
      <c r="BH107" s="38">
        <f t="shared" si="79"/>
        <v>2.3870164710658059E-2</v>
      </c>
      <c r="BI107" s="38">
        <f t="shared" si="80"/>
        <v>7.0366869598785797E-3</v>
      </c>
      <c r="BJ107" s="38">
        <f t="shared" si="81"/>
        <v>6.1950294195813882E-3</v>
      </c>
      <c r="BK107" s="38">
        <f t="shared" si="82"/>
        <v>-6.6827953681464436E-2</v>
      </c>
      <c r="BL107" s="38">
        <f t="shared" si="83"/>
        <v>-9.9692906587556251E-4</v>
      </c>
      <c r="BM107" s="38">
        <f t="shared" si="84"/>
        <v>-1.2670661455103982E-2</v>
      </c>
      <c r="BN107" s="38">
        <f t="shared" si="85"/>
        <v>5.574791523407896E-2</v>
      </c>
      <c r="BO107" s="7"/>
      <c r="BX107" s="7"/>
      <c r="CN107" s="7"/>
      <c r="CO107" s="8"/>
      <c r="CP107" s="7"/>
      <c r="DG107" s="7"/>
      <c r="DO107" s="7"/>
      <c r="EE107" s="7"/>
      <c r="EF107" s="7"/>
      <c r="GH107" s="7"/>
      <c r="GJ107" s="9"/>
    </row>
    <row r="108" spans="1:192" x14ac:dyDescent="0.25">
      <c r="A108" s="7">
        <v>1976</v>
      </c>
      <c r="B108" s="8">
        <v>12201.003895962276</v>
      </c>
      <c r="C108" s="8">
        <v>13122.311690959128</v>
      </c>
      <c r="D108" s="8">
        <v>4469.6199922941141</v>
      </c>
      <c r="E108" s="8">
        <v>14902.391835866907</v>
      </c>
      <c r="F108" s="8">
        <v>14466.360025517508</v>
      </c>
      <c r="G108" s="8">
        <v>11358.403813728612</v>
      </c>
      <c r="H108" s="8">
        <v>13466.386011558559</v>
      </c>
      <c r="I108" s="8">
        <v>12683.847116890714</v>
      </c>
      <c r="J108" s="8">
        <v>11385.273424790363</v>
      </c>
      <c r="K108" s="8">
        <v>11668.967903931694</v>
      </c>
      <c r="L108" s="8">
        <v>13884.909802988588</v>
      </c>
      <c r="M108" s="8">
        <v>12648.285265811544</v>
      </c>
      <c r="N108" s="8">
        <v>12930.006027314492</v>
      </c>
      <c r="O108" s="8">
        <v>6814.1970926951553</v>
      </c>
      <c r="P108" s="8">
        <v>8599.2691568523642</v>
      </c>
      <c r="Q108" s="8">
        <v>1546.338120899107</v>
      </c>
      <c r="R108" s="8">
        <v>14824.981756263682</v>
      </c>
      <c r="S108" s="8">
        <v>17170.318283653436</v>
      </c>
      <c r="T108" s="8">
        <v>12114.952140340889</v>
      </c>
      <c r="U108" s="8">
        <v>16975.086568670169</v>
      </c>
      <c r="V108" s="8">
        <v>5601.5379238028654</v>
      </c>
      <c r="W108" s="7"/>
      <c r="X108" s="35">
        <f t="shared" si="44"/>
        <v>9.4092735138902803</v>
      </c>
      <c r="Y108" s="35">
        <f t="shared" si="45"/>
        <v>9.4820692429346458</v>
      </c>
      <c r="Z108" s="35">
        <f t="shared" si="46"/>
        <v>8.4050586710842179</v>
      </c>
      <c r="AA108" s="35">
        <f t="shared" si="47"/>
        <v>9.6092770049477547</v>
      </c>
      <c r="AB108" s="35">
        <f t="shared" si="48"/>
        <v>9.5795812348029408</v>
      </c>
      <c r="AC108" s="35">
        <f t="shared" si="49"/>
        <v>9.3377131730479022</v>
      </c>
      <c r="AD108" s="35">
        <f t="shared" si="50"/>
        <v>9.5079519343381111</v>
      </c>
      <c r="AE108" s="35">
        <f t="shared" si="51"/>
        <v>9.4480845823603303</v>
      </c>
      <c r="AF108" s="35">
        <f t="shared" si="52"/>
        <v>9.3400759944404932</v>
      </c>
      <c r="AG108" s="35">
        <f t="shared" si="53"/>
        <v>9.3646882812608645</v>
      </c>
      <c r="AH108" s="35">
        <f t="shared" si="54"/>
        <v>9.5385579037160984</v>
      </c>
      <c r="AI108" s="35">
        <f t="shared" si="55"/>
        <v>9.4452769328578903</v>
      </c>
      <c r="AJ108" s="35">
        <f t="shared" si="56"/>
        <v>9.4673059379154072</v>
      </c>
      <c r="AK108" s="35">
        <f t="shared" si="57"/>
        <v>8.8267635224716887</v>
      </c>
      <c r="AL108" s="35">
        <f t="shared" si="58"/>
        <v>9.0594324968690909</v>
      </c>
      <c r="AM108" s="35">
        <f t="shared" si="59"/>
        <v>7.3436449121550043</v>
      </c>
      <c r="AN108" s="35">
        <f t="shared" si="60"/>
        <v>9.6040689932590091</v>
      </c>
      <c r="AO108" s="35">
        <f t="shared" si="61"/>
        <v>9.7509374909156001</v>
      </c>
      <c r="AP108" s="35">
        <f t="shared" si="62"/>
        <v>9.4021956827963429</v>
      </c>
      <c r="AQ108" s="35">
        <f t="shared" si="63"/>
        <v>9.7395020521882767</v>
      </c>
      <c r="AR108" s="35">
        <f t="shared" si="64"/>
        <v>8.6307964682700433</v>
      </c>
      <c r="AS108" s="38"/>
      <c r="AT108" s="38">
        <f t="shared" si="65"/>
        <v>4.6520389311243804E-2</v>
      </c>
      <c r="AU108" s="38">
        <f t="shared" si="66"/>
        <v>5.333378327203242E-2</v>
      </c>
      <c r="AV108" s="38">
        <f t="shared" si="67"/>
        <v>6.52275971972891E-2</v>
      </c>
      <c r="AW108" s="38">
        <f t="shared" si="68"/>
        <v>4.0125595943832693E-2</v>
      </c>
      <c r="AX108" s="38">
        <f t="shared" si="69"/>
        <v>6.0204047256343429E-2</v>
      </c>
      <c r="AY108" s="38">
        <f t="shared" si="70"/>
        <v>-7.2719623889216933E-3</v>
      </c>
      <c r="AZ108" s="38">
        <f t="shared" si="71"/>
        <v>3.8544645227393204E-2</v>
      </c>
      <c r="BA108" s="38">
        <f t="shared" si="72"/>
        <v>5.2044400056372453E-2</v>
      </c>
      <c r="BB108" s="38">
        <f t="shared" si="73"/>
        <v>5.8171628267510656E-2</v>
      </c>
      <c r="BC108" s="38">
        <f t="shared" si="74"/>
        <v>2.826333281366189E-2</v>
      </c>
      <c r="BD108" s="38">
        <f t="shared" si="75"/>
        <v>3.7517920667450966E-2</v>
      </c>
      <c r="BE108" s="38">
        <f t="shared" si="76"/>
        <v>1.2704323398464723E-2</v>
      </c>
      <c r="BF108" s="38">
        <f t="shared" si="77"/>
        <v>5.228600675693329E-2</v>
      </c>
      <c r="BG108" s="38">
        <f t="shared" si="78"/>
        <v>4.4562686150470654E-2</v>
      </c>
      <c r="BH108" s="38">
        <f t="shared" si="79"/>
        <v>2.9858662482965315E-2</v>
      </c>
      <c r="BI108" s="38">
        <f t="shared" si="80"/>
        <v>1.2291301751479189E-2</v>
      </c>
      <c r="BJ108" s="38">
        <f t="shared" si="81"/>
        <v>1.7005772682853859E-2</v>
      </c>
      <c r="BK108" s="38">
        <f t="shared" si="82"/>
        <v>-3.1225998636070784E-3</v>
      </c>
      <c r="BL108" s="38">
        <f t="shared" si="83"/>
        <v>2.2358382788144837E-2</v>
      </c>
      <c r="BM108" s="38">
        <f t="shared" si="84"/>
        <v>4.1586300157904432E-2</v>
      </c>
      <c r="BN108" s="38">
        <f t="shared" si="85"/>
        <v>3.3495657298127313E-2</v>
      </c>
      <c r="BO108" s="7"/>
      <c r="BX108" s="7"/>
      <c r="CN108" s="7"/>
      <c r="CO108" s="8"/>
      <c r="CP108" s="7"/>
      <c r="DG108" s="7"/>
      <c r="DO108" s="7"/>
      <c r="EE108" s="7"/>
      <c r="EF108" s="7"/>
      <c r="GH108" s="7"/>
      <c r="GJ108" s="9"/>
    </row>
    <row r="109" spans="1:192" x14ac:dyDescent="0.25">
      <c r="A109" s="7">
        <v>1977</v>
      </c>
      <c r="B109" s="8">
        <v>12766.716478847</v>
      </c>
      <c r="C109" s="8">
        <v>13189.944816632391</v>
      </c>
      <c r="D109" s="8">
        <v>4565.3607057609752</v>
      </c>
      <c r="E109" s="8">
        <v>15222.680741624783</v>
      </c>
      <c r="F109" s="8">
        <v>14655.436197372899</v>
      </c>
      <c r="G109" s="8">
        <v>11354.528960506041</v>
      </c>
      <c r="H109" s="8">
        <v>13912.703666924124</v>
      </c>
      <c r="I109" s="8">
        <v>13071.902449071224</v>
      </c>
      <c r="J109" s="8">
        <v>11668.15571633189</v>
      </c>
      <c r="K109" s="8">
        <v>12063.854975732371</v>
      </c>
      <c r="L109" s="8">
        <v>14176.868255652265</v>
      </c>
      <c r="M109" s="8">
        <v>11989.004391923914</v>
      </c>
      <c r="N109" s="8">
        <v>13424.932833440329</v>
      </c>
      <c r="O109" s="8">
        <v>7165.6696955270836</v>
      </c>
      <c r="P109" s="8">
        <v>8833.0634759461009</v>
      </c>
      <c r="Q109" s="8">
        <v>1619.8342606806111</v>
      </c>
      <c r="R109" s="8">
        <v>14559.985458070771</v>
      </c>
      <c r="S109" s="8">
        <v>17635.294907371641</v>
      </c>
      <c r="T109" s="8">
        <v>12383.613093860695</v>
      </c>
      <c r="U109" s="8">
        <v>17566.502753826528</v>
      </c>
      <c r="V109" s="8">
        <v>5628.6905175408128</v>
      </c>
      <c r="W109" s="7"/>
      <c r="X109" s="35">
        <f t="shared" si="44"/>
        <v>9.4545967882303792</v>
      </c>
      <c r="Y109" s="35">
        <f t="shared" si="45"/>
        <v>9.4872100619749649</v>
      </c>
      <c r="Z109" s="35">
        <f t="shared" si="46"/>
        <v>8.4262528054082697</v>
      </c>
      <c r="AA109" s="35">
        <f t="shared" si="47"/>
        <v>9.6305417487329699</v>
      </c>
      <c r="AB109" s="35">
        <f t="shared" si="48"/>
        <v>9.5925666171082451</v>
      </c>
      <c r="AC109" s="35">
        <f t="shared" si="49"/>
        <v>9.3373719706766654</v>
      </c>
      <c r="AD109" s="35">
        <f t="shared" si="50"/>
        <v>9.5405576346086622</v>
      </c>
      <c r="AE109" s="35">
        <f t="shared" si="51"/>
        <v>9.4782203544855879</v>
      </c>
      <c r="AF109" s="35">
        <f t="shared" si="52"/>
        <v>9.3646186764875115</v>
      </c>
      <c r="AG109" s="35">
        <f t="shared" si="53"/>
        <v>9.3979690689331381</v>
      </c>
      <c r="AH109" s="35">
        <f t="shared" si="54"/>
        <v>9.5593669192517314</v>
      </c>
      <c r="AI109" s="35">
        <f t="shared" si="55"/>
        <v>9.3917452080370474</v>
      </c>
      <c r="AJ109" s="35">
        <f t="shared" si="56"/>
        <v>9.5048689162688582</v>
      </c>
      <c r="AK109" s="35">
        <f t="shared" si="57"/>
        <v>8.8770568035186024</v>
      </c>
      <c r="AL109" s="35">
        <f t="shared" si="58"/>
        <v>9.0862571729466524</v>
      </c>
      <c r="AM109" s="35">
        <f t="shared" si="59"/>
        <v>7.3900791147707414</v>
      </c>
      <c r="AN109" s="35">
        <f t="shared" si="60"/>
        <v>9.5860323229913025</v>
      </c>
      <c r="AO109" s="35">
        <f t="shared" si="61"/>
        <v>9.7776575653753302</v>
      </c>
      <c r="AP109" s="35">
        <f t="shared" si="62"/>
        <v>9.4241293529206445</v>
      </c>
      <c r="AQ109" s="35">
        <f t="shared" si="63"/>
        <v>9.7737491149160949</v>
      </c>
      <c r="AR109" s="35">
        <f t="shared" si="64"/>
        <v>8.6356321039456088</v>
      </c>
      <c r="AS109" s="38"/>
      <c r="AT109" s="38">
        <f t="shared" si="65"/>
        <v>4.5323274340098862E-2</v>
      </c>
      <c r="AU109" s="38">
        <f t="shared" si="66"/>
        <v>5.1408190403190446E-3</v>
      </c>
      <c r="AV109" s="38">
        <f t="shared" si="67"/>
        <v>2.1194134324051817E-2</v>
      </c>
      <c r="AW109" s="38">
        <f t="shared" si="68"/>
        <v>2.1264743785215146E-2</v>
      </c>
      <c r="AX109" s="38">
        <f t="shared" si="69"/>
        <v>1.2985382305304327E-2</v>
      </c>
      <c r="AY109" s="38">
        <f t="shared" si="70"/>
        <v>-3.4120237123680397E-4</v>
      </c>
      <c r="AZ109" s="38">
        <f t="shared" si="71"/>
        <v>3.2605700270551097E-2</v>
      </c>
      <c r="BA109" s="38">
        <f t="shared" si="72"/>
        <v>3.0135772125257532E-2</v>
      </c>
      <c r="BB109" s="38">
        <f t="shared" si="73"/>
        <v>2.4542682047018261E-2</v>
      </c>
      <c r="BC109" s="38">
        <f t="shared" si="74"/>
        <v>3.3280787672273604E-2</v>
      </c>
      <c r="BD109" s="38">
        <f t="shared" si="75"/>
        <v>2.080901553563308E-2</v>
      </c>
      <c r="BE109" s="38">
        <f t="shared" si="76"/>
        <v>-5.3531724820842896E-2</v>
      </c>
      <c r="BF109" s="38">
        <f t="shared" si="77"/>
        <v>3.7562978353451015E-2</v>
      </c>
      <c r="BG109" s="38">
        <f t="shared" si="78"/>
        <v>5.0293281046913663E-2</v>
      </c>
      <c r="BH109" s="38">
        <f t="shared" si="79"/>
        <v>2.6824676077561449E-2</v>
      </c>
      <c r="BI109" s="38">
        <f t="shared" si="80"/>
        <v>4.6434202615737163E-2</v>
      </c>
      <c r="BJ109" s="38">
        <f t="shared" si="81"/>
        <v>-1.8036670267706612E-2</v>
      </c>
      <c r="BK109" s="38">
        <f t="shared" si="82"/>
        <v>2.6720074459730014E-2</v>
      </c>
      <c r="BL109" s="38">
        <f t="shared" si="83"/>
        <v>2.1933670124301585E-2</v>
      </c>
      <c r="BM109" s="38">
        <f t="shared" si="84"/>
        <v>3.4247062727818189E-2</v>
      </c>
      <c r="BN109" s="38">
        <f t="shared" si="85"/>
        <v>4.8356356755654417E-3</v>
      </c>
      <c r="BO109" s="7"/>
      <c r="BX109" s="7"/>
      <c r="CN109" s="7"/>
      <c r="CO109" s="8"/>
      <c r="CP109" s="7"/>
      <c r="DG109" s="7"/>
      <c r="DO109" s="7"/>
      <c r="EE109" s="7"/>
      <c r="EF109" s="7"/>
      <c r="GH109" s="7"/>
      <c r="GJ109" s="9"/>
    </row>
    <row r="110" spans="1:192" x14ac:dyDescent="0.25">
      <c r="A110" s="7">
        <v>1978</v>
      </c>
      <c r="B110" s="8">
        <v>12730.642310776939</v>
      </c>
      <c r="C110" s="8">
        <v>13553.923314038067</v>
      </c>
      <c r="D110" s="8">
        <v>4678.4065798117863</v>
      </c>
      <c r="E110" s="8">
        <v>15680.200363616697</v>
      </c>
      <c r="F110" s="8">
        <v>14825.693192355306</v>
      </c>
      <c r="G110" s="8">
        <v>11558.900862867087</v>
      </c>
      <c r="H110" s="8">
        <v>14240.210981282737</v>
      </c>
      <c r="I110" s="8">
        <v>13455.319912719066</v>
      </c>
      <c r="J110" s="8">
        <v>12064.229637538441</v>
      </c>
      <c r="K110" s="8">
        <v>12584.878299706463</v>
      </c>
      <c r="L110" s="8">
        <v>14424.018677519885</v>
      </c>
      <c r="M110" s="8">
        <v>12033.925074230841</v>
      </c>
      <c r="N110" s="8">
        <v>13840.21049120456</v>
      </c>
      <c r="O110" s="8">
        <v>7339.9953396200344</v>
      </c>
      <c r="P110" s="8">
        <v>9022.9970217330319</v>
      </c>
      <c r="Q110" s="8">
        <v>1689.9490927213728</v>
      </c>
      <c r="R110" s="8">
        <v>14497.945867568873</v>
      </c>
      <c r="S110" s="8">
        <v>17662.186967435646</v>
      </c>
      <c r="T110" s="8">
        <v>12827.834849644809</v>
      </c>
      <c r="U110" s="8">
        <v>18372.972123009189</v>
      </c>
      <c r="V110" s="8">
        <v>5888.1601656886432</v>
      </c>
      <c r="W110" s="7"/>
      <c r="X110" s="35">
        <f t="shared" si="44"/>
        <v>9.4517671467417994</v>
      </c>
      <c r="Y110" s="35">
        <f t="shared" si="45"/>
        <v>9.5144313278696693</v>
      </c>
      <c r="Z110" s="35">
        <f t="shared" si="46"/>
        <v>8.4507128565379332</v>
      </c>
      <c r="AA110" s="35">
        <f t="shared" si="47"/>
        <v>9.6601540721146382</v>
      </c>
      <c r="AB110" s="35">
        <f t="shared" si="48"/>
        <v>9.6041169811104155</v>
      </c>
      <c r="AC110" s="35">
        <f t="shared" si="49"/>
        <v>9.3552110566390159</v>
      </c>
      <c r="AD110" s="35">
        <f t="shared" si="50"/>
        <v>9.5638250009575252</v>
      </c>
      <c r="AE110" s="35">
        <f t="shared" si="51"/>
        <v>9.5071298393717765</v>
      </c>
      <c r="AF110" s="35">
        <f t="shared" si="52"/>
        <v>9.3980001250084229</v>
      </c>
      <c r="AG110" s="35">
        <f t="shared" si="53"/>
        <v>9.440251237256982</v>
      </c>
      <c r="AH110" s="35">
        <f t="shared" si="54"/>
        <v>9.5766500597741544</v>
      </c>
      <c r="AI110" s="35">
        <f t="shared" si="55"/>
        <v>9.3954850295876415</v>
      </c>
      <c r="AJ110" s="35">
        <f t="shared" si="56"/>
        <v>9.5353334379580694</v>
      </c>
      <c r="AK110" s="35">
        <f t="shared" si="57"/>
        <v>8.9010934866792084</v>
      </c>
      <c r="AL110" s="35">
        <f t="shared" si="58"/>
        <v>9.1075318219194195</v>
      </c>
      <c r="AM110" s="35">
        <f t="shared" si="59"/>
        <v>7.432453684813348</v>
      </c>
      <c r="AN110" s="35">
        <f t="shared" si="60"/>
        <v>9.5817622540677352</v>
      </c>
      <c r="AO110" s="35">
        <f t="shared" si="61"/>
        <v>9.7791813038313773</v>
      </c>
      <c r="AP110" s="35">
        <f t="shared" si="62"/>
        <v>9.4593726865210055</v>
      </c>
      <c r="AQ110" s="35">
        <f t="shared" si="63"/>
        <v>9.8186359573382909</v>
      </c>
      <c r="AR110" s="35">
        <f t="shared" si="64"/>
        <v>8.6806988620918411</v>
      </c>
      <c r="AS110" s="38"/>
      <c r="AT110" s="38">
        <f t="shared" si="65"/>
        <v>-2.8296414885797816E-3</v>
      </c>
      <c r="AU110" s="38">
        <f t="shared" si="66"/>
        <v>2.7221265894704416E-2</v>
      </c>
      <c r="AV110" s="38">
        <f t="shared" si="67"/>
        <v>2.446005112966354E-2</v>
      </c>
      <c r="AW110" s="38">
        <f t="shared" si="68"/>
        <v>2.9612323381668304E-2</v>
      </c>
      <c r="AX110" s="38">
        <f t="shared" si="69"/>
        <v>1.1550364002170355E-2</v>
      </c>
      <c r="AY110" s="38">
        <f t="shared" si="70"/>
        <v>1.7839085962350509E-2</v>
      </c>
      <c r="AZ110" s="38">
        <f t="shared" si="71"/>
        <v>2.326736634886295E-2</v>
      </c>
      <c r="BA110" s="38">
        <f t="shared" si="72"/>
        <v>2.8909484886188608E-2</v>
      </c>
      <c r="BB110" s="38">
        <f t="shared" si="73"/>
        <v>3.3381448520911405E-2</v>
      </c>
      <c r="BC110" s="38">
        <f t="shared" si="74"/>
        <v>4.2282168323843905E-2</v>
      </c>
      <c r="BD110" s="38">
        <f t="shared" si="75"/>
        <v>1.7283140522422968E-2</v>
      </c>
      <c r="BE110" s="38">
        <f t="shared" si="76"/>
        <v>3.7398215505941579E-3</v>
      </c>
      <c r="BF110" s="38">
        <f t="shared" si="77"/>
        <v>3.046452168921121E-2</v>
      </c>
      <c r="BG110" s="38">
        <f t="shared" si="78"/>
        <v>2.4036683160606032E-2</v>
      </c>
      <c r="BH110" s="38">
        <f t="shared" si="79"/>
        <v>2.1274648972767096E-2</v>
      </c>
      <c r="BI110" s="38">
        <f t="shared" si="80"/>
        <v>4.2374570042606585E-2</v>
      </c>
      <c r="BJ110" s="38">
        <f t="shared" si="81"/>
        <v>-4.270068923567294E-3</v>
      </c>
      <c r="BK110" s="38">
        <f t="shared" si="82"/>
        <v>1.5237384560471412E-3</v>
      </c>
      <c r="BL110" s="38">
        <f t="shared" si="83"/>
        <v>3.5243333600361026E-2</v>
      </c>
      <c r="BM110" s="38">
        <f t="shared" si="84"/>
        <v>4.4886842422195983E-2</v>
      </c>
      <c r="BN110" s="38">
        <f t="shared" si="85"/>
        <v>4.5066758146232289E-2</v>
      </c>
      <c r="BO110" s="7"/>
      <c r="BX110" s="7"/>
      <c r="CN110" s="7"/>
      <c r="CO110" s="8"/>
      <c r="CP110" s="7"/>
      <c r="DG110" s="7"/>
      <c r="DO110" s="7"/>
      <c r="EE110" s="7"/>
      <c r="EF110" s="7"/>
      <c r="GH110" s="7"/>
      <c r="GJ110" s="9"/>
    </row>
    <row r="111" spans="1:192" x14ac:dyDescent="0.25">
      <c r="A111" s="7">
        <v>1979</v>
      </c>
      <c r="B111" s="8">
        <v>13448.044056335415</v>
      </c>
      <c r="C111" s="8">
        <v>13860.651404871303</v>
      </c>
      <c r="D111" s="8">
        <v>4889.9592842690736</v>
      </c>
      <c r="E111" s="8">
        <v>16170.145282140635</v>
      </c>
      <c r="F111" s="8">
        <v>15313.47717323327</v>
      </c>
      <c r="G111" s="8">
        <v>12331.547277997101</v>
      </c>
      <c r="H111" s="8">
        <v>14634.38252243052</v>
      </c>
      <c r="I111" s="8">
        <v>13993.300725607871</v>
      </c>
      <c r="J111" s="8">
        <v>12719.764560242025</v>
      </c>
      <c r="K111" s="8">
        <v>13163.097132670082</v>
      </c>
      <c r="L111" s="8">
        <v>14647.25379226603</v>
      </c>
      <c r="M111" s="8">
        <v>12284.211025264256</v>
      </c>
      <c r="N111" s="8">
        <v>14411.262152057463</v>
      </c>
      <c r="O111" s="8">
        <v>7733.3061855754913</v>
      </c>
      <c r="P111" s="8">
        <v>9068.087985128177</v>
      </c>
      <c r="Q111" s="8">
        <v>1765.602826478379</v>
      </c>
      <c r="R111" s="8">
        <v>14928.984808295154</v>
      </c>
      <c r="S111" s="8">
        <v>18050.210680791832</v>
      </c>
      <c r="T111" s="8">
        <v>13167.283204097603</v>
      </c>
      <c r="U111" s="8">
        <v>18789.393703761303</v>
      </c>
      <c r="V111" s="8">
        <v>6214.8249828414555</v>
      </c>
      <c r="W111" s="7"/>
      <c r="X111" s="35">
        <f t="shared" si="44"/>
        <v>9.5065889511342014</v>
      </c>
      <c r="Y111" s="35">
        <f t="shared" si="45"/>
        <v>9.536809270547943</v>
      </c>
      <c r="Z111" s="35">
        <f t="shared" si="46"/>
        <v>8.4949392561089105</v>
      </c>
      <c r="AA111" s="35">
        <f t="shared" si="47"/>
        <v>9.6909219372024431</v>
      </c>
      <c r="AB111" s="35">
        <f t="shared" si="48"/>
        <v>9.6364885806457927</v>
      </c>
      <c r="AC111" s="35">
        <f t="shared" si="49"/>
        <v>9.4199160771739709</v>
      </c>
      <c r="AD111" s="35">
        <f t="shared" si="50"/>
        <v>9.5911290063964945</v>
      </c>
      <c r="AE111" s="35">
        <f t="shared" si="51"/>
        <v>9.546333974470917</v>
      </c>
      <c r="AF111" s="35">
        <f t="shared" si="52"/>
        <v>9.4509123273078774</v>
      </c>
      <c r="AG111" s="35">
        <f t="shared" si="53"/>
        <v>9.4851725216179705</v>
      </c>
      <c r="AH111" s="35">
        <f t="shared" si="54"/>
        <v>9.5920081424206014</v>
      </c>
      <c r="AI111" s="35">
        <f t="shared" si="55"/>
        <v>9.4160700602852074</v>
      </c>
      <c r="AJ111" s="35">
        <f t="shared" si="56"/>
        <v>9.5757652737809114</v>
      </c>
      <c r="AK111" s="35">
        <f t="shared" si="57"/>
        <v>8.9532917584942027</v>
      </c>
      <c r="AL111" s="35">
        <f t="shared" si="58"/>
        <v>9.1125167143955412</v>
      </c>
      <c r="AM111" s="35">
        <f t="shared" si="59"/>
        <v>7.4762474558012242</v>
      </c>
      <c r="AN111" s="35">
        <f t="shared" si="60"/>
        <v>9.611059891456124</v>
      </c>
      <c r="AO111" s="35">
        <f t="shared" si="61"/>
        <v>9.8009126357589391</v>
      </c>
      <c r="AP111" s="35">
        <f t="shared" si="62"/>
        <v>9.4854904867524841</v>
      </c>
      <c r="AQ111" s="35">
        <f t="shared" si="63"/>
        <v>9.841047824923713</v>
      </c>
      <c r="AR111" s="35">
        <f t="shared" si="64"/>
        <v>8.7346928431044457</v>
      </c>
      <c r="AS111" s="38"/>
      <c r="AT111" s="38">
        <f t="shared" si="65"/>
        <v>5.4821804392402029E-2</v>
      </c>
      <c r="AU111" s="38">
        <f t="shared" si="66"/>
        <v>2.2377942678273754E-2</v>
      </c>
      <c r="AV111" s="38">
        <f t="shared" si="67"/>
        <v>4.4226399570977293E-2</v>
      </c>
      <c r="AW111" s="38">
        <f t="shared" si="68"/>
        <v>3.0767865087804935E-2</v>
      </c>
      <c r="AX111" s="38">
        <f t="shared" si="69"/>
        <v>3.2371599535377271E-2</v>
      </c>
      <c r="AY111" s="38">
        <f t="shared" si="70"/>
        <v>6.4705020534955082E-2</v>
      </c>
      <c r="AZ111" s="38">
        <f t="shared" si="71"/>
        <v>2.730400543896927E-2</v>
      </c>
      <c r="BA111" s="38">
        <f t="shared" si="72"/>
        <v>3.9204135099140558E-2</v>
      </c>
      <c r="BB111" s="38">
        <f t="shared" si="73"/>
        <v>5.2912202299454592E-2</v>
      </c>
      <c r="BC111" s="38">
        <f t="shared" si="74"/>
        <v>4.4921284360988523E-2</v>
      </c>
      <c r="BD111" s="38">
        <f t="shared" si="75"/>
        <v>1.5358082646447002E-2</v>
      </c>
      <c r="BE111" s="38">
        <f t="shared" si="76"/>
        <v>2.0585030697565898E-2</v>
      </c>
      <c r="BF111" s="38">
        <f t="shared" si="77"/>
        <v>4.0431835822841933E-2</v>
      </c>
      <c r="BG111" s="38">
        <f t="shared" si="78"/>
        <v>5.2198271814994257E-2</v>
      </c>
      <c r="BH111" s="38">
        <f t="shared" si="79"/>
        <v>4.9848924761217717E-3</v>
      </c>
      <c r="BI111" s="38">
        <f t="shared" si="80"/>
        <v>4.3793770987876179E-2</v>
      </c>
      <c r="BJ111" s="38">
        <f t="shared" si="81"/>
        <v>2.9297637388388864E-2</v>
      </c>
      <c r="BK111" s="38">
        <f t="shared" si="82"/>
        <v>2.1731331927561826E-2</v>
      </c>
      <c r="BL111" s="38">
        <f t="shared" si="83"/>
        <v>2.6117800231478583E-2</v>
      </c>
      <c r="BM111" s="38">
        <f t="shared" si="84"/>
        <v>2.2411867585422129E-2</v>
      </c>
      <c r="BN111" s="38">
        <f t="shared" si="85"/>
        <v>5.3993981012604664E-2</v>
      </c>
      <c r="BO111" s="7"/>
      <c r="BX111" s="7"/>
      <c r="CN111" s="7"/>
      <c r="CO111" s="8"/>
      <c r="CP111" s="7"/>
      <c r="DG111" s="7"/>
      <c r="DO111" s="7"/>
      <c r="EE111" s="7"/>
      <c r="EF111" s="7"/>
      <c r="GH111" s="7"/>
      <c r="GJ111" s="9"/>
    </row>
    <row r="112" spans="1:192" x14ac:dyDescent="0.25">
      <c r="A112" s="7">
        <v>1980</v>
      </c>
      <c r="B112" s="8">
        <v>13759.179000595144</v>
      </c>
      <c r="C112" s="8">
        <v>14467.441199171306</v>
      </c>
      <c r="D112" s="8">
        <v>5195.0333279141605</v>
      </c>
      <c r="E112" s="8">
        <v>16175.706391578196</v>
      </c>
      <c r="F112" s="8">
        <v>15227.325563577939</v>
      </c>
      <c r="G112" s="8">
        <v>12948.958423779721</v>
      </c>
      <c r="H112" s="8">
        <v>14766.158591907095</v>
      </c>
      <c r="I112" s="8">
        <v>14114.030434326825</v>
      </c>
      <c r="J112" s="8">
        <v>13149.381801964446</v>
      </c>
      <c r="K112" s="8">
        <v>13427.729937687376</v>
      </c>
      <c r="L112" s="8">
        <v>14704.500547621197</v>
      </c>
      <c r="M112" s="8">
        <v>12346.734381653863</v>
      </c>
      <c r="N112" s="8">
        <v>15076.032937750795</v>
      </c>
      <c r="O112" s="8">
        <v>8044.2430812657249</v>
      </c>
      <c r="P112" s="8">
        <v>9202.5097923728863</v>
      </c>
      <c r="Q112" s="8">
        <v>1829.838927681179</v>
      </c>
      <c r="R112" s="8">
        <v>15016.004813477737</v>
      </c>
      <c r="S112" s="8">
        <v>18779.122878756578</v>
      </c>
      <c r="T112" s="8">
        <v>12931.49128103136</v>
      </c>
      <c r="U112" s="8">
        <v>18577.36665413365</v>
      </c>
      <c r="V112" s="8">
        <v>6554.6075085324228</v>
      </c>
      <c r="W112" s="7"/>
      <c r="X112" s="35">
        <f t="shared" si="44"/>
        <v>9.5294614440528456</v>
      </c>
      <c r="Y112" s="35">
        <f t="shared" si="45"/>
        <v>9.5796559691004433</v>
      </c>
      <c r="Z112" s="35">
        <f t="shared" si="46"/>
        <v>8.5554583188956475</v>
      </c>
      <c r="AA112" s="35">
        <f t="shared" si="47"/>
        <v>9.6912657902286963</v>
      </c>
      <c r="AB112" s="35">
        <f t="shared" si="48"/>
        <v>9.6308468272897763</v>
      </c>
      <c r="AC112" s="35">
        <f t="shared" si="49"/>
        <v>9.4687706332968098</v>
      </c>
      <c r="AD112" s="35">
        <f t="shared" si="50"/>
        <v>9.6000932599045932</v>
      </c>
      <c r="AE112" s="35">
        <f t="shared" si="51"/>
        <v>9.554924647880318</v>
      </c>
      <c r="AF112" s="35">
        <f t="shared" si="52"/>
        <v>9.48413002524339</v>
      </c>
      <c r="AG112" s="35">
        <f t="shared" si="53"/>
        <v>9.5050772460185744</v>
      </c>
      <c r="AH112" s="35">
        <f t="shared" si="54"/>
        <v>9.5959088856116317</v>
      </c>
      <c r="AI112" s="35">
        <f t="shared" si="55"/>
        <v>9.4211468845521704</v>
      </c>
      <c r="AJ112" s="35">
        <f t="shared" si="56"/>
        <v>9.6208615391651371</v>
      </c>
      <c r="AK112" s="35">
        <f t="shared" si="57"/>
        <v>8.9927119693899282</v>
      </c>
      <c r="AL112" s="35">
        <f t="shared" si="58"/>
        <v>9.1272315293518105</v>
      </c>
      <c r="AM112" s="35">
        <f t="shared" si="59"/>
        <v>7.5119832243011269</v>
      </c>
      <c r="AN112" s="35">
        <f t="shared" si="60"/>
        <v>9.6168718988228825</v>
      </c>
      <c r="AO112" s="35">
        <f t="shared" si="61"/>
        <v>9.8405010466000036</v>
      </c>
      <c r="AP112" s="35">
        <f t="shared" si="62"/>
        <v>9.4674208000752262</v>
      </c>
      <c r="AQ112" s="35">
        <f t="shared" si="63"/>
        <v>9.8296992721904228</v>
      </c>
      <c r="AR112" s="35">
        <f t="shared" si="64"/>
        <v>8.7879235177510289</v>
      </c>
      <c r="AS112" s="38"/>
      <c r="AT112" s="38">
        <f t="shared" si="65"/>
        <v>2.2872492918644127E-2</v>
      </c>
      <c r="AU112" s="38">
        <f t="shared" si="66"/>
        <v>4.2846698552500229E-2</v>
      </c>
      <c r="AV112" s="38">
        <f t="shared" si="67"/>
        <v>6.051906278673691E-2</v>
      </c>
      <c r="AW112" s="38">
        <f t="shared" si="68"/>
        <v>3.4385302625317138E-4</v>
      </c>
      <c r="AX112" s="38">
        <f t="shared" si="69"/>
        <v>-5.6417533560164657E-3</v>
      </c>
      <c r="AY112" s="38">
        <f t="shared" si="70"/>
        <v>4.8854556122838844E-2</v>
      </c>
      <c r="AZ112" s="38">
        <f t="shared" si="71"/>
        <v>8.9642535080987074E-3</v>
      </c>
      <c r="BA112" s="38">
        <f t="shared" si="72"/>
        <v>8.5906734094010062E-3</v>
      </c>
      <c r="BB112" s="38">
        <f t="shared" si="73"/>
        <v>3.3217697935512547E-2</v>
      </c>
      <c r="BC112" s="38">
        <f t="shared" si="74"/>
        <v>1.9904724400603868E-2</v>
      </c>
      <c r="BD112" s="38">
        <f t="shared" si="75"/>
        <v>3.900743191030287E-3</v>
      </c>
      <c r="BE112" s="38">
        <f t="shared" si="76"/>
        <v>5.0768242669629871E-3</v>
      </c>
      <c r="BF112" s="38">
        <f t="shared" si="77"/>
        <v>4.5096265384225731E-2</v>
      </c>
      <c r="BG112" s="38">
        <f t="shared" si="78"/>
        <v>3.942021089572556E-2</v>
      </c>
      <c r="BH112" s="38">
        <f t="shared" si="79"/>
        <v>1.4714814956269251E-2</v>
      </c>
      <c r="BI112" s="38">
        <f t="shared" si="80"/>
        <v>3.5735768499902676E-2</v>
      </c>
      <c r="BJ112" s="38">
        <f t="shared" si="81"/>
        <v>5.8120073667584649E-3</v>
      </c>
      <c r="BK112" s="38">
        <f t="shared" si="82"/>
        <v>3.9588410841064459E-2</v>
      </c>
      <c r="BL112" s="38">
        <f t="shared" si="83"/>
        <v>-1.8069686677257835E-2</v>
      </c>
      <c r="BM112" s="38">
        <f t="shared" si="84"/>
        <v>-1.1348552733290163E-2</v>
      </c>
      <c r="BN112" s="38">
        <f t="shared" si="85"/>
        <v>5.3230674646583154E-2</v>
      </c>
      <c r="BO112" s="7"/>
      <c r="BX112" s="7"/>
      <c r="CN112" s="7"/>
      <c r="CO112" s="8"/>
      <c r="CP112" s="7"/>
      <c r="DG112" s="7"/>
      <c r="DO112" s="7"/>
      <c r="EE112" s="7"/>
      <c r="EF112" s="7"/>
      <c r="GH112" s="7"/>
      <c r="GJ112" s="9"/>
    </row>
    <row r="113" spans="1:192" x14ac:dyDescent="0.25">
      <c r="A113" s="7">
        <v>1981</v>
      </c>
      <c r="B113" s="8">
        <v>13717.923245145268</v>
      </c>
      <c r="C113" s="8">
        <v>14278.754415167878</v>
      </c>
      <c r="D113" s="8">
        <v>4849.569813956442</v>
      </c>
      <c r="E113" s="8">
        <v>16472.449799196787</v>
      </c>
      <c r="F113" s="8">
        <v>15096.146261343198</v>
      </c>
      <c r="G113" s="8">
        <v>13134.056838759625</v>
      </c>
      <c r="H113" s="8">
        <v>14839.906857524504</v>
      </c>
      <c r="I113" s="8">
        <v>14148.598317156628</v>
      </c>
      <c r="J113" s="8">
        <v>13199.701698096875</v>
      </c>
      <c r="K113" s="8">
        <v>13754.451708405097</v>
      </c>
      <c r="L113" s="8">
        <v>14525.079901101</v>
      </c>
      <c r="M113" s="8">
        <v>12883.893955328134</v>
      </c>
      <c r="N113" s="8">
        <v>15169.384798937581</v>
      </c>
      <c r="O113" s="8">
        <v>8114.4526861155127</v>
      </c>
      <c r="P113" s="8">
        <v>9185.7126206596931</v>
      </c>
      <c r="Q113" s="8">
        <v>1913.2262883377359</v>
      </c>
      <c r="R113" s="8">
        <v>14909.014423076924</v>
      </c>
      <c r="S113" s="8">
        <v>18956.182057287817</v>
      </c>
      <c r="T113" s="8">
        <v>12747.426302481243</v>
      </c>
      <c r="U113" s="8">
        <v>18855.55486999598</v>
      </c>
      <c r="V113" s="8">
        <v>6873.2443820224717</v>
      </c>
      <c r="W113" s="7"/>
      <c r="X113" s="35">
        <f t="shared" si="44"/>
        <v>9.5264585228508203</v>
      </c>
      <c r="Y113" s="35">
        <f t="shared" si="45"/>
        <v>9.5665280062606008</v>
      </c>
      <c r="Z113" s="35">
        <f t="shared" si="46"/>
        <v>8.4866452818443037</v>
      </c>
      <c r="AA113" s="35">
        <f t="shared" si="47"/>
        <v>9.7094445552311548</v>
      </c>
      <c r="AB113" s="35">
        <f t="shared" si="48"/>
        <v>9.6221947757496746</v>
      </c>
      <c r="AC113" s="35">
        <f t="shared" si="49"/>
        <v>9.4829638943462147</v>
      </c>
      <c r="AD113" s="35">
        <f t="shared" si="50"/>
        <v>9.6050752402545392</v>
      </c>
      <c r="AE113" s="35">
        <f t="shared" si="51"/>
        <v>9.5573708393065413</v>
      </c>
      <c r="AF113" s="35">
        <f t="shared" si="52"/>
        <v>9.4879495096900843</v>
      </c>
      <c r="AG113" s="35">
        <f t="shared" si="53"/>
        <v>9.5291178113068398</v>
      </c>
      <c r="AH113" s="35">
        <f t="shared" si="54"/>
        <v>9.5836320826413672</v>
      </c>
      <c r="AI113" s="35">
        <f t="shared" si="55"/>
        <v>9.4637332796913665</v>
      </c>
      <c r="AJ113" s="35">
        <f t="shared" si="56"/>
        <v>9.627034517725761</v>
      </c>
      <c r="AK113" s="35">
        <f t="shared" si="57"/>
        <v>9.0014020329564506</v>
      </c>
      <c r="AL113" s="35">
        <f t="shared" si="58"/>
        <v>9.1254045799047177</v>
      </c>
      <c r="AM113" s="35">
        <f t="shared" si="59"/>
        <v>7.5565462522186078</v>
      </c>
      <c r="AN113" s="35">
        <f t="shared" si="60"/>
        <v>9.6097213038353306</v>
      </c>
      <c r="AO113" s="35">
        <f t="shared" si="61"/>
        <v>9.8498853872451892</v>
      </c>
      <c r="AP113" s="35">
        <f t="shared" si="62"/>
        <v>9.453084671581454</v>
      </c>
      <c r="AQ113" s="35">
        <f t="shared" si="63"/>
        <v>9.8445628375276044</v>
      </c>
      <c r="AR113" s="35">
        <f t="shared" si="64"/>
        <v>8.8353915273092749</v>
      </c>
      <c r="AS113" s="38"/>
      <c r="AT113" s="38">
        <f t="shared" si="65"/>
        <v>-3.0029212020252771E-3</v>
      </c>
      <c r="AU113" s="38">
        <f t="shared" si="66"/>
        <v>-1.3127962839842411E-2</v>
      </c>
      <c r="AV113" s="38">
        <f t="shared" si="67"/>
        <v>-6.8813037051343784E-2</v>
      </c>
      <c r="AW113" s="38">
        <f t="shared" si="68"/>
        <v>1.8178765002458519E-2</v>
      </c>
      <c r="AX113" s="38">
        <f t="shared" si="69"/>
        <v>-8.652051540101624E-3</v>
      </c>
      <c r="AY113" s="38">
        <f t="shared" si="70"/>
        <v>1.4193261049404882E-2</v>
      </c>
      <c r="AZ113" s="38">
        <f t="shared" si="71"/>
        <v>4.9819803499460136E-3</v>
      </c>
      <c r="BA113" s="38">
        <f t="shared" si="72"/>
        <v>2.4461914262232654E-3</v>
      </c>
      <c r="BB113" s="38">
        <f t="shared" si="73"/>
        <v>3.8194844466943323E-3</v>
      </c>
      <c r="BC113" s="38">
        <f t="shared" si="74"/>
        <v>2.404056528826537E-2</v>
      </c>
      <c r="BD113" s="38">
        <f t="shared" si="75"/>
        <v>-1.2276802970264455E-2</v>
      </c>
      <c r="BE113" s="38">
        <f t="shared" si="76"/>
        <v>4.2586395139196043E-2</v>
      </c>
      <c r="BF113" s="38">
        <f t="shared" si="77"/>
        <v>6.1729785606239318E-3</v>
      </c>
      <c r="BG113" s="38">
        <f t="shared" si="78"/>
        <v>8.6900635665223547E-3</v>
      </c>
      <c r="BH113" s="38">
        <f t="shared" si="79"/>
        <v>-1.8269494470928294E-3</v>
      </c>
      <c r="BI113" s="38">
        <f t="shared" si="80"/>
        <v>4.4563027917480902E-2</v>
      </c>
      <c r="BJ113" s="38">
        <f t="shared" si="81"/>
        <v>-7.1505949875518837E-3</v>
      </c>
      <c r="BK113" s="38">
        <f t="shared" si="82"/>
        <v>9.3843406451856737E-3</v>
      </c>
      <c r="BL113" s="38">
        <f t="shared" si="83"/>
        <v>-1.4336128493772193E-2</v>
      </c>
      <c r="BM113" s="38">
        <f t="shared" si="84"/>
        <v>1.4863565337181583E-2</v>
      </c>
      <c r="BN113" s="38">
        <f t="shared" si="85"/>
        <v>4.7468009558246038E-2</v>
      </c>
      <c r="BO113" s="7"/>
      <c r="BX113" s="7"/>
      <c r="CN113" s="7"/>
      <c r="CO113" s="8"/>
      <c r="CP113" s="7"/>
      <c r="DG113" s="7"/>
      <c r="DO113" s="7"/>
      <c r="EE113" s="7"/>
      <c r="EF113" s="7"/>
      <c r="GH113" s="7"/>
      <c r="GJ113" s="9"/>
    </row>
    <row r="114" spans="1:192" x14ac:dyDescent="0.25">
      <c r="A114" s="7">
        <v>1982</v>
      </c>
      <c r="B114" s="8">
        <v>13961.109300237516</v>
      </c>
      <c r="C114" s="8">
        <v>14474.494138420865</v>
      </c>
      <c r="D114" s="8">
        <v>4762.8266732802176</v>
      </c>
      <c r="E114" s="8">
        <v>15779.405521012304</v>
      </c>
      <c r="F114" s="8">
        <v>15563.29758236433</v>
      </c>
      <c r="G114" s="8">
        <v>13484.753154850088</v>
      </c>
      <c r="H114" s="8">
        <v>15131.64084241521</v>
      </c>
      <c r="I114" s="8">
        <v>14039.640843244217</v>
      </c>
      <c r="J114" s="8">
        <v>13252.402431627372</v>
      </c>
      <c r="K114" s="8">
        <v>14078.37040258014</v>
      </c>
      <c r="L114" s="8">
        <v>14291.493299174495</v>
      </c>
      <c r="M114" s="8">
        <v>12996.269816599315</v>
      </c>
      <c r="N114" s="8">
        <v>15145.301405013772</v>
      </c>
      <c r="O114" s="8">
        <v>8279.6042455868101</v>
      </c>
      <c r="P114" s="8">
        <v>9293.0026372109241</v>
      </c>
      <c r="Q114" s="8">
        <v>1976.6984820871492</v>
      </c>
      <c r="R114" s="8">
        <v>15076.036036036037</v>
      </c>
      <c r="S114" s="8">
        <v>18560.399101687257</v>
      </c>
      <c r="T114" s="8">
        <v>12954.64740105841</v>
      </c>
      <c r="U114" s="8">
        <v>18325.120263083551</v>
      </c>
      <c r="V114" s="8">
        <v>5971.6981132075471</v>
      </c>
      <c r="W114" s="7"/>
      <c r="X114" s="35">
        <f t="shared" si="44"/>
        <v>9.5440308359270958</v>
      </c>
      <c r="Y114" s="35">
        <f t="shared" si="45"/>
        <v>9.5801433545711738</v>
      </c>
      <c r="Z114" s="35">
        <f t="shared" si="46"/>
        <v>8.46859660989732</v>
      </c>
      <c r="AA114" s="35">
        <f t="shared" si="47"/>
        <v>9.6664609207505716</v>
      </c>
      <c r="AB114" s="35">
        <f t="shared" si="48"/>
        <v>9.652670702166219</v>
      </c>
      <c r="AC114" s="35">
        <f t="shared" si="49"/>
        <v>9.5093149302412971</v>
      </c>
      <c r="AD114" s="35">
        <f t="shared" si="50"/>
        <v>9.6245432505000021</v>
      </c>
      <c r="AE114" s="35">
        <f t="shared" si="51"/>
        <v>9.5496400962870922</v>
      </c>
      <c r="AF114" s="35">
        <f t="shared" si="52"/>
        <v>9.4919341305732008</v>
      </c>
      <c r="AG114" s="35">
        <f t="shared" si="53"/>
        <v>9.552394884560707</v>
      </c>
      <c r="AH114" s="35">
        <f t="shared" si="54"/>
        <v>9.5674197650565489</v>
      </c>
      <c r="AI114" s="35">
        <f t="shared" si="55"/>
        <v>9.4724176580846553</v>
      </c>
      <c r="AJ114" s="35">
        <f t="shared" si="56"/>
        <v>9.625445624551773</v>
      </c>
      <c r="AK114" s="35">
        <f t="shared" si="57"/>
        <v>9.0215504498103058</v>
      </c>
      <c r="AL114" s="35">
        <f t="shared" si="58"/>
        <v>9.1370169913419677</v>
      </c>
      <c r="AM114" s="35">
        <f t="shared" si="59"/>
        <v>7.5891832986851</v>
      </c>
      <c r="AN114" s="35">
        <f t="shared" si="60"/>
        <v>9.6208617446757607</v>
      </c>
      <c r="AO114" s="35">
        <f t="shared" si="61"/>
        <v>9.8287855094326648</v>
      </c>
      <c r="AP114" s="35">
        <f t="shared" si="62"/>
        <v>9.4692098754168921</v>
      </c>
      <c r="AQ114" s="35">
        <f t="shared" si="63"/>
        <v>9.8160280895209606</v>
      </c>
      <c r="AR114" s="35">
        <f t="shared" si="64"/>
        <v>8.6947866070142457</v>
      </c>
      <c r="AS114" s="38"/>
      <c r="AT114" s="38">
        <f t="shared" si="65"/>
        <v>1.7572313076275492E-2</v>
      </c>
      <c r="AU114" s="38">
        <f t="shared" si="66"/>
        <v>1.3615348310572983E-2</v>
      </c>
      <c r="AV114" s="38">
        <f t="shared" si="67"/>
        <v>-1.8048671946983674E-2</v>
      </c>
      <c r="AW114" s="38">
        <f t="shared" si="68"/>
        <v>-4.2983634480583177E-2</v>
      </c>
      <c r="AX114" s="38">
        <f t="shared" si="69"/>
        <v>3.0475926416544397E-2</v>
      </c>
      <c r="AY114" s="38">
        <f t="shared" si="70"/>
        <v>2.6351035895082475E-2</v>
      </c>
      <c r="AZ114" s="38">
        <f t="shared" si="71"/>
        <v>1.9468010245462963E-2</v>
      </c>
      <c r="BA114" s="38">
        <f t="shared" si="72"/>
        <v>-7.7307430194490934E-3</v>
      </c>
      <c r="BB114" s="38">
        <f t="shared" si="73"/>
        <v>3.9846208831164631E-3</v>
      </c>
      <c r="BC114" s="38">
        <f t="shared" si="74"/>
        <v>2.3277073253867187E-2</v>
      </c>
      <c r="BD114" s="38">
        <f t="shared" si="75"/>
        <v>-1.6212317584818337E-2</v>
      </c>
      <c r="BE114" s="38">
        <f t="shared" si="76"/>
        <v>8.6843783932888385E-3</v>
      </c>
      <c r="BF114" s="38">
        <f t="shared" si="77"/>
        <v>-1.5888931739880263E-3</v>
      </c>
      <c r="BG114" s="38">
        <f t="shared" si="78"/>
        <v>2.0148416853855267E-2</v>
      </c>
      <c r="BH114" s="38">
        <f t="shared" si="79"/>
        <v>1.1612411437250003E-2</v>
      </c>
      <c r="BI114" s="38">
        <f t="shared" si="80"/>
        <v>3.2637046466492237E-2</v>
      </c>
      <c r="BJ114" s="38">
        <f t="shared" si="81"/>
        <v>1.1140440840430088E-2</v>
      </c>
      <c r="BK114" s="38">
        <f t="shared" si="82"/>
        <v>-2.1099877812524426E-2</v>
      </c>
      <c r="BL114" s="38">
        <f t="shared" si="83"/>
        <v>1.6125203835438029E-2</v>
      </c>
      <c r="BM114" s="38">
        <f t="shared" si="84"/>
        <v>-2.8534748006643795E-2</v>
      </c>
      <c r="BN114" s="38">
        <f t="shared" si="85"/>
        <v>-0.14060492029502925</v>
      </c>
      <c r="BO114" s="7"/>
      <c r="BX114" s="7"/>
      <c r="CN114" s="7"/>
      <c r="CO114" s="8"/>
      <c r="CP114" s="7"/>
      <c r="DG114" s="7"/>
      <c r="DO114" s="7"/>
      <c r="EE114" s="7"/>
      <c r="EF114" s="7"/>
      <c r="GH114" s="7"/>
      <c r="GJ114" s="9"/>
    </row>
    <row r="115" spans="1:192" x14ac:dyDescent="0.25">
      <c r="A115" s="7">
        <v>1983</v>
      </c>
      <c r="B115" s="8">
        <v>14393.949022997273</v>
      </c>
      <c r="C115" s="8">
        <v>14473.919184375862</v>
      </c>
      <c r="D115" s="8">
        <v>4498.143376780843</v>
      </c>
      <c r="E115" s="8">
        <v>16076.413304368663</v>
      </c>
      <c r="F115" s="8">
        <v>15966.221750516252</v>
      </c>
      <c r="G115" s="8">
        <v>13766.872393702606</v>
      </c>
      <c r="H115" s="8">
        <v>15245.114341397128</v>
      </c>
      <c r="I115" s="8">
        <v>14328.856704328653</v>
      </c>
      <c r="J115" s="8">
        <v>13391.4581052782</v>
      </c>
      <c r="K115" s="8">
        <v>14306.872890504885</v>
      </c>
      <c r="L115" s="8">
        <v>14483.253159765085</v>
      </c>
      <c r="M115" s="8">
        <v>13184.468999386127</v>
      </c>
      <c r="N115" s="8">
        <v>15635.782902852028</v>
      </c>
      <c r="O115" s="8">
        <v>8254.6590475943503</v>
      </c>
      <c r="P115" s="8">
        <v>9477.8029196709449</v>
      </c>
      <c r="Q115" s="8">
        <v>2050.4972484336495</v>
      </c>
      <c r="R115" s="8">
        <v>15337.015247928923</v>
      </c>
      <c r="S115" s="8">
        <v>18559.859272461636</v>
      </c>
      <c r="T115" s="8">
        <v>13404.466833690942</v>
      </c>
      <c r="U115" s="8">
        <v>18920.156391092147</v>
      </c>
      <c r="V115" s="8">
        <v>5583.138173302108</v>
      </c>
      <c r="W115" s="7"/>
      <c r="X115" s="35">
        <f t="shared" si="44"/>
        <v>9.5745631905162014</v>
      </c>
      <c r="Y115" s="35">
        <f t="shared" si="45"/>
        <v>9.5801036319073667</v>
      </c>
      <c r="Z115" s="35">
        <f t="shared" si="46"/>
        <v>8.4114200076850629</v>
      </c>
      <c r="AA115" s="35">
        <f t="shared" si="47"/>
        <v>9.6851084646419867</v>
      </c>
      <c r="AB115" s="35">
        <f t="shared" si="48"/>
        <v>9.6782306290305176</v>
      </c>
      <c r="AC115" s="35">
        <f t="shared" si="49"/>
        <v>9.5300204340218464</v>
      </c>
      <c r="AD115" s="35">
        <f t="shared" si="50"/>
        <v>9.6320143596498617</v>
      </c>
      <c r="AE115" s="35">
        <f t="shared" si="51"/>
        <v>9.5700307342708033</v>
      </c>
      <c r="AF115" s="35">
        <f t="shared" si="52"/>
        <v>9.5023723278483025</v>
      </c>
      <c r="AG115" s="35">
        <f t="shared" si="53"/>
        <v>9.5684953225000058</v>
      </c>
      <c r="AH115" s="35">
        <f t="shared" si="54"/>
        <v>9.5807483064357744</v>
      </c>
      <c r="AI115" s="35">
        <f t="shared" si="55"/>
        <v>9.4867948248923035</v>
      </c>
      <c r="AJ115" s="35">
        <f t="shared" si="56"/>
        <v>9.6573173423736325</v>
      </c>
      <c r="AK115" s="35">
        <f t="shared" si="57"/>
        <v>9.0185330529687722</v>
      </c>
      <c r="AL115" s="35">
        <f t="shared" si="58"/>
        <v>9.1567078088602969</v>
      </c>
      <c r="AM115" s="35">
        <f t="shared" si="59"/>
        <v>7.6258376029310186</v>
      </c>
      <c r="AN115" s="35">
        <f t="shared" si="60"/>
        <v>9.6380244828426918</v>
      </c>
      <c r="AO115" s="35">
        <f t="shared" si="61"/>
        <v>9.8287564240087324</v>
      </c>
      <c r="AP115" s="35">
        <f t="shared" si="62"/>
        <v>9.5033432761894669</v>
      </c>
      <c r="AQ115" s="35">
        <f t="shared" si="63"/>
        <v>9.8479831084856677</v>
      </c>
      <c r="AR115" s="35">
        <f t="shared" si="64"/>
        <v>8.6275062939387528</v>
      </c>
      <c r="AS115" s="38"/>
      <c r="AT115" s="38">
        <f t="shared" si="65"/>
        <v>3.0532354589105637E-2</v>
      </c>
      <c r="AU115" s="38">
        <f t="shared" si="66"/>
        <v>-3.9722663807140179E-5</v>
      </c>
      <c r="AV115" s="38">
        <f t="shared" si="67"/>
        <v>-5.7176602212257066E-2</v>
      </c>
      <c r="AW115" s="38">
        <f t="shared" si="68"/>
        <v>1.8647543891415097E-2</v>
      </c>
      <c r="AX115" s="38">
        <f t="shared" si="69"/>
        <v>2.5559926864298532E-2</v>
      </c>
      <c r="AY115" s="38">
        <f t="shared" si="70"/>
        <v>2.070550378054925E-2</v>
      </c>
      <c r="AZ115" s="38">
        <f t="shared" si="71"/>
        <v>7.4711091498596005E-3</v>
      </c>
      <c r="BA115" s="38">
        <f t="shared" si="72"/>
        <v>2.0390637983711102E-2</v>
      </c>
      <c r="BB115" s="38">
        <f t="shared" si="73"/>
        <v>1.0438197275101757E-2</v>
      </c>
      <c r="BC115" s="38">
        <f t="shared" si="74"/>
        <v>1.6100437939298828E-2</v>
      </c>
      <c r="BD115" s="38">
        <f t="shared" si="75"/>
        <v>1.3328541379225456E-2</v>
      </c>
      <c r="BE115" s="38">
        <f t="shared" si="76"/>
        <v>1.4377166807648223E-2</v>
      </c>
      <c r="BF115" s="38">
        <f t="shared" si="77"/>
        <v>3.1871717821859491E-2</v>
      </c>
      <c r="BG115" s="38">
        <f t="shared" si="78"/>
        <v>-3.0173968415336816E-3</v>
      </c>
      <c r="BH115" s="38">
        <f t="shared" si="79"/>
        <v>1.969081751832924E-2</v>
      </c>
      <c r="BI115" s="38">
        <f t="shared" si="80"/>
        <v>3.6654304245918645E-2</v>
      </c>
      <c r="BJ115" s="38">
        <f t="shared" si="81"/>
        <v>1.7162738166931035E-2</v>
      </c>
      <c r="BK115" s="38">
        <f t="shared" si="82"/>
        <v>-2.9085423932428967E-5</v>
      </c>
      <c r="BL115" s="38">
        <f t="shared" si="83"/>
        <v>3.4133400772574873E-2</v>
      </c>
      <c r="BM115" s="38">
        <f t="shared" si="84"/>
        <v>3.1955018964707094E-2</v>
      </c>
      <c r="BN115" s="38">
        <f t="shared" si="85"/>
        <v>-6.728031307549287E-2</v>
      </c>
      <c r="BO115" s="7"/>
      <c r="BX115" s="7"/>
      <c r="CN115" s="7"/>
      <c r="CO115" s="8"/>
      <c r="CP115" s="7"/>
      <c r="DG115" s="7"/>
      <c r="DO115" s="7"/>
      <c r="EE115" s="7"/>
      <c r="EF115" s="7"/>
      <c r="GH115" s="7"/>
      <c r="GJ115" s="9"/>
    </row>
    <row r="116" spans="1:192" x14ac:dyDescent="0.25">
      <c r="A116" s="7">
        <v>1984</v>
      </c>
      <c r="B116" s="8">
        <v>14439.382314208966</v>
      </c>
      <c r="C116" s="8">
        <v>14832.628129027022</v>
      </c>
      <c r="D116" s="8">
        <v>4643.2267500129919</v>
      </c>
      <c r="E116" s="8">
        <v>16835.824728229152</v>
      </c>
      <c r="F116" s="8">
        <v>16675.929876620306</v>
      </c>
      <c r="G116" s="8">
        <v>14106.716637428746</v>
      </c>
      <c r="H116" s="8">
        <v>15381.929381644917</v>
      </c>
      <c r="I116" s="8">
        <v>14783.183629779824</v>
      </c>
      <c r="J116" s="8">
        <v>13719.270995167764</v>
      </c>
      <c r="K116" s="8">
        <v>14772.586962917898</v>
      </c>
      <c r="L116" s="8">
        <v>14899.699875631257</v>
      </c>
      <c r="M116" s="8">
        <v>13666.464523953911</v>
      </c>
      <c r="N116" s="8">
        <v>16512.699864445018</v>
      </c>
      <c r="O116" s="8">
        <v>8088.8082580884293</v>
      </c>
      <c r="P116" s="8">
        <v>9570.9754285531526</v>
      </c>
      <c r="Q116" s="8">
        <v>2125.0032155765721</v>
      </c>
      <c r="R116" s="8">
        <v>15804.006237255608</v>
      </c>
      <c r="S116" s="8">
        <v>19037.827864258055</v>
      </c>
      <c r="T116" s="8">
        <v>13720.057238973992</v>
      </c>
      <c r="U116" s="8">
        <v>20122.667101821073</v>
      </c>
      <c r="V116" s="8">
        <v>5487.0345744680853</v>
      </c>
      <c r="W116" s="7"/>
      <c r="X116" s="35">
        <f t="shared" si="44"/>
        <v>9.5777146355075864</v>
      </c>
      <c r="Y116" s="35">
        <f t="shared" si="45"/>
        <v>9.6045846364927243</v>
      </c>
      <c r="Z116" s="35">
        <f t="shared" si="46"/>
        <v>8.4431648237890968</v>
      </c>
      <c r="AA116" s="35">
        <f t="shared" si="47"/>
        <v>9.731264319301058</v>
      </c>
      <c r="AB116" s="35">
        <f t="shared" si="48"/>
        <v>9.7217216339438917</v>
      </c>
      <c r="AC116" s="35">
        <f t="shared" si="49"/>
        <v>9.5544063202086065</v>
      </c>
      <c r="AD116" s="35">
        <f t="shared" si="50"/>
        <v>9.6409486826329154</v>
      </c>
      <c r="AE116" s="35">
        <f t="shared" si="51"/>
        <v>9.6012455725096491</v>
      </c>
      <c r="AF116" s="35">
        <f t="shared" si="52"/>
        <v>9.5265567654051999</v>
      </c>
      <c r="AG116" s="35">
        <f t="shared" si="53"/>
        <v>9.6005285100136657</v>
      </c>
      <c r="AH116" s="35">
        <f t="shared" si="54"/>
        <v>9.6090963491556032</v>
      </c>
      <c r="AI116" s="35">
        <f t="shared" si="55"/>
        <v>9.522700265978747</v>
      </c>
      <c r="AJ116" s="35">
        <f t="shared" si="56"/>
        <v>9.7118850525844316</v>
      </c>
      <c r="AK116" s="35">
        <f t="shared" si="57"/>
        <v>8.998236688705413</v>
      </c>
      <c r="AL116" s="35">
        <f t="shared" si="58"/>
        <v>9.1664904049115687</v>
      </c>
      <c r="AM116" s="35">
        <f t="shared" si="59"/>
        <v>7.6615285945698766</v>
      </c>
      <c r="AN116" s="35">
        <f t="shared" si="60"/>
        <v>9.6680187461943028</v>
      </c>
      <c r="AO116" s="35">
        <f t="shared" si="61"/>
        <v>9.8541832190778678</v>
      </c>
      <c r="AP116" s="35">
        <f t="shared" si="62"/>
        <v>9.5266140732080533</v>
      </c>
      <c r="AQ116" s="35">
        <f t="shared" si="63"/>
        <v>9.9096021751610674</v>
      </c>
      <c r="AR116" s="35">
        <f t="shared" si="64"/>
        <v>8.6101432381997007</v>
      </c>
      <c r="AS116" s="38"/>
      <c r="AT116" s="38">
        <f t="shared" si="65"/>
        <v>3.1514449913849774E-3</v>
      </c>
      <c r="AU116" s="38">
        <f t="shared" si="66"/>
        <v>2.4481004585357624E-2</v>
      </c>
      <c r="AV116" s="38">
        <f t="shared" si="67"/>
        <v>3.1744816104033902E-2</v>
      </c>
      <c r="AW116" s="38">
        <f t="shared" si="68"/>
        <v>4.6155854659071238E-2</v>
      </c>
      <c r="AX116" s="38">
        <f t="shared" si="69"/>
        <v>4.3491004913374098E-2</v>
      </c>
      <c r="AY116" s="38">
        <f t="shared" si="70"/>
        <v>2.4385886186760075E-2</v>
      </c>
      <c r="AZ116" s="38">
        <f t="shared" si="71"/>
        <v>8.934322983053633E-3</v>
      </c>
      <c r="BA116" s="38">
        <f t="shared" si="72"/>
        <v>3.1214838238845743E-2</v>
      </c>
      <c r="BB116" s="38">
        <f t="shared" si="73"/>
        <v>2.4184437556897365E-2</v>
      </c>
      <c r="BC116" s="38">
        <f t="shared" si="74"/>
        <v>3.2033187513659911E-2</v>
      </c>
      <c r="BD116" s="38">
        <f t="shared" si="75"/>
        <v>2.8348042719828825E-2</v>
      </c>
      <c r="BE116" s="38">
        <f t="shared" si="76"/>
        <v>3.5905441086443446E-2</v>
      </c>
      <c r="BF116" s="38">
        <f t="shared" si="77"/>
        <v>5.4567710210799092E-2</v>
      </c>
      <c r="BG116" s="38">
        <f t="shared" si="78"/>
        <v>-2.0296364263359123E-2</v>
      </c>
      <c r="BH116" s="38">
        <f t="shared" si="79"/>
        <v>9.7825960512718524E-3</v>
      </c>
      <c r="BI116" s="38">
        <f t="shared" si="80"/>
        <v>3.5690991638857916E-2</v>
      </c>
      <c r="BJ116" s="38">
        <f t="shared" si="81"/>
        <v>2.9994263351611039E-2</v>
      </c>
      <c r="BK116" s="38">
        <f t="shared" si="82"/>
        <v>2.5426795069135366E-2</v>
      </c>
      <c r="BL116" s="38">
        <f t="shared" si="83"/>
        <v>2.3270797018586364E-2</v>
      </c>
      <c r="BM116" s="38">
        <f t="shared" si="84"/>
        <v>6.1619066675399736E-2</v>
      </c>
      <c r="BN116" s="38">
        <f t="shared" si="85"/>
        <v>-1.7363055739052058E-2</v>
      </c>
      <c r="BO116" s="7"/>
      <c r="BX116" s="7"/>
      <c r="CN116" s="7"/>
      <c r="CO116" s="8"/>
      <c r="CP116" s="7"/>
      <c r="DG116" s="7"/>
      <c r="DO116" s="7"/>
      <c r="EE116" s="7"/>
      <c r="EF116" s="7"/>
      <c r="GH116" s="7"/>
      <c r="GJ116" s="9"/>
    </row>
    <row r="117" spans="1:192" x14ac:dyDescent="0.25">
      <c r="A117" s="7">
        <v>1985</v>
      </c>
      <c r="B117" s="8">
        <v>14752.421235761483</v>
      </c>
      <c r="C117" s="8">
        <v>14977.37923758901</v>
      </c>
      <c r="D117" s="8">
        <v>4913.9625278420754</v>
      </c>
      <c r="E117" s="8">
        <v>17582.068954883274</v>
      </c>
      <c r="F117" s="8">
        <v>17384.116482595447</v>
      </c>
      <c r="G117" s="8">
        <v>14522.062686169502</v>
      </c>
      <c r="H117" s="8">
        <v>15530.270844397239</v>
      </c>
      <c r="I117" s="8">
        <v>15139.761961741166</v>
      </c>
      <c r="J117" s="8">
        <v>14096.243135282755</v>
      </c>
      <c r="K117" s="8">
        <v>15331.250840808323</v>
      </c>
      <c r="L117" s="8">
        <v>15282.878511225295</v>
      </c>
      <c r="M117" s="8">
        <v>13664.259927797835</v>
      </c>
      <c r="N117" s="8">
        <v>17319.678159731928</v>
      </c>
      <c r="O117" s="8">
        <v>8305.9922450731483</v>
      </c>
      <c r="P117" s="8">
        <v>9721.7705748092503</v>
      </c>
      <c r="Q117" s="8">
        <v>2185.6164802438329</v>
      </c>
      <c r="R117" s="8">
        <v>16048.982035928144</v>
      </c>
      <c r="S117" s="8">
        <v>19586.457173240375</v>
      </c>
      <c r="T117" s="8">
        <v>14164.54610577419</v>
      </c>
      <c r="U117" s="8">
        <v>20717.322960076497</v>
      </c>
      <c r="V117" s="8">
        <v>5559.7609561752988</v>
      </c>
      <c r="W117" s="7"/>
      <c r="X117" s="35">
        <f t="shared" si="44"/>
        <v>9.5991624998736196</v>
      </c>
      <c r="Y117" s="35">
        <f t="shared" si="45"/>
        <v>9.614296291003793</v>
      </c>
      <c r="Z117" s="35">
        <f t="shared" si="46"/>
        <v>8.4998359274602855</v>
      </c>
      <c r="AA117" s="35">
        <f t="shared" si="47"/>
        <v>9.7746348523055655</v>
      </c>
      <c r="AB117" s="35">
        <f t="shared" si="48"/>
        <v>9.7633122224772926</v>
      </c>
      <c r="AC117" s="35">
        <f t="shared" si="49"/>
        <v>9.5834243365656029</v>
      </c>
      <c r="AD117" s="35">
        <f t="shared" si="50"/>
        <v>9.650546356067748</v>
      </c>
      <c r="AE117" s="35">
        <f t="shared" si="51"/>
        <v>9.6250798043936765</v>
      </c>
      <c r="AF117" s="35">
        <f t="shared" si="52"/>
        <v>9.553663596557481</v>
      </c>
      <c r="AG117" s="35">
        <f t="shared" si="53"/>
        <v>9.6376485628495754</v>
      </c>
      <c r="AH117" s="35">
        <f t="shared" si="54"/>
        <v>9.6344884292209212</v>
      </c>
      <c r="AI117" s="35">
        <f t="shared" si="55"/>
        <v>9.5225389386663473</v>
      </c>
      <c r="AJ117" s="35">
        <f t="shared" si="56"/>
        <v>9.7595985999421586</v>
      </c>
      <c r="AK117" s="35">
        <f t="shared" si="57"/>
        <v>9.0247324905366568</v>
      </c>
      <c r="AL117" s="35">
        <f t="shared" si="58"/>
        <v>9.1821230387679353</v>
      </c>
      <c r="AM117" s="35">
        <f t="shared" si="59"/>
        <v>7.6896532097231489</v>
      </c>
      <c r="AN117" s="35">
        <f t="shared" si="60"/>
        <v>9.6834007019939765</v>
      </c>
      <c r="AO117" s="35">
        <f t="shared" si="61"/>
        <v>9.8825936458463897</v>
      </c>
      <c r="AP117" s="35">
        <f t="shared" si="62"/>
        <v>9.5584973683890002</v>
      </c>
      <c r="AQ117" s="35">
        <f t="shared" si="63"/>
        <v>9.9387254872577717</v>
      </c>
      <c r="AR117" s="35">
        <f t="shared" si="64"/>
        <v>8.6233103928267294</v>
      </c>
      <c r="AS117" s="38"/>
      <c r="AT117" s="38">
        <f t="shared" si="65"/>
        <v>2.1447864366033187E-2</v>
      </c>
      <c r="AU117" s="38">
        <f t="shared" si="66"/>
        <v>9.7116545110687014E-3</v>
      </c>
      <c r="AV117" s="38">
        <f t="shared" si="67"/>
        <v>5.6671103671188661E-2</v>
      </c>
      <c r="AW117" s="38">
        <f t="shared" si="68"/>
        <v>4.337053300450755E-2</v>
      </c>
      <c r="AX117" s="38">
        <f t="shared" si="69"/>
        <v>4.1590588533400918E-2</v>
      </c>
      <c r="AY117" s="38">
        <f t="shared" si="70"/>
        <v>2.9018016356996412E-2</v>
      </c>
      <c r="AZ117" s="38">
        <f t="shared" si="71"/>
        <v>9.5976734348326431E-3</v>
      </c>
      <c r="BA117" s="38">
        <f t="shared" si="72"/>
        <v>2.3834231884027446E-2</v>
      </c>
      <c r="BB117" s="38">
        <f t="shared" si="73"/>
        <v>2.7106831152281075E-2</v>
      </c>
      <c r="BC117" s="38">
        <f t="shared" si="74"/>
        <v>3.7120052835909689E-2</v>
      </c>
      <c r="BD117" s="38">
        <f t="shared" si="75"/>
        <v>2.5392080065318012E-2</v>
      </c>
      <c r="BE117" s="38">
        <f t="shared" si="76"/>
        <v>-1.613273123997061E-4</v>
      </c>
      <c r="BF117" s="38">
        <f t="shared" si="77"/>
        <v>4.7713547357727037E-2</v>
      </c>
      <c r="BG117" s="38">
        <f t="shared" si="78"/>
        <v>2.6495801831243782E-2</v>
      </c>
      <c r="BH117" s="38">
        <f t="shared" si="79"/>
        <v>1.5632633856366596E-2</v>
      </c>
      <c r="BI117" s="38">
        <f t="shared" si="80"/>
        <v>2.8124615153272359E-2</v>
      </c>
      <c r="BJ117" s="38">
        <f t="shared" si="81"/>
        <v>1.5381955799673719E-2</v>
      </c>
      <c r="BK117" s="38">
        <f t="shared" si="82"/>
        <v>2.8410426768521901E-2</v>
      </c>
      <c r="BL117" s="38">
        <f t="shared" si="83"/>
        <v>3.1883295180946902E-2</v>
      </c>
      <c r="BM117" s="38">
        <f t="shared" si="84"/>
        <v>2.9123312096704268E-2</v>
      </c>
      <c r="BN117" s="38">
        <f t="shared" si="85"/>
        <v>1.3167154627028665E-2</v>
      </c>
      <c r="BO117" s="7"/>
      <c r="BX117" s="7"/>
      <c r="CN117" s="7"/>
      <c r="CO117" s="8"/>
      <c r="CP117" s="7"/>
      <c r="DG117" s="7"/>
      <c r="DO117" s="7"/>
      <c r="EE117" s="7"/>
      <c r="EF117" s="7"/>
      <c r="GH117" s="7"/>
      <c r="GJ117" s="9"/>
    </row>
    <row r="118" spans="1:192" x14ac:dyDescent="0.25">
      <c r="A118" s="7">
        <v>1986</v>
      </c>
      <c r="B118" s="8">
        <v>15080.780979255156</v>
      </c>
      <c r="C118" s="8">
        <v>15195.400433997853</v>
      </c>
      <c r="D118" s="8">
        <v>5201.6605323975009</v>
      </c>
      <c r="E118" s="8">
        <v>17862.103969653257</v>
      </c>
      <c r="F118" s="8">
        <v>17993.240548739646</v>
      </c>
      <c r="G118" s="8">
        <v>14819.458956445556</v>
      </c>
      <c r="H118" s="8">
        <v>15833.036579991185</v>
      </c>
      <c r="I118" s="8">
        <v>15469.014161441866</v>
      </c>
      <c r="J118" s="8">
        <v>14495.830027912974</v>
      </c>
      <c r="K118" s="8">
        <v>15679.381063001287</v>
      </c>
      <c r="L118" s="8">
        <v>15617.070555436416</v>
      </c>
      <c r="M118" s="8">
        <v>13879.676743489974</v>
      </c>
      <c r="N118" s="8">
        <v>17882.070235102492</v>
      </c>
      <c r="O118" s="8">
        <v>8641.0062124201759</v>
      </c>
      <c r="P118" s="8">
        <v>9997.9962568548635</v>
      </c>
      <c r="Q118" s="8">
        <v>2262.7543498032028</v>
      </c>
      <c r="R118" s="8">
        <v>16442.054958183991</v>
      </c>
      <c r="S118" s="8">
        <v>19786.339697528107</v>
      </c>
      <c r="T118" s="8">
        <v>14741.815746318507</v>
      </c>
      <c r="U118" s="8">
        <v>21236.085463351239</v>
      </c>
      <c r="V118" s="8">
        <v>6014.8465852853842</v>
      </c>
      <c r="W118" s="7"/>
      <c r="X118" s="35">
        <f t="shared" si="44"/>
        <v>9.6211764292962147</v>
      </c>
      <c r="Y118" s="35">
        <f t="shared" si="45"/>
        <v>9.6287480580143772</v>
      </c>
      <c r="Z118" s="35">
        <f t="shared" si="46"/>
        <v>8.5567331867469054</v>
      </c>
      <c r="AA118" s="35">
        <f t="shared" si="47"/>
        <v>9.7904366509442387</v>
      </c>
      <c r="AB118" s="35">
        <f t="shared" si="48"/>
        <v>9.7977514412810862</v>
      </c>
      <c r="AC118" s="35">
        <f t="shared" si="49"/>
        <v>9.6036963905214137</v>
      </c>
      <c r="AD118" s="35">
        <f t="shared" si="50"/>
        <v>9.6698539588626371</v>
      </c>
      <c r="AE118" s="35">
        <f t="shared" si="51"/>
        <v>9.6465942157086015</v>
      </c>
      <c r="AF118" s="35">
        <f t="shared" si="52"/>
        <v>9.5816163027665127</v>
      </c>
      <c r="AG118" s="35">
        <f t="shared" si="53"/>
        <v>9.660101820102442</v>
      </c>
      <c r="AH118" s="35">
        <f t="shared" si="54"/>
        <v>9.6561198613387162</v>
      </c>
      <c r="AI118" s="35">
        <f t="shared" si="55"/>
        <v>9.5381809444156733</v>
      </c>
      <c r="AJ118" s="35">
        <f t="shared" si="56"/>
        <v>9.7915538269859326</v>
      </c>
      <c r="AK118" s="35">
        <f t="shared" si="57"/>
        <v>9.064274314788042</v>
      </c>
      <c r="AL118" s="35">
        <f t="shared" si="58"/>
        <v>9.2101399775840544</v>
      </c>
      <c r="AM118" s="35">
        <f t="shared" si="59"/>
        <v>7.7243380890579694</v>
      </c>
      <c r="AN118" s="35">
        <f t="shared" si="60"/>
        <v>9.7075976582550876</v>
      </c>
      <c r="AO118" s="35">
        <f t="shared" si="61"/>
        <v>9.8927470643160031</v>
      </c>
      <c r="AP118" s="35">
        <f t="shared" si="62"/>
        <v>9.5984433431172338</v>
      </c>
      <c r="AQ118" s="35">
        <f t="shared" si="63"/>
        <v>9.963457158151634</v>
      </c>
      <c r="AR118" s="35">
        <f t="shared" si="64"/>
        <v>8.7019861227277993</v>
      </c>
      <c r="AS118" s="38"/>
      <c r="AT118" s="38">
        <f t="shared" si="65"/>
        <v>2.2013929422595169E-2</v>
      </c>
      <c r="AU118" s="38">
        <f t="shared" si="66"/>
        <v>1.4451767010584149E-2</v>
      </c>
      <c r="AV118" s="38">
        <f t="shared" si="67"/>
        <v>5.6897259286619928E-2</v>
      </c>
      <c r="AW118" s="38">
        <f t="shared" si="68"/>
        <v>1.5801798638673148E-2</v>
      </c>
      <c r="AX118" s="38">
        <f t="shared" si="69"/>
        <v>3.4439218803793636E-2</v>
      </c>
      <c r="AY118" s="38">
        <f t="shared" si="70"/>
        <v>2.0272053955810776E-2</v>
      </c>
      <c r="AZ118" s="38">
        <f t="shared" si="71"/>
        <v>1.9307602794889078E-2</v>
      </c>
      <c r="BA118" s="38">
        <f t="shared" si="72"/>
        <v>2.1514411314925042E-2</v>
      </c>
      <c r="BB118" s="38">
        <f t="shared" si="73"/>
        <v>2.7952706209031675E-2</v>
      </c>
      <c r="BC118" s="38">
        <f t="shared" si="74"/>
        <v>2.2453257252866621E-2</v>
      </c>
      <c r="BD118" s="38">
        <f t="shared" si="75"/>
        <v>2.1631432117795057E-2</v>
      </c>
      <c r="BE118" s="38">
        <f t="shared" si="76"/>
        <v>1.564200574932606E-2</v>
      </c>
      <c r="BF118" s="38">
        <f t="shared" si="77"/>
        <v>3.1955227043773959E-2</v>
      </c>
      <c r="BG118" s="38">
        <f t="shared" si="78"/>
        <v>3.9541824251385194E-2</v>
      </c>
      <c r="BH118" s="38">
        <f t="shared" si="79"/>
        <v>2.8016938816119108E-2</v>
      </c>
      <c r="BI118" s="38">
        <f t="shared" si="80"/>
        <v>3.4684879334820451E-2</v>
      </c>
      <c r="BJ118" s="38">
        <f t="shared" si="81"/>
        <v>2.4196956261111069E-2</v>
      </c>
      <c r="BK118" s="38">
        <f t="shared" si="82"/>
        <v>1.0153418469613484E-2</v>
      </c>
      <c r="BL118" s="38">
        <f t="shared" si="83"/>
        <v>3.994597472823358E-2</v>
      </c>
      <c r="BM118" s="38">
        <f t="shared" si="84"/>
        <v>2.4731670893862301E-2</v>
      </c>
      <c r="BN118" s="38">
        <f t="shared" si="85"/>
        <v>7.8675729901069857E-2</v>
      </c>
      <c r="BO118" s="7"/>
      <c r="BX118" s="7"/>
      <c r="CN118" s="7"/>
      <c r="CO118" s="8"/>
      <c r="CP118" s="7"/>
      <c r="DG118" s="7"/>
      <c r="DO118" s="7"/>
      <c r="EE118" s="7"/>
      <c r="EF118" s="7"/>
      <c r="GH118" s="7"/>
      <c r="GJ118" s="9"/>
    </row>
    <row r="119" spans="1:192" x14ac:dyDescent="0.25">
      <c r="A119" s="7">
        <v>1987</v>
      </c>
      <c r="B119" s="8">
        <v>15312.638253847554</v>
      </c>
      <c r="C119" s="8">
        <v>15540.921156612834</v>
      </c>
      <c r="D119" s="8">
        <v>5269.529529389556</v>
      </c>
      <c r="E119" s="8">
        <v>18348.154593083917</v>
      </c>
      <c r="F119" s="8">
        <v>18023.321131322966</v>
      </c>
      <c r="G119" s="8">
        <v>15382.232073173524</v>
      </c>
      <c r="H119" s="8">
        <v>16157.890119145801</v>
      </c>
      <c r="I119" s="8">
        <v>15701.373182413234</v>
      </c>
      <c r="J119" s="8">
        <v>14945.785984460381</v>
      </c>
      <c r="K119" s="8">
        <v>16251.293857282653</v>
      </c>
      <c r="L119" s="8">
        <v>15737.035465676136</v>
      </c>
      <c r="M119" s="8">
        <v>13891.408114558473</v>
      </c>
      <c r="N119" s="8">
        <v>18164.348236951617</v>
      </c>
      <c r="O119" s="8">
        <v>9185.1079681086449</v>
      </c>
      <c r="P119" s="8">
        <v>10520.051824167167</v>
      </c>
      <c r="Q119" s="8">
        <v>2252.2198129089415</v>
      </c>
      <c r="R119" s="8">
        <v>16904.97737556561</v>
      </c>
      <c r="S119" s="8">
        <v>19791.751567156523</v>
      </c>
      <c r="T119" s="8">
        <v>15393.437392618882</v>
      </c>
      <c r="U119" s="8">
        <v>21787.693674127881</v>
      </c>
      <c r="V119" s="8">
        <v>6453.2633650377174</v>
      </c>
      <c r="W119" s="7"/>
      <c r="X119" s="35">
        <f t="shared" si="44"/>
        <v>9.6364337960690207</v>
      </c>
      <c r="Y119" s="35">
        <f t="shared" si="45"/>
        <v>9.6512318986521688</v>
      </c>
      <c r="Z119" s="35">
        <f t="shared" si="46"/>
        <v>8.5696963641896886</v>
      </c>
      <c r="AA119" s="35">
        <f t="shared" si="47"/>
        <v>9.8172842812911121</v>
      </c>
      <c r="AB119" s="35">
        <f t="shared" si="48"/>
        <v>9.7994218166958547</v>
      </c>
      <c r="AC119" s="35">
        <f t="shared" si="49"/>
        <v>9.64096836082431</v>
      </c>
      <c r="AD119" s="35">
        <f t="shared" si="50"/>
        <v>9.6901637616170877</v>
      </c>
      <c r="AE119" s="35">
        <f t="shared" si="51"/>
        <v>9.6615034513596374</v>
      </c>
      <c r="AF119" s="35">
        <f t="shared" si="52"/>
        <v>9.6121846651357661</v>
      </c>
      <c r="AG119" s="35">
        <f t="shared" si="53"/>
        <v>9.6959278065748471</v>
      </c>
      <c r="AH119" s="35">
        <f t="shared" si="54"/>
        <v>9.66377216024744</v>
      </c>
      <c r="AI119" s="35">
        <f t="shared" si="55"/>
        <v>9.5390258067482954</v>
      </c>
      <c r="AJ119" s="35">
        <f t="shared" si="56"/>
        <v>9.8072160638547885</v>
      </c>
      <c r="AK119" s="35">
        <f t="shared" si="57"/>
        <v>9.1253387524096041</v>
      </c>
      <c r="AL119" s="35">
        <f t="shared" si="58"/>
        <v>9.2610384125311995</v>
      </c>
      <c r="AM119" s="35">
        <f t="shared" si="59"/>
        <v>7.7196715923598944</v>
      </c>
      <c r="AN119" s="35">
        <f t="shared" si="60"/>
        <v>9.7353633768131171</v>
      </c>
      <c r="AO119" s="35">
        <f t="shared" si="61"/>
        <v>9.8930205423685926</v>
      </c>
      <c r="AP119" s="35">
        <f t="shared" si="62"/>
        <v>9.6416965542404096</v>
      </c>
      <c r="AQ119" s="35">
        <f t="shared" si="63"/>
        <v>9.9891005790201106</v>
      </c>
      <c r="AR119" s="35">
        <f t="shared" si="64"/>
        <v>8.772341229909113</v>
      </c>
      <c r="AS119" s="38"/>
      <c r="AT119" s="38">
        <f t="shared" si="65"/>
        <v>1.525736677280598E-2</v>
      </c>
      <c r="AU119" s="38">
        <f t="shared" si="66"/>
        <v>2.248384063779163E-2</v>
      </c>
      <c r="AV119" s="38">
        <f t="shared" si="67"/>
        <v>1.2963177442783191E-2</v>
      </c>
      <c r="AW119" s="38">
        <f t="shared" si="68"/>
        <v>2.684763034687343E-2</v>
      </c>
      <c r="AX119" s="38">
        <f t="shared" si="69"/>
        <v>1.6703754147684435E-3</v>
      </c>
      <c r="AY119" s="38">
        <f t="shared" si="70"/>
        <v>3.7271970302896307E-2</v>
      </c>
      <c r="AZ119" s="38">
        <f t="shared" si="71"/>
        <v>2.0309802754450601E-2</v>
      </c>
      <c r="BA119" s="38">
        <f t="shared" si="72"/>
        <v>1.4909235651035857E-2</v>
      </c>
      <c r="BB119" s="38">
        <f t="shared" si="73"/>
        <v>3.0568362369253421E-2</v>
      </c>
      <c r="BC119" s="38">
        <f t="shared" si="74"/>
        <v>3.5825986472405091E-2</v>
      </c>
      <c r="BD119" s="38">
        <f t="shared" si="75"/>
        <v>7.6522989087237647E-3</v>
      </c>
      <c r="BE119" s="38">
        <f t="shared" si="76"/>
        <v>8.448623326220428E-4</v>
      </c>
      <c r="BF119" s="38">
        <f t="shared" si="77"/>
        <v>1.5662236868855928E-2</v>
      </c>
      <c r="BG119" s="38">
        <f t="shared" si="78"/>
        <v>6.1064437621562107E-2</v>
      </c>
      <c r="BH119" s="38">
        <f t="shared" si="79"/>
        <v>5.0898434947145077E-2</v>
      </c>
      <c r="BI119" s="38">
        <f t="shared" si="80"/>
        <v>-4.6664966980749512E-3</v>
      </c>
      <c r="BJ119" s="38">
        <f t="shared" si="81"/>
        <v>2.7765718558029562E-2</v>
      </c>
      <c r="BK119" s="38">
        <f t="shared" si="82"/>
        <v>2.7347805258948199E-4</v>
      </c>
      <c r="BL119" s="38">
        <f t="shared" si="83"/>
        <v>4.3253211123175817E-2</v>
      </c>
      <c r="BM119" s="38">
        <f t="shared" si="84"/>
        <v>2.5643420868476596E-2</v>
      </c>
      <c r="BN119" s="38">
        <f t="shared" si="85"/>
        <v>7.035510718131377E-2</v>
      </c>
      <c r="BO119" s="7"/>
      <c r="BX119" s="7"/>
      <c r="CN119" s="7"/>
      <c r="CO119" s="8"/>
      <c r="CP119" s="7"/>
      <c r="DG119" s="7"/>
      <c r="DO119" s="7"/>
      <c r="EE119" s="7"/>
      <c r="EF119" s="7"/>
      <c r="GH119" s="7"/>
      <c r="GJ119" s="9"/>
    </row>
    <row r="120" spans="1:192" x14ac:dyDescent="0.25">
      <c r="A120" s="7">
        <v>1988</v>
      </c>
      <c r="B120" s="8">
        <v>15754.380613887934</v>
      </c>
      <c r="C120" s="8">
        <v>16251.719951436666</v>
      </c>
      <c r="D120" s="8">
        <v>5154.5522475029647</v>
      </c>
      <c r="E120" s="8">
        <v>18993.076728586937</v>
      </c>
      <c r="F120" s="8">
        <v>18224.331496382896</v>
      </c>
      <c r="G120" s="8">
        <v>16087.912727707921</v>
      </c>
      <c r="H120" s="8">
        <v>16789.572963059996</v>
      </c>
      <c r="I120" s="8">
        <v>16160.114781678136</v>
      </c>
      <c r="J120" s="8">
        <v>15522.800805238097</v>
      </c>
      <c r="K120" s="8">
        <v>17184.637844274261</v>
      </c>
      <c r="L120" s="8">
        <v>16043.531010296558</v>
      </c>
      <c r="M120" s="8">
        <v>13815.828622433801</v>
      </c>
      <c r="N120" s="8">
        <v>18059.107969077719</v>
      </c>
      <c r="O120" s="8">
        <v>9867.73899309226</v>
      </c>
      <c r="P120" s="8">
        <v>11045.995659176613</v>
      </c>
      <c r="Q120" s="8">
        <v>2278.8747541202401</v>
      </c>
      <c r="R120" s="8">
        <v>17298.00853485064</v>
      </c>
      <c r="S120" s="8">
        <v>20242.651077428298</v>
      </c>
      <c r="T120" s="8">
        <v>16109.99642527258</v>
      </c>
      <c r="U120" s="8">
        <v>22499.441620233243</v>
      </c>
      <c r="V120" s="8">
        <v>6413.2985658409389</v>
      </c>
      <c r="W120" s="7"/>
      <c r="X120" s="35">
        <f t="shared" si="44"/>
        <v>9.6648737397967359</v>
      </c>
      <c r="Y120" s="35">
        <f t="shared" si="45"/>
        <v>9.6959540253222247</v>
      </c>
      <c r="Z120" s="35">
        <f t="shared" si="46"/>
        <v>8.5476355347743223</v>
      </c>
      <c r="AA120" s="35">
        <f t="shared" si="47"/>
        <v>9.851829809039117</v>
      </c>
      <c r="AB120" s="35">
        <f t="shared" si="48"/>
        <v>9.8105128756215532</v>
      </c>
      <c r="AC120" s="35">
        <f t="shared" si="49"/>
        <v>9.6858235067552734</v>
      </c>
      <c r="AD120" s="35">
        <f t="shared" si="50"/>
        <v>9.7285133157433723</v>
      </c>
      <c r="AE120" s="35">
        <f t="shared" si="51"/>
        <v>9.6903014348764795</v>
      </c>
      <c r="AF120" s="35">
        <f t="shared" si="52"/>
        <v>9.6500652417105268</v>
      </c>
      <c r="AG120" s="35">
        <f t="shared" si="53"/>
        <v>9.751771115117986</v>
      </c>
      <c r="AH120" s="35">
        <f t="shared" si="54"/>
        <v>9.6830609949927737</v>
      </c>
      <c r="AI120" s="35">
        <f t="shared" si="55"/>
        <v>9.5335702154671402</v>
      </c>
      <c r="AJ120" s="35">
        <f t="shared" si="56"/>
        <v>9.8014054331197649</v>
      </c>
      <c r="AK120" s="35">
        <f t="shared" si="57"/>
        <v>9.1970260274709332</v>
      </c>
      <c r="AL120" s="35">
        <f t="shared" si="58"/>
        <v>9.3098232574841067</v>
      </c>
      <c r="AM120" s="35">
        <f t="shared" si="59"/>
        <v>7.7314370712283855</v>
      </c>
      <c r="AN120" s="35">
        <f t="shared" si="60"/>
        <v>9.7583466602673443</v>
      </c>
      <c r="AO120" s="35">
        <f t="shared" si="61"/>
        <v>9.9155470969103749</v>
      </c>
      <c r="AP120" s="35">
        <f t="shared" si="62"/>
        <v>9.6871952542760589</v>
      </c>
      <c r="AQ120" s="35">
        <f t="shared" si="63"/>
        <v>10.021245771006045</v>
      </c>
      <c r="AR120" s="35">
        <f t="shared" si="64"/>
        <v>8.76612901441022</v>
      </c>
      <c r="AS120" s="38"/>
      <c r="AT120" s="38">
        <f t="shared" si="65"/>
        <v>2.8439943727715189E-2</v>
      </c>
      <c r="AU120" s="38">
        <f t="shared" si="66"/>
        <v>4.4722126670055928E-2</v>
      </c>
      <c r="AV120" s="38">
        <f t="shared" si="67"/>
        <v>-2.2060829415366356E-2</v>
      </c>
      <c r="AW120" s="38">
        <f t="shared" si="68"/>
        <v>3.4545527748004901E-2</v>
      </c>
      <c r="AX120" s="38">
        <f t="shared" si="69"/>
        <v>1.1091058925698505E-2</v>
      </c>
      <c r="AY120" s="38">
        <f t="shared" si="70"/>
        <v>4.4855145930963403E-2</v>
      </c>
      <c r="AZ120" s="38">
        <f t="shared" si="71"/>
        <v>3.8349554126284602E-2</v>
      </c>
      <c r="BA120" s="38">
        <f t="shared" si="72"/>
        <v>2.8797983516842152E-2</v>
      </c>
      <c r="BB120" s="38">
        <f t="shared" si="73"/>
        <v>3.7880576574760738E-2</v>
      </c>
      <c r="BC120" s="38">
        <f t="shared" si="74"/>
        <v>5.5843308543138903E-2</v>
      </c>
      <c r="BD120" s="38">
        <f t="shared" si="75"/>
        <v>1.9288834745333716E-2</v>
      </c>
      <c r="BE120" s="38">
        <f t="shared" si="76"/>
        <v>-5.4555912811551366E-3</v>
      </c>
      <c r="BF120" s="38">
        <f t="shared" si="77"/>
        <v>-5.8106307350236364E-3</v>
      </c>
      <c r="BG120" s="38">
        <f t="shared" si="78"/>
        <v>7.1687275061329103E-2</v>
      </c>
      <c r="BH120" s="38">
        <f t="shared" si="79"/>
        <v>4.8784844952907136E-2</v>
      </c>
      <c r="BI120" s="38">
        <f t="shared" si="80"/>
        <v>1.1765478868491108E-2</v>
      </c>
      <c r="BJ120" s="38">
        <f t="shared" si="81"/>
        <v>2.2983283454227177E-2</v>
      </c>
      <c r="BK120" s="38">
        <f t="shared" si="82"/>
        <v>2.2526554541782318E-2</v>
      </c>
      <c r="BL120" s="38">
        <f t="shared" si="83"/>
        <v>4.5498700035649264E-2</v>
      </c>
      <c r="BM120" s="38">
        <f t="shared" si="84"/>
        <v>3.2145191985934574E-2</v>
      </c>
      <c r="BN120" s="38">
        <f t="shared" si="85"/>
        <v>-6.2122154988930589E-3</v>
      </c>
      <c r="BO120" s="7"/>
      <c r="BX120" s="7"/>
      <c r="CN120" s="7"/>
      <c r="CO120" s="8"/>
      <c r="CP120" s="7"/>
      <c r="DG120" s="7"/>
      <c r="DO120" s="7"/>
      <c r="EE120" s="7"/>
      <c r="EF120" s="7"/>
      <c r="GH120" s="7"/>
      <c r="GJ120" s="9"/>
    </row>
    <row r="121" spans="1:192" x14ac:dyDescent="0.25">
      <c r="A121" s="7">
        <v>1989</v>
      </c>
      <c r="B121" s="8">
        <v>16359.894339972896</v>
      </c>
      <c r="C121" s="8">
        <v>16743.919642548975</v>
      </c>
      <c r="D121" s="8">
        <v>5223.6796964865898</v>
      </c>
      <c r="E121" s="8">
        <v>19108.487068697887</v>
      </c>
      <c r="F121" s="8">
        <v>18261.334962659228</v>
      </c>
      <c r="G121" s="8">
        <v>16945.69265407891</v>
      </c>
      <c r="H121" s="8">
        <v>17299.70080074713</v>
      </c>
      <c r="I121" s="8">
        <v>16558.120973976776</v>
      </c>
      <c r="J121" s="8">
        <v>15969.20091461861</v>
      </c>
      <c r="K121" s="8">
        <v>17942.5136567634</v>
      </c>
      <c r="L121" s="8">
        <v>16695.235548313423</v>
      </c>
      <c r="M121" s="8">
        <v>13869.15334517466</v>
      </c>
      <c r="N121" s="8">
        <v>18156.699661229533</v>
      </c>
      <c r="O121" s="8">
        <v>10371.911249525981</v>
      </c>
      <c r="P121" s="8">
        <v>11581.576550095993</v>
      </c>
      <c r="Q121" s="8">
        <v>2306.7509113279066</v>
      </c>
      <c r="R121" s="8">
        <v>17709.996467679266</v>
      </c>
      <c r="S121" s="8">
        <v>20935.284527458756</v>
      </c>
      <c r="T121" s="8">
        <v>16413.722920989137</v>
      </c>
      <c r="U121" s="8">
        <v>23059.278193599523</v>
      </c>
      <c r="V121" s="8">
        <v>6454.015544041451</v>
      </c>
      <c r="W121" s="7"/>
      <c r="X121" s="35">
        <f t="shared" si="44"/>
        <v>9.7025881516990182</v>
      </c>
      <c r="Y121" s="35">
        <f t="shared" si="45"/>
        <v>9.7257904649354483</v>
      </c>
      <c r="Z121" s="35">
        <f t="shared" si="46"/>
        <v>8.5609573552339597</v>
      </c>
      <c r="AA121" s="35">
        <f t="shared" si="47"/>
        <v>9.8578878644873615</v>
      </c>
      <c r="AB121" s="35">
        <f t="shared" si="48"/>
        <v>9.8125412600560242</v>
      </c>
      <c r="AC121" s="35">
        <f t="shared" si="49"/>
        <v>9.7377689598111505</v>
      </c>
      <c r="AD121" s="35">
        <f t="shared" si="50"/>
        <v>9.7584444855818138</v>
      </c>
      <c r="AE121" s="35">
        <f t="shared" si="51"/>
        <v>9.714631953746272</v>
      </c>
      <c r="AF121" s="35">
        <f t="shared" si="52"/>
        <v>9.6784172033021179</v>
      </c>
      <c r="AG121" s="35">
        <f t="shared" si="53"/>
        <v>9.7949282404444364</v>
      </c>
      <c r="AH121" s="35">
        <f t="shared" si="54"/>
        <v>9.7228786611918778</v>
      </c>
      <c r="AI121" s="35">
        <f t="shared" si="55"/>
        <v>9.5374224692809602</v>
      </c>
      <c r="AJ121" s="35">
        <f t="shared" si="56"/>
        <v>9.80679489892273</v>
      </c>
      <c r="AK121" s="35">
        <f t="shared" si="57"/>
        <v>9.2468565898851534</v>
      </c>
      <c r="AL121" s="35">
        <f t="shared" si="58"/>
        <v>9.3571708860826543</v>
      </c>
      <c r="AM121" s="35">
        <f t="shared" si="59"/>
        <v>7.7435952815286671</v>
      </c>
      <c r="AN121" s="35">
        <f t="shared" si="60"/>
        <v>9.7818845313234011</v>
      </c>
      <c r="AO121" s="35">
        <f t="shared" si="61"/>
        <v>9.9491912693548574</v>
      </c>
      <c r="AP121" s="35">
        <f t="shared" si="62"/>
        <v>9.7058730273958513</v>
      </c>
      <c r="AQ121" s="35">
        <f t="shared" si="63"/>
        <v>10.045823492101565</v>
      </c>
      <c r="AR121" s="35">
        <f t="shared" si="64"/>
        <v>8.7724577810443112</v>
      </c>
      <c r="AS121" s="38"/>
      <c r="AT121" s="38">
        <f t="shared" si="65"/>
        <v>3.7714411902282308E-2</v>
      </c>
      <c r="AU121" s="38">
        <f t="shared" si="66"/>
        <v>2.9836439613223575E-2</v>
      </c>
      <c r="AV121" s="38">
        <f t="shared" si="67"/>
        <v>1.3321820459637479E-2</v>
      </c>
      <c r="AW121" s="38">
        <f t="shared" si="68"/>
        <v>6.0580554482445592E-3</v>
      </c>
      <c r="AX121" s="38">
        <f t="shared" si="69"/>
        <v>2.0283844344710644E-3</v>
      </c>
      <c r="AY121" s="38">
        <f t="shared" si="70"/>
        <v>5.1945453055877167E-2</v>
      </c>
      <c r="AZ121" s="38">
        <f t="shared" si="71"/>
        <v>2.9931169838441463E-2</v>
      </c>
      <c r="BA121" s="38">
        <f t="shared" si="72"/>
        <v>2.4330518869792428E-2</v>
      </c>
      <c r="BB121" s="38">
        <f t="shared" si="73"/>
        <v>2.8351961591591035E-2</v>
      </c>
      <c r="BC121" s="38">
        <f t="shared" si="74"/>
        <v>4.3157125326450441E-2</v>
      </c>
      <c r="BD121" s="38">
        <f t="shared" si="75"/>
        <v>3.9817666199104096E-2</v>
      </c>
      <c r="BE121" s="38">
        <f t="shared" si="76"/>
        <v>3.852253813819928E-3</v>
      </c>
      <c r="BF121" s="38">
        <f t="shared" si="77"/>
        <v>5.3894658029651765E-3</v>
      </c>
      <c r="BG121" s="38">
        <f t="shared" si="78"/>
        <v>4.9830562414220125E-2</v>
      </c>
      <c r="BH121" s="38">
        <f t="shared" si="79"/>
        <v>4.7347628598547686E-2</v>
      </c>
      <c r="BI121" s="38">
        <f t="shared" si="80"/>
        <v>1.2158210300281524E-2</v>
      </c>
      <c r="BJ121" s="38">
        <f t="shared" si="81"/>
        <v>2.3537871056056758E-2</v>
      </c>
      <c r="BK121" s="38">
        <f t="shared" si="82"/>
        <v>3.3644172444482479E-2</v>
      </c>
      <c r="BL121" s="38">
        <f t="shared" si="83"/>
        <v>1.8677773119792462E-2</v>
      </c>
      <c r="BM121" s="38">
        <f t="shared" si="84"/>
        <v>2.4577721095520033E-2</v>
      </c>
      <c r="BN121" s="38">
        <f t="shared" si="85"/>
        <v>6.3287666340912097E-3</v>
      </c>
      <c r="BO121" s="7"/>
      <c r="BX121" s="7"/>
      <c r="CN121" s="7"/>
      <c r="CO121" s="8"/>
      <c r="CP121" s="7"/>
      <c r="DG121" s="7"/>
      <c r="DO121" s="7"/>
      <c r="EE121" s="7"/>
      <c r="EF121" s="7"/>
      <c r="GH121" s="7"/>
      <c r="GJ121" s="9"/>
    </row>
    <row r="122" spans="1:192" x14ac:dyDescent="0.25">
      <c r="A122" s="7">
        <v>1990</v>
      </c>
      <c r="B122" s="8">
        <v>16894.57387608082</v>
      </c>
      <c r="C122" s="8">
        <v>17196.977524021222</v>
      </c>
      <c r="D122" s="8">
        <v>4920.0568895944962</v>
      </c>
      <c r="E122" s="8">
        <v>18872.388505465879</v>
      </c>
      <c r="F122" s="8">
        <v>18452.411750815125</v>
      </c>
      <c r="G122" s="8">
        <v>16866.371960225664</v>
      </c>
      <c r="H122" s="8">
        <v>17647.005226241236</v>
      </c>
      <c r="I122" s="8">
        <v>15928.845099962591</v>
      </c>
      <c r="J122" s="8">
        <v>16313.128662507581</v>
      </c>
      <c r="K122" s="8">
        <v>18789.07131596643</v>
      </c>
      <c r="L122" s="8">
        <v>17262.069182310013</v>
      </c>
      <c r="M122" s="8">
        <v>13687.46338605741</v>
      </c>
      <c r="N122" s="8">
        <v>18466.027629381002</v>
      </c>
      <c r="O122" s="8">
        <v>10826.399980892276</v>
      </c>
      <c r="P122" s="8">
        <v>12054.808890774155</v>
      </c>
      <c r="Q122" s="8">
        <v>2423.7723062606101</v>
      </c>
      <c r="R122" s="8">
        <v>17781.049187989251</v>
      </c>
      <c r="S122" s="8">
        <v>21487.20728616718</v>
      </c>
      <c r="T122" s="8">
        <v>16429.912441808228</v>
      </c>
      <c r="U122" s="8">
        <v>23200.559941388365</v>
      </c>
      <c r="V122" s="8">
        <v>6464.6302250803856</v>
      </c>
      <c r="W122" s="7"/>
      <c r="X122" s="35">
        <f t="shared" si="44"/>
        <v>9.7347477769351265</v>
      </c>
      <c r="Y122" s="35">
        <f t="shared" si="45"/>
        <v>9.752488922012434</v>
      </c>
      <c r="Z122" s="35">
        <f t="shared" si="46"/>
        <v>8.5010753723452144</v>
      </c>
      <c r="AA122" s="35">
        <f t="shared" si="47"/>
        <v>9.8454552072186559</v>
      </c>
      <c r="AB122" s="35">
        <f t="shared" si="48"/>
        <v>9.8229503591271552</v>
      </c>
      <c r="AC122" s="35">
        <f t="shared" si="49"/>
        <v>9.7330770937409046</v>
      </c>
      <c r="AD122" s="35">
        <f t="shared" si="50"/>
        <v>9.7783213723978459</v>
      </c>
      <c r="AE122" s="35">
        <f t="shared" si="51"/>
        <v>9.6758869018429738</v>
      </c>
      <c r="AF122" s="35">
        <f t="shared" si="52"/>
        <v>9.699725502020236</v>
      </c>
      <c r="AG122" s="35">
        <f t="shared" si="53"/>
        <v>9.8410306668096315</v>
      </c>
      <c r="AH122" s="35">
        <f t="shared" si="54"/>
        <v>9.7562668405522466</v>
      </c>
      <c r="AI122" s="35">
        <f t="shared" si="55"/>
        <v>9.5242356115640394</v>
      </c>
      <c r="AJ122" s="35">
        <f t="shared" si="56"/>
        <v>9.8236879785613365</v>
      </c>
      <c r="AK122" s="35">
        <f t="shared" si="57"/>
        <v>9.2897428729973761</v>
      </c>
      <c r="AL122" s="35">
        <f t="shared" si="58"/>
        <v>9.3972189373808703</v>
      </c>
      <c r="AM122" s="35">
        <f t="shared" si="59"/>
        <v>7.7930804097164144</v>
      </c>
      <c r="AN122" s="35">
        <f t="shared" si="60"/>
        <v>9.7858885167751204</v>
      </c>
      <c r="AO122" s="35">
        <f t="shared" si="61"/>
        <v>9.9752130270813737</v>
      </c>
      <c r="AP122" s="35">
        <f t="shared" si="62"/>
        <v>9.7068588818514545</v>
      </c>
      <c r="AQ122" s="35">
        <f t="shared" si="63"/>
        <v>10.051931692767818</v>
      </c>
      <c r="AR122" s="35">
        <f t="shared" si="64"/>
        <v>8.7741010931402315</v>
      </c>
      <c r="AS122" s="38"/>
      <c r="AT122" s="38">
        <f t="shared" si="65"/>
        <v>3.2159625236108269E-2</v>
      </c>
      <c r="AU122" s="38">
        <f t="shared" si="66"/>
        <v>2.6698457076985704E-2</v>
      </c>
      <c r="AV122" s="38">
        <f t="shared" si="67"/>
        <v>-5.9881982888745355E-2</v>
      </c>
      <c r="AW122" s="38">
        <f t="shared" si="68"/>
        <v>-1.2432657268705682E-2</v>
      </c>
      <c r="AX122" s="38">
        <f t="shared" si="69"/>
        <v>1.0409099071130967E-2</v>
      </c>
      <c r="AY122" s="38">
        <f t="shared" si="70"/>
        <v>-4.6918660702459647E-3</v>
      </c>
      <c r="AZ122" s="38">
        <f t="shared" si="71"/>
        <v>1.9876886816032169E-2</v>
      </c>
      <c r="BA122" s="38">
        <f t="shared" si="72"/>
        <v>-3.8745051903298133E-2</v>
      </c>
      <c r="BB122" s="38">
        <f t="shared" si="73"/>
        <v>2.1308298718118124E-2</v>
      </c>
      <c r="BC122" s="38">
        <f t="shared" si="74"/>
        <v>4.6102426365195015E-2</v>
      </c>
      <c r="BD122" s="38">
        <f t="shared" si="75"/>
        <v>3.3388179360368753E-2</v>
      </c>
      <c r="BE122" s="38">
        <f t="shared" si="76"/>
        <v>-1.3186857716920741E-2</v>
      </c>
      <c r="BF122" s="38">
        <f t="shared" si="77"/>
        <v>1.6893079638606423E-2</v>
      </c>
      <c r="BG122" s="38">
        <f t="shared" si="78"/>
        <v>4.2886283112222756E-2</v>
      </c>
      <c r="BH122" s="38">
        <f t="shared" si="79"/>
        <v>4.0048051298215981E-2</v>
      </c>
      <c r="BI122" s="38">
        <f t="shared" si="80"/>
        <v>4.9485128187747307E-2</v>
      </c>
      <c r="BJ122" s="38">
        <f t="shared" si="81"/>
        <v>4.0039854517193163E-3</v>
      </c>
      <c r="BK122" s="38">
        <f t="shared" si="82"/>
        <v>2.602175772651627E-2</v>
      </c>
      <c r="BL122" s="38">
        <f t="shared" si="83"/>
        <v>9.8585445560317453E-4</v>
      </c>
      <c r="BM122" s="38">
        <f t="shared" si="84"/>
        <v>6.1082006662527277E-3</v>
      </c>
      <c r="BN122" s="38">
        <f t="shared" si="85"/>
        <v>1.6433120959202796E-3</v>
      </c>
      <c r="BO122" s="7"/>
      <c r="BX122" s="7"/>
      <c r="CN122" s="7"/>
      <c r="CO122" s="8"/>
      <c r="CP122" s="7"/>
      <c r="DG122" s="7"/>
      <c r="DO122" s="7"/>
      <c r="EE122" s="7"/>
      <c r="EF122" s="7"/>
      <c r="GH122" s="7"/>
      <c r="GJ122" s="9"/>
    </row>
    <row r="123" spans="1:192" x14ac:dyDescent="0.25">
      <c r="A123" s="7">
        <v>1991</v>
      </c>
      <c r="B123" s="8">
        <v>17288.512276228801</v>
      </c>
      <c r="C123" s="8">
        <v>17450.635823414563</v>
      </c>
      <c r="D123" s="8">
        <v>4891.1540264610894</v>
      </c>
      <c r="E123" s="8">
        <v>18255.182523769548</v>
      </c>
      <c r="F123" s="8">
        <v>18643.779300210022</v>
      </c>
      <c r="G123" s="8">
        <v>15702.913452073202</v>
      </c>
      <c r="H123" s="8">
        <v>17755.101805057468</v>
      </c>
      <c r="I123" s="8">
        <v>16649.523501724379</v>
      </c>
      <c r="J123" s="8">
        <v>16538.57348133764</v>
      </c>
      <c r="K123" s="8">
        <v>19354.578465298484</v>
      </c>
      <c r="L123" s="8">
        <v>17519.676138949781</v>
      </c>
      <c r="M123" s="8">
        <v>13346.643383766708</v>
      </c>
      <c r="N123" s="8">
        <v>19045.235972039343</v>
      </c>
      <c r="O123" s="8">
        <v>11303.5006911851</v>
      </c>
      <c r="P123" s="8">
        <v>12327.06195601531</v>
      </c>
      <c r="Q123" s="8">
        <v>2507.2602127737223</v>
      </c>
      <c r="R123" s="8">
        <v>17437.971451781363</v>
      </c>
      <c r="S123" s="8">
        <v>21050.587443721717</v>
      </c>
      <c r="T123" s="8">
        <v>16157.216156419012</v>
      </c>
      <c r="U123" s="8">
        <v>22848.529180676011</v>
      </c>
      <c r="V123" s="8">
        <v>6607.1542638134779</v>
      </c>
      <c r="W123" s="7"/>
      <c r="X123" s="35">
        <f t="shared" si="44"/>
        <v>9.7577975296443284</v>
      </c>
      <c r="Y123" s="35">
        <f t="shared" si="45"/>
        <v>9.7671313638386614</v>
      </c>
      <c r="Z123" s="35">
        <f t="shared" si="46"/>
        <v>8.4951835518572576</v>
      </c>
      <c r="AA123" s="35">
        <f t="shared" si="47"/>
        <v>9.8122042926028605</v>
      </c>
      <c r="AB123" s="35">
        <f t="shared" si="48"/>
        <v>9.8332678198453323</v>
      </c>
      <c r="AC123" s="35">
        <f t="shared" si="49"/>
        <v>9.6616015443161256</v>
      </c>
      <c r="AD123" s="35">
        <f t="shared" si="50"/>
        <v>9.7844281792417664</v>
      </c>
      <c r="AE123" s="35">
        <f t="shared" si="51"/>
        <v>9.7201368764840197</v>
      </c>
      <c r="AF123" s="35">
        <f t="shared" si="52"/>
        <v>9.7134507182643759</v>
      </c>
      <c r="AG123" s="35">
        <f t="shared" si="53"/>
        <v>9.8706842836631612</v>
      </c>
      <c r="AH123" s="35">
        <f t="shared" si="54"/>
        <v>9.7710798790997675</v>
      </c>
      <c r="AI123" s="35">
        <f t="shared" si="55"/>
        <v>9.4990202002865018</v>
      </c>
      <c r="AJ123" s="35">
        <f t="shared" si="56"/>
        <v>9.8545722690716691</v>
      </c>
      <c r="AK123" s="35">
        <f t="shared" si="57"/>
        <v>9.3328677524037555</v>
      </c>
      <c r="AL123" s="35">
        <f t="shared" si="58"/>
        <v>9.4195522835805292</v>
      </c>
      <c r="AM123" s="35">
        <f t="shared" si="59"/>
        <v>7.82694588725695</v>
      </c>
      <c r="AN123" s="35">
        <f t="shared" si="60"/>
        <v>9.7664053748595343</v>
      </c>
      <c r="AO123" s="35">
        <f t="shared" si="61"/>
        <v>9.9546837457862978</v>
      </c>
      <c r="AP123" s="35">
        <f t="shared" si="62"/>
        <v>9.690122049687</v>
      </c>
      <c r="AQ123" s="35">
        <f t="shared" si="63"/>
        <v>10.036642025790044</v>
      </c>
      <c r="AR123" s="35">
        <f t="shared" si="64"/>
        <v>8.7959083202987802</v>
      </c>
      <c r="AS123" s="38"/>
      <c r="AT123" s="38">
        <f t="shared" si="65"/>
        <v>2.3049752709201954E-2</v>
      </c>
      <c r="AU123" s="38">
        <f t="shared" si="66"/>
        <v>1.4642441826227426E-2</v>
      </c>
      <c r="AV123" s="38">
        <f t="shared" si="67"/>
        <v>-5.8918204879567782E-3</v>
      </c>
      <c r="AW123" s="38">
        <f t="shared" si="68"/>
        <v>-3.3250914615795324E-2</v>
      </c>
      <c r="AX123" s="38">
        <f t="shared" si="69"/>
        <v>1.0317460718177074E-2</v>
      </c>
      <c r="AY123" s="38">
        <f t="shared" si="70"/>
        <v>-7.1475549424778961E-2</v>
      </c>
      <c r="AZ123" s="38">
        <f t="shared" si="71"/>
        <v>6.1068068439205092E-3</v>
      </c>
      <c r="BA123" s="38">
        <f t="shared" si="72"/>
        <v>4.4249974641045853E-2</v>
      </c>
      <c r="BB123" s="38">
        <f t="shared" si="73"/>
        <v>1.3725216244139915E-2</v>
      </c>
      <c r="BC123" s="38">
        <f t="shared" si="74"/>
        <v>2.9653616853529741E-2</v>
      </c>
      <c r="BD123" s="38">
        <f t="shared" si="75"/>
        <v>1.4813038547520918E-2</v>
      </c>
      <c r="BE123" s="38">
        <f t="shared" si="76"/>
        <v>-2.5215411277537569E-2</v>
      </c>
      <c r="BF123" s="38">
        <f t="shared" si="77"/>
        <v>3.088429051033259E-2</v>
      </c>
      <c r="BG123" s="38">
        <f t="shared" si="78"/>
        <v>4.3124879406379435E-2</v>
      </c>
      <c r="BH123" s="38">
        <f t="shared" si="79"/>
        <v>2.2333346199658877E-2</v>
      </c>
      <c r="BI123" s="38">
        <f t="shared" si="80"/>
        <v>3.3865477540535593E-2</v>
      </c>
      <c r="BJ123" s="38">
        <f t="shared" si="81"/>
        <v>-1.9483141915586089E-2</v>
      </c>
      <c r="BK123" s="38">
        <f t="shared" si="82"/>
        <v>-2.0529281295075918E-2</v>
      </c>
      <c r="BL123" s="38">
        <f t="shared" si="83"/>
        <v>-1.673683216445454E-2</v>
      </c>
      <c r="BM123" s="38">
        <f t="shared" si="84"/>
        <v>-1.5289666977773564E-2</v>
      </c>
      <c r="BN123" s="38">
        <f t="shared" si="85"/>
        <v>2.180722715854877E-2</v>
      </c>
      <c r="BO123" s="7"/>
      <c r="BX123" s="7"/>
      <c r="CN123" s="7"/>
      <c r="CO123" s="8"/>
      <c r="CP123" s="7"/>
      <c r="DG123" s="7"/>
      <c r="DO123" s="7"/>
      <c r="EE123" s="7"/>
      <c r="EF123" s="7"/>
      <c r="GH123" s="7"/>
      <c r="GJ123" s="9"/>
    </row>
    <row r="124" spans="1:192" x14ac:dyDescent="0.25">
      <c r="A124" s="7">
        <v>1992</v>
      </c>
      <c r="B124" s="8">
        <v>17480.905529514996</v>
      </c>
      <c r="C124" s="8">
        <v>17645.19386867241</v>
      </c>
      <c r="D124" s="8">
        <v>4799.9705188679245</v>
      </c>
      <c r="E124" s="8">
        <v>18139.035226907145</v>
      </c>
      <c r="F124" s="8">
        <v>18949.427489258374</v>
      </c>
      <c r="G124" s="8">
        <v>15022.908081008856</v>
      </c>
      <c r="H124" s="8">
        <v>17994.268663693751</v>
      </c>
      <c r="I124" s="8">
        <v>16890.560511864001</v>
      </c>
      <c r="J124" s="8">
        <v>16636.982096475338</v>
      </c>
      <c r="K124" s="8">
        <v>19482.498448268896</v>
      </c>
      <c r="L124" s="8">
        <v>17747.286509251149</v>
      </c>
      <c r="M124" s="8">
        <v>13343.14598860086</v>
      </c>
      <c r="N124" s="8">
        <v>19560.717485857571</v>
      </c>
      <c r="O124" s="8">
        <v>11416.670668827068</v>
      </c>
      <c r="P124" s="8">
        <v>12413.917676939862</v>
      </c>
      <c r="Q124" s="8">
        <v>2586.1107239479088</v>
      </c>
      <c r="R124" s="8">
        <v>16997.000461467465</v>
      </c>
      <c r="S124" s="8">
        <v>20830.842195160927</v>
      </c>
      <c r="T124" s="8">
        <v>16132.603086575276</v>
      </c>
      <c r="U124" s="8">
        <v>23298.119448949757</v>
      </c>
      <c r="V124" s="8">
        <v>7046.6222645099897</v>
      </c>
      <c r="W124" s="7"/>
      <c r="X124" s="35">
        <f t="shared" si="44"/>
        <v>9.7688644516157552</v>
      </c>
      <c r="Y124" s="35">
        <f t="shared" si="45"/>
        <v>9.7782187232222846</v>
      </c>
      <c r="Z124" s="35">
        <f t="shared" si="46"/>
        <v>8.4763650549746057</v>
      </c>
      <c r="AA124" s="35">
        <f t="shared" si="47"/>
        <v>9.8058215374095123</v>
      </c>
      <c r="AB124" s="35">
        <f t="shared" si="48"/>
        <v>9.8495289984055567</v>
      </c>
      <c r="AC124" s="35">
        <f t="shared" si="49"/>
        <v>9.6173315204927405</v>
      </c>
      <c r="AD124" s="35">
        <f t="shared" si="50"/>
        <v>9.7978085786032789</v>
      </c>
      <c r="AE124" s="35">
        <f t="shared" si="51"/>
        <v>9.734510195270385</v>
      </c>
      <c r="AF124" s="35">
        <f t="shared" si="52"/>
        <v>9.7193833335321784</v>
      </c>
      <c r="AG124" s="35">
        <f t="shared" si="53"/>
        <v>9.877271826070281</v>
      </c>
      <c r="AH124" s="35">
        <f t="shared" si="54"/>
        <v>9.783987910499091</v>
      </c>
      <c r="AI124" s="35">
        <f t="shared" si="55"/>
        <v>9.4987581228952518</v>
      </c>
      <c r="AJ124" s="35">
        <f t="shared" si="56"/>
        <v>9.8812786241971278</v>
      </c>
      <c r="AK124" s="35">
        <f t="shared" si="57"/>
        <v>9.3428299055763961</v>
      </c>
      <c r="AL124" s="35">
        <f t="shared" si="58"/>
        <v>9.4265735154822892</v>
      </c>
      <c r="AM124" s="35">
        <f t="shared" si="59"/>
        <v>7.8579103751003876</v>
      </c>
      <c r="AN124" s="35">
        <f t="shared" si="60"/>
        <v>9.7407921640272868</v>
      </c>
      <c r="AO124" s="35">
        <f t="shared" si="61"/>
        <v>9.9441899652744912</v>
      </c>
      <c r="AP124" s="35">
        <f t="shared" si="62"/>
        <v>9.6885975397833981</v>
      </c>
      <c r="AQ124" s="35">
        <f t="shared" si="63"/>
        <v>10.056127925951033</v>
      </c>
      <c r="AR124" s="35">
        <f t="shared" si="64"/>
        <v>8.8603036695787445</v>
      </c>
      <c r="AS124" s="38"/>
      <c r="AT124" s="38">
        <f t="shared" si="65"/>
        <v>1.106692197142678E-2</v>
      </c>
      <c r="AU124" s="38">
        <f t="shared" si="66"/>
        <v>1.1087359383623152E-2</v>
      </c>
      <c r="AV124" s="38">
        <f t="shared" si="67"/>
        <v>-1.8818496882651914E-2</v>
      </c>
      <c r="AW124" s="38">
        <f t="shared" si="68"/>
        <v>-6.3827551933481885E-3</v>
      </c>
      <c r="AX124" s="38">
        <f t="shared" si="69"/>
        <v>1.6261178560224465E-2</v>
      </c>
      <c r="AY124" s="38">
        <f t="shared" si="70"/>
        <v>-4.4270023823385074E-2</v>
      </c>
      <c r="AZ124" s="38">
        <f t="shared" si="71"/>
        <v>1.3380399361512474E-2</v>
      </c>
      <c r="BA124" s="38">
        <f t="shared" si="72"/>
        <v>1.4373318786365274E-2</v>
      </c>
      <c r="BB124" s="38">
        <f t="shared" si="73"/>
        <v>5.9326152678025323E-3</v>
      </c>
      <c r="BC124" s="38">
        <f t="shared" si="74"/>
        <v>6.5875424071197841E-3</v>
      </c>
      <c r="BD124" s="38">
        <f t="shared" si="75"/>
        <v>1.2908031399323505E-2</v>
      </c>
      <c r="BE124" s="38">
        <f t="shared" si="76"/>
        <v>-2.6207739125005958E-4</v>
      </c>
      <c r="BF124" s="38">
        <f t="shared" si="77"/>
        <v>2.6706355125458714E-2</v>
      </c>
      <c r="BG124" s="38">
        <f t="shared" si="78"/>
        <v>9.9621531726405976E-3</v>
      </c>
      <c r="BH124" s="38">
        <f t="shared" si="79"/>
        <v>7.0212319017599611E-3</v>
      </c>
      <c r="BI124" s="38">
        <f t="shared" si="80"/>
        <v>3.0964487843437638E-2</v>
      </c>
      <c r="BJ124" s="38">
        <f t="shared" si="81"/>
        <v>-2.5613210832247546E-2</v>
      </c>
      <c r="BK124" s="38">
        <f t="shared" si="82"/>
        <v>-1.0493780511806605E-2</v>
      </c>
      <c r="BL124" s="38">
        <f t="shared" si="83"/>
        <v>-1.5245099036018672E-3</v>
      </c>
      <c r="BM124" s="38">
        <f t="shared" si="84"/>
        <v>1.9485900160988834E-2</v>
      </c>
      <c r="BN124" s="38">
        <f t="shared" si="85"/>
        <v>6.4395349279964265E-2</v>
      </c>
      <c r="BO124" s="7"/>
      <c r="BX124" s="7"/>
      <c r="CN124" s="7"/>
      <c r="CO124" s="8"/>
      <c r="CP124" s="7"/>
      <c r="DG124" s="7"/>
      <c r="DO124" s="7"/>
      <c r="EE124" s="7"/>
      <c r="EF124" s="7"/>
      <c r="GH124" s="7"/>
      <c r="GJ124" s="9"/>
    </row>
    <row r="125" spans="1:192" x14ac:dyDescent="0.25">
      <c r="A125" s="7">
        <v>1993</v>
      </c>
      <c r="B125" s="8">
        <v>17377.49235016642</v>
      </c>
      <c r="C125" s="8">
        <v>17406.49932286211</v>
      </c>
      <c r="D125" s="8">
        <v>4937.4936913293632</v>
      </c>
      <c r="E125" s="8">
        <v>18302.790632474665</v>
      </c>
      <c r="F125" s="8">
        <v>18870.436974959637</v>
      </c>
      <c r="G125" s="8">
        <v>14766.532904230105</v>
      </c>
      <c r="H125" s="8">
        <v>17722.815815211154</v>
      </c>
      <c r="I125" s="8">
        <v>16644.680242702154</v>
      </c>
      <c r="J125" s="8">
        <v>16436.19890104666</v>
      </c>
      <c r="K125" s="8">
        <v>19477.665653177362</v>
      </c>
      <c r="L125" s="8">
        <v>17764.547809037718</v>
      </c>
      <c r="M125" s="8">
        <v>14030.911555795787</v>
      </c>
      <c r="N125" s="8">
        <v>19974.48054498799</v>
      </c>
      <c r="O125" s="8">
        <v>11138.352029217796</v>
      </c>
      <c r="P125" s="8">
        <v>12261.639422871111</v>
      </c>
      <c r="Q125" s="8">
        <v>2727.4557314003187</v>
      </c>
      <c r="R125" s="8">
        <v>16596.972129831403</v>
      </c>
      <c r="S125" s="8">
        <v>20598.24597499027</v>
      </c>
      <c r="T125" s="8">
        <v>16463.132857746637</v>
      </c>
      <c r="U125" s="8">
        <v>23616.074711866208</v>
      </c>
      <c r="V125" s="8">
        <v>7214.8031496062995</v>
      </c>
      <c r="W125" s="7"/>
      <c r="X125" s="35">
        <f t="shared" si="44"/>
        <v>9.7629311047596925</v>
      </c>
      <c r="Y125" s="35">
        <f t="shared" si="45"/>
        <v>9.7645989397622053</v>
      </c>
      <c r="Z125" s="35">
        <f t="shared" si="46"/>
        <v>8.504613131503115</v>
      </c>
      <c r="AA125" s="35">
        <f t="shared" si="47"/>
        <v>9.8148088207813995</v>
      </c>
      <c r="AB125" s="35">
        <f t="shared" si="48"/>
        <v>9.8453517952200507</v>
      </c>
      <c r="AC125" s="35">
        <f t="shared" si="49"/>
        <v>9.6001186089198072</v>
      </c>
      <c r="AD125" s="35">
        <f t="shared" si="50"/>
        <v>9.7826081175851343</v>
      </c>
      <c r="AE125" s="35">
        <f t="shared" si="51"/>
        <v>9.7198459394131973</v>
      </c>
      <c r="AF125" s="35">
        <f t="shared" si="52"/>
        <v>9.7072414314783035</v>
      </c>
      <c r="AG125" s="35">
        <f t="shared" si="53"/>
        <v>9.8770237370168701</v>
      </c>
      <c r="AH125" s="35">
        <f t="shared" si="54"/>
        <v>9.7849600540944515</v>
      </c>
      <c r="AI125" s="35">
        <f t="shared" si="55"/>
        <v>9.5490181428886878</v>
      </c>
      <c r="AJ125" s="35">
        <f t="shared" si="56"/>
        <v>9.9022107650391611</v>
      </c>
      <c r="AK125" s="35">
        <f t="shared" si="57"/>
        <v>9.3181495697928867</v>
      </c>
      <c r="AL125" s="35">
        <f t="shared" si="58"/>
        <v>9.4142309218285405</v>
      </c>
      <c r="AM125" s="35">
        <f t="shared" si="59"/>
        <v>7.9111244871081663</v>
      </c>
      <c r="AN125" s="35">
        <f t="shared" si="60"/>
        <v>9.7169755558900146</v>
      </c>
      <c r="AO125" s="35">
        <f t="shared" si="61"/>
        <v>9.9329612043073414</v>
      </c>
      <c r="AP125" s="35">
        <f t="shared" si="62"/>
        <v>9.7088787876966496</v>
      </c>
      <c r="AQ125" s="35">
        <f t="shared" si="63"/>
        <v>10.069682891007416</v>
      </c>
      <c r="AR125" s="35">
        <f t="shared" si="64"/>
        <v>8.8838901873439191</v>
      </c>
      <c r="AS125" s="38"/>
      <c r="AT125" s="38">
        <f t="shared" si="65"/>
        <v>-5.9333468560627267E-3</v>
      </c>
      <c r="AU125" s="38">
        <f t="shared" si="66"/>
        <v>-1.3619783460079304E-2</v>
      </c>
      <c r="AV125" s="38">
        <f t="shared" si="67"/>
        <v>2.8248076528509358E-2</v>
      </c>
      <c r="AW125" s="38">
        <f t="shared" si="68"/>
        <v>8.9872833718871448E-3</v>
      </c>
      <c r="AX125" s="38">
        <f t="shared" si="69"/>
        <v>-4.1772031855060732E-3</v>
      </c>
      <c r="AY125" s="38">
        <f t="shared" si="70"/>
        <v>-1.7212911572933365E-2</v>
      </c>
      <c r="AZ125" s="38">
        <f t="shared" si="71"/>
        <v>-1.5200461018144651E-2</v>
      </c>
      <c r="BA125" s="38">
        <f t="shared" si="72"/>
        <v>-1.4664255857187669E-2</v>
      </c>
      <c r="BB125" s="38">
        <f t="shared" si="73"/>
        <v>-1.2141902053874887E-2</v>
      </c>
      <c r="BC125" s="38">
        <f t="shared" si="74"/>
        <v>-2.4808905341089371E-4</v>
      </c>
      <c r="BD125" s="38">
        <f t="shared" si="75"/>
        <v>9.7214359536046402E-4</v>
      </c>
      <c r="BE125" s="38">
        <f t="shared" si="76"/>
        <v>5.0260019993435989E-2</v>
      </c>
      <c r="BF125" s="38">
        <f t="shared" si="77"/>
        <v>2.093214084203332E-2</v>
      </c>
      <c r="BG125" s="38">
        <f t="shared" si="78"/>
        <v>-2.4680335783509477E-2</v>
      </c>
      <c r="BH125" s="38">
        <f t="shared" si="79"/>
        <v>-1.2342593653748679E-2</v>
      </c>
      <c r="BI125" s="38">
        <f t="shared" si="80"/>
        <v>5.3214112007778702E-2</v>
      </c>
      <c r="BJ125" s="38">
        <f t="shared" si="81"/>
        <v>-2.3816608137272155E-2</v>
      </c>
      <c r="BK125" s="38">
        <f t="shared" si="82"/>
        <v>-1.1228760967149753E-2</v>
      </c>
      <c r="BL125" s="38">
        <f t="shared" si="83"/>
        <v>2.0281247913251477E-2</v>
      </c>
      <c r="BM125" s="38">
        <f t="shared" si="84"/>
        <v>1.3554965056382429E-2</v>
      </c>
      <c r="BN125" s="38">
        <f t="shared" si="85"/>
        <v>2.3586517765174619E-2</v>
      </c>
      <c r="BO125" s="7"/>
      <c r="BX125" s="7"/>
      <c r="CN125" s="7"/>
      <c r="CO125" s="8"/>
      <c r="CP125" s="7"/>
      <c r="DG125" s="7"/>
      <c r="DO125" s="7"/>
      <c r="EE125" s="7"/>
      <c r="EF125" s="7"/>
      <c r="GH125" s="7"/>
      <c r="GJ125" s="9"/>
    </row>
    <row r="126" spans="1:192" x14ac:dyDescent="0.25">
      <c r="A126" s="7">
        <v>1994</v>
      </c>
      <c r="B126" s="8">
        <v>17753.351966381346</v>
      </c>
      <c r="C126" s="8">
        <v>17901.660779581147</v>
      </c>
      <c r="D126" s="8">
        <v>5162.0387909351193</v>
      </c>
      <c r="E126" s="8">
        <v>18935.979054378622</v>
      </c>
      <c r="F126" s="8">
        <v>19847.246385420305</v>
      </c>
      <c r="G126" s="8">
        <v>15283.664122807653</v>
      </c>
      <c r="H126" s="8">
        <v>18007.78334291463</v>
      </c>
      <c r="I126" s="8">
        <v>17027.786172939646</v>
      </c>
      <c r="J126" s="8">
        <v>16754.154089030992</v>
      </c>
      <c r="K126" s="8">
        <v>19637.148299110933</v>
      </c>
      <c r="L126" s="8">
        <v>18054.602518936026</v>
      </c>
      <c r="M126" s="8">
        <v>14571.558703507821</v>
      </c>
      <c r="N126" s="8">
        <v>20904.763867746504</v>
      </c>
      <c r="O126" s="8">
        <v>11178.691106002756</v>
      </c>
      <c r="P126" s="8">
        <v>12533.812202205516</v>
      </c>
      <c r="Q126" s="8">
        <v>2840.7516290393055</v>
      </c>
      <c r="R126" s="8">
        <v>17066.051702539575</v>
      </c>
      <c r="S126" s="8">
        <v>20653.124478815193</v>
      </c>
      <c r="T126" s="8">
        <v>17136.987200058611</v>
      </c>
      <c r="U126" s="8">
        <v>24278.634744145471</v>
      </c>
      <c r="V126" s="8">
        <v>7563.6932707355245</v>
      </c>
      <c r="W126" s="7"/>
      <c r="X126" s="35">
        <f t="shared" si="44"/>
        <v>9.7843296202513468</v>
      </c>
      <c r="Y126" s="35">
        <f t="shared" si="45"/>
        <v>9.7926487685071439</v>
      </c>
      <c r="Z126" s="35">
        <f t="shared" si="46"/>
        <v>8.5490868949607304</v>
      </c>
      <c r="AA126" s="35">
        <f t="shared" si="47"/>
        <v>9.8488190450661808</v>
      </c>
      <c r="AB126" s="35">
        <f t="shared" si="48"/>
        <v>9.8958205553551526</v>
      </c>
      <c r="AC126" s="35">
        <f t="shared" si="49"/>
        <v>9.6345398325864853</v>
      </c>
      <c r="AD126" s="35">
        <f t="shared" si="50"/>
        <v>9.7985593513566318</v>
      </c>
      <c r="AE126" s="35">
        <f t="shared" si="51"/>
        <v>9.7426017694895677</v>
      </c>
      <c r="AF126" s="35">
        <f t="shared" si="52"/>
        <v>9.7264015118202618</v>
      </c>
      <c r="AG126" s="35">
        <f t="shared" si="53"/>
        <v>9.8851783727465108</v>
      </c>
      <c r="AH126" s="35">
        <f t="shared" si="54"/>
        <v>9.8011559184559882</v>
      </c>
      <c r="AI126" s="35">
        <f t="shared" si="55"/>
        <v>9.5868268738041067</v>
      </c>
      <c r="AJ126" s="35">
        <f t="shared" si="56"/>
        <v>9.9477323482351938</v>
      </c>
      <c r="AK126" s="35">
        <f t="shared" si="57"/>
        <v>9.3217646652580761</v>
      </c>
      <c r="AL126" s="35">
        <f t="shared" si="58"/>
        <v>9.4361852476027632</v>
      </c>
      <c r="AM126" s="35">
        <f t="shared" si="59"/>
        <v>7.9518239542519034</v>
      </c>
      <c r="AN126" s="35">
        <f t="shared" si="60"/>
        <v>9.7448464886559609</v>
      </c>
      <c r="AO126" s="35">
        <f t="shared" si="61"/>
        <v>9.9356218934236633</v>
      </c>
      <c r="AP126" s="35">
        <f t="shared" si="62"/>
        <v>9.7489944007421254</v>
      </c>
      <c r="AQ126" s="35">
        <f t="shared" si="63"/>
        <v>10.097352013944445</v>
      </c>
      <c r="AR126" s="35">
        <f t="shared" si="64"/>
        <v>8.9311148777577554</v>
      </c>
      <c r="AS126" s="38"/>
      <c r="AT126" s="38">
        <f t="shared" si="65"/>
        <v>2.139851549165428E-2</v>
      </c>
      <c r="AU126" s="38">
        <f t="shared" si="66"/>
        <v>2.8049828744938665E-2</v>
      </c>
      <c r="AV126" s="38">
        <f t="shared" si="67"/>
        <v>4.4473763457615334E-2</v>
      </c>
      <c r="AW126" s="38">
        <f t="shared" si="68"/>
        <v>3.4010224284781287E-2</v>
      </c>
      <c r="AX126" s="38">
        <f t="shared" si="69"/>
        <v>5.0468760135101931E-2</v>
      </c>
      <c r="AY126" s="38">
        <f t="shared" si="70"/>
        <v>3.4421223666678102E-2</v>
      </c>
      <c r="AZ126" s="38">
        <f t="shared" si="71"/>
        <v>1.5951233771497542E-2</v>
      </c>
      <c r="BA126" s="38">
        <f t="shared" si="72"/>
        <v>2.2755830076370387E-2</v>
      </c>
      <c r="BB126" s="38">
        <f t="shared" si="73"/>
        <v>1.9160080341958263E-2</v>
      </c>
      <c r="BC126" s="38">
        <f t="shared" si="74"/>
        <v>8.1546357296407024E-3</v>
      </c>
      <c r="BD126" s="38">
        <f t="shared" si="75"/>
        <v>1.6195864361536749E-2</v>
      </c>
      <c r="BE126" s="38">
        <f t="shared" si="76"/>
        <v>3.780873091541892E-2</v>
      </c>
      <c r="BF126" s="38">
        <f t="shared" si="77"/>
        <v>4.5521583196032722E-2</v>
      </c>
      <c r="BG126" s="38">
        <f t="shared" si="78"/>
        <v>3.6150954651894551E-3</v>
      </c>
      <c r="BH126" s="38">
        <f t="shared" si="79"/>
        <v>2.1954325774222738E-2</v>
      </c>
      <c r="BI126" s="38">
        <f t="shared" si="80"/>
        <v>4.0699467143737067E-2</v>
      </c>
      <c r="BJ126" s="38">
        <f t="shared" si="81"/>
        <v>2.7870932765946321E-2</v>
      </c>
      <c r="BK126" s="38">
        <f t="shared" si="82"/>
        <v>2.6606891163218904E-3</v>
      </c>
      <c r="BL126" s="38">
        <f t="shared" si="83"/>
        <v>4.011561304547584E-2</v>
      </c>
      <c r="BM126" s="38">
        <f t="shared" si="84"/>
        <v>2.7669122937028945E-2</v>
      </c>
      <c r="BN126" s="38">
        <f t="shared" si="85"/>
        <v>4.7224690413836257E-2</v>
      </c>
      <c r="BO126" s="7"/>
      <c r="BX126" s="7"/>
      <c r="CN126" s="7"/>
      <c r="CO126" s="8"/>
      <c r="CP126" s="7"/>
      <c r="DG126" s="7"/>
      <c r="DO126" s="7"/>
      <c r="EE126" s="7"/>
      <c r="EF126" s="7"/>
      <c r="GH126" s="7"/>
      <c r="GJ126" s="9"/>
    </row>
    <row r="127" spans="1:192" x14ac:dyDescent="0.25">
      <c r="A127" s="7">
        <v>1995</v>
      </c>
      <c r="B127" s="8">
        <v>18047.700195488193</v>
      </c>
      <c r="C127" s="8">
        <v>18269.834713382123</v>
      </c>
      <c r="D127" s="8">
        <v>5295.736927065499</v>
      </c>
      <c r="E127" s="8">
        <v>19226.978741073053</v>
      </c>
      <c r="F127" s="8">
        <v>20350.023828644404</v>
      </c>
      <c r="G127" s="8">
        <v>15752.678133567295</v>
      </c>
      <c r="H127" s="8">
        <v>18349.274261343075</v>
      </c>
      <c r="I127" s="8">
        <v>17298.819108314681</v>
      </c>
      <c r="J127" s="8">
        <v>17215.400921868444</v>
      </c>
      <c r="K127" s="8">
        <v>19979.411246403939</v>
      </c>
      <c r="L127" s="8">
        <v>18509.724982330197</v>
      </c>
      <c r="M127" s="8">
        <v>14940.552053798687</v>
      </c>
      <c r="N127" s="8">
        <v>21703.234496288816</v>
      </c>
      <c r="O127" s="8">
        <v>11613.604280103307</v>
      </c>
      <c r="P127" s="8">
        <v>12860.397895744887</v>
      </c>
      <c r="Q127" s="8">
        <v>2959.8810755338382</v>
      </c>
      <c r="R127" s="8">
        <v>17592.047128129605</v>
      </c>
      <c r="S127" s="8">
        <v>20608.125002628683</v>
      </c>
      <c r="T127" s="8">
        <v>17561.419187255928</v>
      </c>
      <c r="U127" s="8">
        <v>24603.174663290505</v>
      </c>
      <c r="V127" s="8">
        <v>7357.2538055296682</v>
      </c>
      <c r="W127" s="7"/>
      <c r="X127" s="35">
        <f t="shared" si="44"/>
        <v>9.8007735426509583</v>
      </c>
      <c r="Y127" s="35">
        <f t="shared" si="45"/>
        <v>9.8130066024445455</v>
      </c>
      <c r="Z127" s="35">
        <f t="shared" si="46"/>
        <v>8.5746574224905885</v>
      </c>
      <c r="AA127" s="35">
        <f t="shared" si="47"/>
        <v>9.8640697144908103</v>
      </c>
      <c r="AB127" s="35">
        <f t="shared" si="48"/>
        <v>9.920837361810813</v>
      </c>
      <c r="AC127" s="35">
        <f t="shared" si="49"/>
        <v>9.6647656700250728</v>
      </c>
      <c r="AD127" s="35">
        <f t="shared" si="50"/>
        <v>9.8173453029100344</v>
      </c>
      <c r="AE127" s="35">
        <f t="shared" si="51"/>
        <v>9.7583935185210855</v>
      </c>
      <c r="AF127" s="35">
        <f t="shared" si="52"/>
        <v>9.7535596646021308</v>
      </c>
      <c r="AG127" s="35">
        <f t="shared" si="53"/>
        <v>9.9024575846214304</v>
      </c>
      <c r="AH127" s="35">
        <f t="shared" si="54"/>
        <v>9.8260515476684134</v>
      </c>
      <c r="AI127" s="35">
        <f t="shared" si="55"/>
        <v>9.6118344093962698</v>
      </c>
      <c r="AJ127" s="35">
        <f t="shared" si="56"/>
        <v>9.9852165835494553</v>
      </c>
      <c r="AK127" s="35">
        <f t="shared" si="57"/>
        <v>9.3599324726894899</v>
      </c>
      <c r="AL127" s="35">
        <f t="shared" si="58"/>
        <v>9.4619079378841029</v>
      </c>
      <c r="AM127" s="35">
        <f t="shared" si="59"/>
        <v>7.9929043693264674</v>
      </c>
      <c r="AN127" s="35">
        <f t="shared" si="60"/>
        <v>9.7752022111833519</v>
      </c>
      <c r="AO127" s="35">
        <f t="shared" si="61"/>
        <v>9.9334406946188309</v>
      </c>
      <c r="AP127" s="35">
        <f t="shared" si="62"/>
        <v>9.7734596832432157</v>
      </c>
      <c r="AQ127" s="35">
        <f t="shared" si="63"/>
        <v>10.110630764947317</v>
      </c>
      <c r="AR127" s="35">
        <f t="shared" si="64"/>
        <v>8.9034420178460625</v>
      </c>
      <c r="AS127" s="38"/>
      <c r="AT127" s="38">
        <f t="shared" si="65"/>
        <v>1.6443922399611566E-2</v>
      </c>
      <c r="AU127" s="38">
        <f t="shared" si="66"/>
        <v>2.0357833937401537E-2</v>
      </c>
      <c r="AV127" s="38">
        <f t="shared" si="67"/>
        <v>2.5570527529858111E-2</v>
      </c>
      <c r="AW127" s="38">
        <f t="shared" si="68"/>
        <v>1.5250669424629493E-2</v>
      </c>
      <c r="AX127" s="38">
        <f t="shared" si="69"/>
        <v>2.5016806455660401E-2</v>
      </c>
      <c r="AY127" s="38">
        <f t="shared" si="70"/>
        <v>3.0225837438587533E-2</v>
      </c>
      <c r="AZ127" s="38">
        <f t="shared" si="71"/>
        <v>1.8785951553402569E-2</v>
      </c>
      <c r="BA127" s="38">
        <f t="shared" si="72"/>
        <v>1.579174903151781E-2</v>
      </c>
      <c r="BB127" s="38">
        <f t="shared" si="73"/>
        <v>2.7158152781868949E-2</v>
      </c>
      <c r="BC127" s="38">
        <f t="shared" si="74"/>
        <v>1.7279211874919653E-2</v>
      </c>
      <c r="BD127" s="38">
        <f t="shared" si="75"/>
        <v>2.4895629212425163E-2</v>
      </c>
      <c r="BE127" s="38">
        <f t="shared" si="76"/>
        <v>2.5007535592163066E-2</v>
      </c>
      <c r="BF127" s="38">
        <f t="shared" si="77"/>
        <v>3.7484235314261483E-2</v>
      </c>
      <c r="BG127" s="38">
        <f t="shared" si="78"/>
        <v>3.8167807431413792E-2</v>
      </c>
      <c r="BH127" s="38">
        <f t="shared" si="79"/>
        <v>2.5722690281339666E-2</v>
      </c>
      <c r="BI127" s="38">
        <f t="shared" si="80"/>
        <v>4.1080415074564058E-2</v>
      </c>
      <c r="BJ127" s="38">
        <f t="shared" si="81"/>
        <v>3.0355722527390938E-2</v>
      </c>
      <c r="BK127" s="38">
        <f t="shared" si="82"/>
        <v>-2.1811988048323627E-3</v>
      </c>
      <c r="BL127" s="38">
        <f t="shared" si="83"/>
        <v>2.4465282501090257E-2</v>
      </c>
      <c r="BM127" s="38">
        <f t="shared" si="84"/>
        <v>1.3278751002872013E-2</v>
      </c>
      <c r="BN127" s="38">
        <f t="shared" si="85"/>
        <v>-2.7672859911692882E-2</v>
      </c>
      <c r="BO127" s="7"/>
      <c r="BX127" s="7"/>
      <c r="CN127" s="7"/>
      <c r="CO127" s="8"/>
      <c r="CP127" s="7"/>
      <c r="DG127" s="7"/>
      <c r="DO127" s="7"/>
      <c r="EE127" s="7"/>
      <c r="EF127" s="7"/>
      <c r="GH127" s="7"/>
      <c r="GJ127" s="9"/>
    </row>
    <row r="128" spans="1:192" x14ac:dyDescent="0.25">
      <c r="A128" s="7">
        <v>1996</v>
      </c>
      <c r="B128" s="8">
        <v>18489.559845999043</v>
      </c>
      <c r="C128" s="8">
        <v>18438.55629657775</v>
      </c>
      <c r="D128" s="8">
        <v>5365.9068193586454</v>
      </c>
      <c r="E128" s="8">
        <v>19318.582152748651</v>
      </c>
      <c r="F128" s="8">
        <v>20809.68712767362</v>
      </c>
      <c r="G128" s="8">
        <v>16300.089751979567</v>
      </c>
      <c r="H128" s="8">
        <v>18466.911463408334</v>
      </c>
      <c r="I128" s="8">
        <v>17420.220809056824</v>
      </c>
      <c r="J128" s="8">
        <v>17375.518410457076</v>
      </c>
      <c r="K128" s="8">
        <v>20615.693127615799</v>
      </c>
      <c r="L128" s="8">
        <v>18987.851378941185</v>
      </c>
      <c r="M128" s="8">
        <v>15237.383514094176</v>
      </c>
      <c r="N128" s="8">
        <v>22727.936270201681</v>
      </c>
      <c r="O128" s="8">
        <v>11994.419110733599</v>
      </c>
      <c r="P128" s="8">
        <v>13152.49525516</v>
      </c>
      <c r="Q128" s="8">
        <v>3038.8415597400322</v>
      </c>
      <c r="R128" s="8">
        <v>17824.001809750029</v>
      </c>
      <c r="S128" s="8">
        <v>20646.656923240713</v>
      </c>
      <c r="T128" s="8">
        <v>17996.80011055278</v>
      </c>
      <c r="U128" s="8">
        <v>25230.224231062657</v>
      </c>
      <c r="V128" s="8">
        <v>7670.2652683528686</v>
      </c>
      <c r="W128" s="7"/>
      <c r="X128" s="35">
        <f t="shared" si="44"/>
        <v>9.8249615191221125</v>
      </c>
      <c r="Y128" s="35">
        <f t="shared" si="45"/>
        <v>9.822199202102972</v>
      </c>
      <c r="Z128" s="35">
        <f t="shared" si="46"/>
        <v>8.587820665825225</v>
      </c>
      <c r="AA128" s="35">
        <f t="shared" si="47"/>
        <v>9.8688227175346217</v>
      </c>
      <c r="AB128" s="35">
        <f t="shared" si="48"/>
        <v>9.943173884564116</v>
      </c>
      <c r="AC128" s="35">
        <f t="shared" si="49"/>
        <v>9.69892589303611</v>
      </c>
      <c r="AD128" s="35">
        <f t="shared" si="50"/>
        <v>9.8237358401206496</v>
      </c>
      <c r="AE128" s="35">
        <f t="shared" si="51"/>
        <v>9.7653869259321766</v>
      </c>
      <c r="AF128" s="35">
        <f t="shared" si="52"/>
        <v>9.7628175065609604</v>
      </c>
      <c r="AG128" s="35">
        <f t="shared" si="53"/>
        <v>9.9338078670650223</v>
      </c>
      <c r="AH128" s="35">
        <f t="shared" si="54"/>
        <v>9.8515546525361515</v>
      </c>
      <c r="AI128" s="35">
        <f t="shared" si="55"/>
        <v>9.6315071290741159</v>
      </c>
      <c r="AJ128" s="35">
        <f t="shared" si="56"/>
        <v>10.031350119508696</v>
      </c>
      <c r="AK128" s="35">
        <f t="shared" si="57"/>
        <v>9.3921967464840996</v>
      </c>
      <c r="AL128" s="35">
        <f t="shared" si="58"/>
        <v>9.4843667728491479</v>
      </c>
      <c r="AM128" s="35">
        <f t="shared" si="59"/>
        <v>8.019231655901228</v>
      </c>
      <c r="AN128" s="35">
        <f t="shared" si="60"/>
        <v>9.7883012442614543</v>
      </c>
      <c r="AO128" s="35">
        <f t="shared" si="61"/>
        <v>9.9353086929461885</v>
      </c>
      <c r="AP128" s="35">
        <f t="shared" si="62"/>
        <v>9.7979492494390943</v>
      </c>
      <c r="AQ128" s="35">
        <f t="shared" si="63"/>
        <v>10.135797929073322</v>
      </c>
      <c r="AR128" s="35">
        <f t="shared" si="64"/>
        <v>8.9451064789461512</v>
      </c>
      <c r="AS128" s="38"/>
      <c r="AT128" s="38">
        <f t="shared" si="65"/>
        <v>2.4187976471154116E-2</v>
      </c>
      <c r="AU128" s="38">
        <f t="shared" si="66"/>
        <v>9.192599658426559E-3</v>
      </c>
      <c r="AV128" s="38">
        <f t="shared" si="67"/>
        <v>1.3163243334636476E-2</v>
      </c>
      <c r="AW128" s="38">
        <f t="shared" si="68"/>
        <v>4.7530030438114323E-3</v>
      </c>
      <c r="AX128" s="38">
        <f t="shared" si="69"/>
        <v>2.2336522753303001E-2</v>
      </c>
      <c r="AY128" s="38">
        <f t="shared" si="70"/>
        <v>3.4160223011037161E-2</v>
      </c>
      <c r="AZ128" s="38">
        <f t="shared" si="71"/>
        <v>6.3905372106152214E-3</v>
      </c>
      <c r="BA128" s="38">
        <f t="shared" si="72"/>
        <v>6.9934074110911126E-3</v>
      </c>
      <c r="BB128" s="38">
        <f t="shared" si="73"/>
        <v>9.2578419588296157E-3</v>
      </c>
      <c r="BC128" s="38">
        <f t="shared" si="74"/>
        <v>3.1350282443591837E-2</v>
      </c>
      <c r="BD128" s="38">
        <f t="shared" si="75"/>
        <v>2.5503104867738102E-2</v>
      </c>
      <c r="BE128" s="38">
        <f t="shared" si="76"/>
        <v>1.9672719677846118E-2</v>
      </c>
      <c r="BF128" s="38">
        <f t="shared" si="77"/>
        <v>4.6133535959240746E-2</v>
      </c>
      <c r="BG128" s="38">
        <f t="shared" si="78"/>
        <v>3.2264273794609721E-2</v>
      </c>
      <c r="BH128" s="38">
        <f t="shared" si="79"/>
        <v>2.2458834965044971E-2</v>
      </c>
      <c r="BI128" s="38">
        <f t="shared" si="80"/>
        <v>2.6327286574760578E-2</v>
      </c>
      <c r="BJ128" s="38">
        <f t="shared" si="81"/>
        <v>1.3099033078102451E-2</v>
      </c>
      <c r="BK128" s="38">
        <f t="shared" si="82"/>
        <v>1.8679983273575118E-3</v>
      </c>
      <c r="BL128" s="38">
        <f t="shared" si="83"/>
        <v>2.4489566195878609E-2</v>
      </c>
      <c r="BM128" s="38">
        <f t="shared" si="84"/>
        <v>2.5167164126004948E-2</v>
      </c>
      <c r="BN128" s="38">
        <f t="shared" si="85"/>
        <v>4.1664461100088701E-2</v>
      </c>
      <c r="BO128" s="7"/>
      <c r="BX128" s="7"/>
      <c r="CN128" s="7"/>
      <c r="CO128" s="8"/>
      <c r="CP128" s="7"/>
      <c r="DG128" s="7"/>
      <c r="DO128" s="7"/>
      <c r="EE128" s="7"/>
      <c r="EF128" s="7"/>
      <c r="GH128" s="7"/>
      <c r="GJ128" s="9"/>
    </row>
    <row r="129" spans="1:192" x14ac:dyDescent="0.25">
      <c r="A129" s="7">
        <v>1997</v>
      </c>
      <c r="B129" s="8">
        <v>18808.619515935719</v>
      </c>
      <c r="C129" s="8">
        <v>19015.124380236186</v>
      </c>
      <c r="D129" s="8">
        <v>5485.4926796292675</v>
      </c>
      <c r="E129" s="8">
        <v>19952.647049497067</v>
      </c>
      <c r="F129" s="8">
        <v>21387.543114619457</v>
      </c>
      <c r="G129" s="8">
        <v>17261.581599203648</v>
      </c>
      <c r="H129" s="8">
        <v>18824.680075038963</v>
      </c>
      <c r="I129" s="8">
        <v>17708.525215602687</v>
      </c>
      <c r="J129" s="8">
        <v>17692.918340068776</v>
      </c>
      <c r="K129" s="8">
        <v>20929.031406352686</v>
      </c>
      <c r="L129" s="8">
        <v>19619.857555380197</v>
      </c>
      <c r="M129" s="8">
        <v>15289.175455109491</v>
      </c>
      <c r="N129" s="8">
        <v>23774.844560535326</v>
      </c>
      <c r="O129" s="8">
        <v>12426.638748927875</v>
      </c>
      <c r="P129" s="8">
        <v>13643.24990259365</v>
      </c>
      <c r="Q129" s="8">
        <v>3201.0192676030106</v>
      </c>
      <c r="R129" s="8">
        <v>18361.971512548047</v>
      </c>
      <c r="S129" s="8">
        <v>21003.253880545537</v>
      </c>
      <c r="T129" s="8">
        <v>18526.683578830798</v>
      </c>
      <c r="U129" s="8">
        <v>26051.550692973986</v>
      </c>
      <c r="V129" s="8">
        <v>7992.653810835629</v>
      </c>
      <c r="W129" s="7"/>
      <c r="X129" s="35">
        <f t="shared" si="44"/>
        <v>9.8420705286361567</v>
      </c>
      <c r="Y129" s="35">
        <f t="shared" si="45"/>
        <v>9.8529899615051093</v>
      </c>
      <c r="Z129" s="35">
        <f t="shared" si="46"/>
        <v>8.6098621917619447</v>
      </c>
      <c r="AA129" s="35">
        <f t="shared" si="47"/>
        <v>9.9011170977015581</v>
      </c>
      <c r="AB129" s="35">
        <f t="shared" si="48"/>
        <v>9.9705639340777612</v>
      </c>
      <c r="AC129" s="35">
        <f t="shared" si="49"/>
        <v>9.7562385942286181</v>
      </c>
      <c r="AD129" s="35">
        <f t="shared" si="50"/>
        <v>9.8429240578378376</v>
      </c>
      <c r="AE129" s="35">
        <f t="shared" si="51"/>
        <v>9.7818014532045243</v>
      </c>
      <c r="AF129" s="35">
        <f t="shared" si="52"/>
        <v>9.7809197447216238</v>
      </c>
      <c r="AG129" s="35">
        <f t="shared" si="53"/>
        <v>9.9488925366029601</v>
      </c>
      <c r="AH129" s="35">
        <f t="shared" si="54"/>
        <v>9.8842974729186963</v>
      </c>
      <c r="AI129" s="35">
        <f t="shared" si="55"/>
        <v>9.634900370399631</v>
      </c>
      <c r="AJ129" s="35">
        <f t="shared" si="56"/>
        <v>10.076383349454693</v>
      </c>
      <c r="AK129" s="35">
        <f t="shared" si="57"/>
        <v>9.4275977335297423</v>
      </c>
      <c r="AL129" s="35">
        <f t="shared" si="58"/>
        <v>9.5210001656709089</v>
      </c>
      <c r="AM129" s="35">
        <f t="shared" si="59"/>
        <v>8.0712245591966738</v>
      </c>
      <c r="AN129" s="35">
        <f t="shared" si="60"/>
        <v>9.8180370392673062</v>
      </c>
      <c r="AO129" s="35">
        <f t="shared" si="61"/>
        <v>9.9524326513952062</v>
      </c>
      <c r="AP129" s="35">
        <f t="shared" si="62"/>
        <v>9.8269673274831746</v>
      </c>
      <c r="AQ129" s="35">
        <f t="shared" si="63"/>
        <v>10.1678325729712</v>
      </c>
      <c r="AR129" s="35">
        <f t="shared" si="64"/>
        <v>8.9862781251449011</v>
      </c>
      <c r="AS129" s="38"/>
      <c r="AT129" s="38">
        <f t="shared" si="65"/>
        <v>1.710900951404426E-2</v>
      </c>
      <c r="AU129" s="38">
        <f t="shared" si="66"/>
        <v>3.0790759402137269E-2</v>
      </c>
      <c r="AV129" s="38">
        <f t="shared" si="67"/>
        <v>2.2041525936719708E-2</v>
      </c>
      <c r="AW129" s="38">
        <f t="shared" si="68"/>
        <v>3.2294380166936421E-2</v>
      </c>
      <c r="AX129" s="38">
        <f t="shared" si="69"/>
        <v>2.7390049513645209E-2</v>
      </c>
      <c r="AY129" s="38">
        <f t="shared" si="70"/>
        <v>5.7312701192508086E-2</v>
      </c>
      <c r="AZ129" s="38">
        <f t="shared" si="71"/>
        <v>1.9188217717188039E-2</v>
      </c>
      <c r="BA129" s="38">
        <f t="shared" si="72"/>
        <v>1.6414527272347712E-2</v>
      </c>
      <c r="BB129" s="38">
        <f t="shared" si="73"/>
        <v>1.8102238160663475E-2</v>
      </c>
      <c r="BC129" s="38">
        <f t="shared" si="74"/>
        <v>1.5084669537937856E-2</v>
      </c>
      <c r="BD129" s="38">
        <f t="shared" si="75"/>
        <v>3.2742820382544835E-2</v>
      </c>
      <c r="BE129" s="38">
        <f t="shared" si="76"/>
        <v>3.3932413255151062E-3</v>
      </c>
      <c r="BF129" s="38">
        <f t="shared" si="77"/>
        <v>4.5033229945996567E-2</v>
      </c>
      <c r="BG129" s="38">
        <f t="shared" si="78"/>
        <v>3.5400987045642651E-2</v>
      </c>
      <c r="BH129" s="38">
        <f t="shared" si="79"/>
        <v>3.6633392821761035E-2</v>
      </c>
      <c r="BI129" s="38">
        <f t="shared" si="80"/>
        <v>5.1992903295445814E-2</v>
      </c>
      <c r="BJ129" s="38">
        <f t="shared" si="81"/>
        <v>2.9735795005851884E-2</v>
      </c>
      <c r="BK129" s="38">
        <f t="shared" si="82"/>
        <v>1.7123958449017707E-2</v>
      </c>
      <c r="BL129" s="38">
        <f t="shared" si="83"/>
        <v>2.9018078044080298E-2</v>
      </c>
      <c r="BM129" s="38">
        <f t="shared" si="84"/>
        <v>3.2034643897878468E-2</v>
      </c>
      <c r="BN129" s="38">
        <f t="shared" si="85"/>
        <v>4.1171646198749912E-2</v>
      </c>
      <c r="BO129" s="7"/>
      <c r="BX129" s="7"/>
      <c r="CN129" s="7"/>
      <c r="CO129" s="8"/>
      <c r="CP129" s="7"/>
      <c r="DG129" s="7"/>
      <c r="DO129" s="7"/>
      <c r="EE129" s="7"/>
      <c r="EF129" s="7"/>
      <c r="GH129" s="7"/>
      <c r="GJ129" s="9"/>
    </row>
    <row r="130" spans="1:192" x14ac:dyDescent="0.25">
      <c r="A130" s="7">
        <v>1998</v>
      </c>
      <c r="B130" s="8">
        <v>19462.848985879027</v>
      </c>
      <c r="C130" s="8">
        <v>19338.985987121501</v>
      </c>
      <c r="D130" s="8">
        <v>5414.2090291528675</v>
      </c>
      <c r="E130" s="8">
        <v>20612.562189054726</v>
      </c>
      <c r="F130" s="8">
        <v>21771.086679840919</v>
      </c>
      <c r="G130" s="8">
        <v>18193.182297279782</v>
      </c>
      <c r="H130" s="8">
        <v>19213.165937061207</v>
      </c>
      <c r="I130" s="8">
        <v>18028.880735795392</v>
      </c>
      <c r="J130" s="8">
        <v>17834.21943906548</v>
      </c>
      <c r="K130" s="8">
        <v>20266.725713245025</v>
      </c>
      <c r="L130" s="8">
        <v>20636.324300401691</v>
      </c>
      <c r="M130" s="8">
        <v>15262.752391073325</v>
      </c>
      <c r="N130" s="8">
        <v>24137.560747153326</v>
      </c>
      <c r="O130" s="8">
        <v>12939.092960781347</v>
      </c>
      <c r="P130" s="8">
        <v>14236.246541423914</v>
      </c>
      <c r="Q130" s="8">
        <v>3318.4987481446065</v>
      </c>
      <c r="R130" s="8">
        <v>19072.986103265168</v>
      </c>
      <c r="S130" s="8">
        <v>21594.215867241859</v>
      </c>
      <c r="T130" s="8">
        <v>19023.199743775171</v>
      </c>
      <c r="U130" s="8">
        <v>26848.774125103857</v>
      </c>
      <c r="V130" s="8">
        <v>8304.3478260869579</v>
      </c>
      <c r="W130" s="7"/>
      <c r="X130" s="35">
        <f t="shared" si="44"/>
        <v>9.8762627471763036</v>
      </c>
      <c r="Y130" s="35">
        <f t="shared" si="45"/>
        <v>9.8698783367703555</v>
      </c>
      <c r="Z130" s="35">
        <f t="shared" si="46"/>
        <v>8.5967820784339004</v>
      </c>
      <c r="AA130" s="35">
        <f t="shared" si="47"/>
        <v>9.9336559839187171</v>
      </c>
      <c r="AB130" s="35">
        <f t="shared" si="48"/>
        <v>9.9883380693742172</v>
      </c>
      <c r="AC130" s="35">
        <f t="shared" si="49"/>
        <v>9.8088022038345741</v>
      </c>
      <c r="AD130" s="35">
        <f t="shared" si="50"/>
        <v>9.8633510489019063</v>
      </c>
      <c r="AE130" s="35">
        <f t="shared" si="51"/>
        <v>9.7997302363888874</v>
      </c>
      <c r="AF130" s="35">
        <f t="shared" si="52"/>
        <v>9.7888743311534672</v>
      </c>
      <c r="AG130" s="35">
        <f t="shared" si="53"/>
        <v>9.916735692764389</v>
      </c>
      <c r="AH130" s="35">
        <f t="shared" si="54"/>
        <v>9.9348081175154164</v>
      </c>
      <c r="AI130" s="35">
        <f t="shared" si="55"/>
        <v>9.6331706549618925</v>
      </c>
      <c r="AJ130" s="35">
        <f t="shared" si="56"/>
        <v>10.091524443446325</v>
      </c>
      <c r="AK130" s="35">
        <f t="shared" si="57"/>
        <v>9.4680084698315579</v>
      </c>
      <c r="AL130" s="35">
        <f t="shared" si="58"/>
        <v>9.5635465646470195</v>
      </c>
      <c r="AM130" s="35">
        <f t="shared" si="59"/>
        <v>8.1072677753505928</v>
      </c>
      <c r="AN130" s="35">
        <f t="shared" si="60"/>
        <v>9.8560282727684516</v>
      </c>
      <c r="AO130" s="35">
        <f t="shared" si="61"/>
        <v>9.980180773887751</v>
      </c>
      <c r="AP130" s="35">
        <f t="shared" si="62"/>
        <v>9.853414552432616</v>
      </c>
      <c r="AQ130" s="35">
        <f t="shared" si="63"/>
        <v>10.197975442474013</v>
      </c>
      <c r="AR130" s="35">
        <f t="shared" si="64"/>
        <v>9.024534491099617</v>
      </c>
      <c r="AS130" s="38"/>
      <c r="AT130" s="38">
        <f t="shared" si="65"/>
        <v>3.4192218540146868E-2</v>
      </c>
      <c r="AU130" s="38">
        <f t="shared" si="66"/>
        <v>1.6888375265246225E-2</v>
      </c>
      <c r="AV130" s="38">
        <f t="shared" si="67"/>
        <v>-1.3080113328044263E-2</v>
      </c>
      <c r="AW130" s="38">
        <f t="shared" si="68"/>
        <v>3.2538886217158947E-2</v>
      </c>
      <c r="AX130" s="38">
        <f t="shared" si="69"/>
        <v>1.7774135296455995E-2</v>
      </c>
      <c r="AY130" s="38">
        <f t="shared" si="70"/>
        <v>5.2563609605956074E-2</v>
      </c>
      <c r="AZ130" s="38">
        <f t="shared" si="71"/>
        <v>2.0426991064068645E-2</v>
      </c>
      <c r="BA130" s="38">
        <f t="shared" si="72"/>
        <v>1.7928783184363084E-2</v>
      </c>
      <c r="BB130" s="38">
        <f t="shared" si="73"/>
        <v>7.9545864318433246E-3</v>
      </c>
      <c r="BC130" s="38">
        <f t="shared" si="74"/>
        <v>-3.2156843838571092E-2</v>
      </c>
      <c r="BD130" s="38">
        <f t="shared" si="75"/>
        <v>5.0510644596720056E-2</v>
      </c>
      <c r="BE130" s="38">
        <f t="shared" si="76"/>
        <v>-1.7297154377384771E-3</v>
      </c>
      <c r="BF130" s="38">
        <f t="shared" si="77"/>
        <v>1.5141093991632104E-2</v>
      </c>
      <c r="BG130" s="38">
        <f t="shared" si="78"/>
        <v>4.0410736301815575E-2</v>
      </c>
      <c r="BH130" s="38">
        <f t="shared" si="79"/>
        <v>4.2546398976110567E-2</v>
      </c>
      <c r="BI130" s="38">
        <f t="shared" si="80"/>
        <v>3.6043216153919033E-2</v>
      </c>
      <c r="BJ130" s="38">
        <f t="shared" si="81"/>
        <v>3.7991233501145416E-2</v>
      </c>
      <c r="BK130" s="38">
        <f t="shared" si="82"/>
        <v>2.774812249254488E-2</v>
      </c>
      <c r="BL130" s="38">
        <f t="shared" si="83"/>
        <v>2.6447224949441406E-2</v>
      </c>
      <c r="BM130" s="38">
        <f t="shared" si="84"/>
        <v>3.014286950281253E-2</v>
      </c>
      <c r="BN130" s="38">
        <f t="shared" si="85"/>
        <v>3.8256365954715932E-2</v>
      </c>
      <c r="BO130" s="7"/>
      <c r="BX130" s="7"/>
      <c r="CN130" s="7"/>
      <c r="CO130" s="8"/>
      <c r="CP130" s="7"/>
      <c r="DG130" s="7"/>
      <c r="DO130" s="7"/>
      <c r="EE130" s="7"/>
      <c r="EF130" s="7"/>
      <c r="GH130" s="7"/>
      <c r="GJ130" s="9"/>
    </row>
    <row r="131" spans="1:192" x14ac:dyDescent="0.25">
      <c r="A131" s="7">
        <v>1999</v>
      </c>
      <c r="B131" s="8">
        <v>20065.093877607498</v>
      </c>
      <c r="C131" s="8">
        <v>19964.428265704537</v>
      </c>
      <c r="D131" s="8">
        <v>5377.0228585898121</v>
      </c>
      <c r="E131" s="8">
        <v>21563.349664189998</v>
      </c>
      <c r="F131" s="8">
        <v>22254.890572305132</v>
      </c>
      <c r="G131" s="8">
        <v>18855.985065810124</v>
      </c>
      <c r="H131" s="8">
        <v>19753.847165592528</v>
      </c>
      <c r="I131" s="8">
        <v>18380.04362314571</v>
      </c>
      <c r="J131" s="8">
        <v>18160.156354024468</v>
      </c>
      <c r="K131" s="8">
        <v>20197.676256079092</v>
      </c>
      <c r="L131" s="8">
        <v>21460.96300664722</v>
      </c>
      <c r="M131" s="8">
        <v>15975.951374207189</v>
      </c>
      <c r="N131" s="8">
        <v>24470.485016166011</v>
      </c>
      <c r="O131" s="8">
        <v>13355.626909087587</v>
      </c>
      <c r="P131" s="8">
        <v>14871.801584766681</v>
      </c>
      <c r="Q131" s="8">
        <v>3427.8472646173814</v>
      </c>
      <c r="R131" s="8">
        <v>19917.024158952358</v>
      </c>
      <c r="S131" s="8">
        <v>21796.925648112647</v>
      </c>
      <c r="T131" s="8">
        <v>19516.431193260891</v>
      </c>
      <c r="U131" s="8">
        <v>27734.749851852728</v>
      </c>
      <c r="V131" s="8">
        <v>8025.392986698911</v>
      </c>
      <c r="W131" s="7"/>
      <c r="X131" s="35">
        <f t="shared" ref="X131:X145" si="86">LN(B131)</f>
        <v>9.9067369613647536</v>
      </c>
      <c r="Y131" s="35">
        <f t="shared" ref="Y131:Y145" si="87">LN(C131)</f>
        <v>9.9017073822580564</v>
      </c>
      <c r="Z131" s="35">
        <f t="shared" ref="Z131:Z145" si="88">LN(D131)</f>
        <v>8.5898901279797037</v>
      </c>
      <c r="AA131" s="35">
        <f t="shared" ref="AA131:AA145" si="89">LN(E131)</f>
        <v>9.9787503777134283</v>
      </c>
      <c r="AB131" s="35">
        <f t="shared" ref="AB131:AB145" si="90">LN(F131)</f>
        <v>10.010317064444163</v>
      </c>
      <c r="AC131" s="35">
        <f t="shared" ref="AC131:AC145" si="91">LN(G131)</f>
        <v>9.8445856526030386</v>
      </c>
      <c r="AD131" s="35">
        <f t="shared" ref="AD131:AD145" si="92">LN(H131)</f>
        <v>9.8911035445540954</v>
      </c>
      <c r="AE131" s="35">
        <f t="shared" ref="AE131:AE145" si="93">LN(I131)</f>
        <v>9.819020769309784</v>
      </c>
      <c r="AF131" s="35">
        <f t="shared" ref="AF131:AF145" si="94">LN(J131)</f>
        <v>9.80698526192133</v>
      </c>
      <c r="AG131" s="35">
        <f t="shared" ref="AG131:AG145" si="95">LN(K131)</f>
        <v>9.9133228399442856</v>
      </c>
      <c r="AH131" s="35">
        <f t="shared" ref="AH131:AH145" si="96">LN(L131)</f>
        <v>9.9739908896721374</v>
      </c>
      <c r="AI131" s="35">
        <f t="shared" ref="AI131:AI145" si="97">LN(M131)</f>
        <v>9.6788398314134518</v>
      </c>
      <c r="AJ131" s="35">
        <f t="shared" ref="AJ131:AJ145" si="98">LN(N131)</f>
        <v>10.105222977088918</v>
      </c>
      <c r="AK131" s="35">
        <f t="shared" ref="AK131:AK145" si="99">LN(O131)</f>
        <v>9.4996930663433048</v>
      </c>
      <c r="AL131" s="35">
        <f t="shared" ref="AL131:AL145" si="100">LN(P131)</f>
        <v>9.6072221877823374</v>
      </c>
      <c r="AM131" s="35">
        <f t="shared" ref="AM131:AM145" si="101">LN(Q131)</f>
        <v>8.139687723479252</v>
      </c>
      <c r="AN131" s="35">
        <f t="shared" ref="AN131:AN145" si="102">LN(R131)</f>
        <v>9.8993301303680248</v>
      </c>
      <c r="AO131" s="35">
        <f t="shared" ref="AO131:AO145" si="103">LN(S131)</f>
        <v>9.9895242135162423</v>
      </c>
      <c r="AP131" s="35">
        <f t="shared" ref="AP131:AP145" si="104">LN(T131)</f>
        <v>9.8790120150378744</v>
      </c>
      <c r="AQ131" s="35">
        <f t="shared" ref="AQ131:AQ145" si="105">LN(U131)</f>
        <v>10.230441413225757</v>
      </c>
      <c r="AR131" s="35">
        <f t="shared" ref="AR131:AR145" si="106">LN(V131)</f>
        <v>8.9903659171043699</v>
      </c>
      <c r="AS131" s="38"/>
      <c r="AT131" s="38">
        <f t="shared" si="65"/>
        <v>3.0474214188449977E-2</v>
      </c>
      <c r="AU131" s="38">
        <f t="shared" si="66"/>
        <v>3.1829045487700824E-2</v>
      </c>
      <c r="AV131" s="38">
        <f t="shared" si="67"/>
        <v>-6.8919504541966603E-3</v>
      </c>
      <c r="AW131" s="38">
        <f t="shared" si="68"/>
        <v>4.5094393794711252E-2</v>
      </c>
      <c r="AX131" s="38">
        <f t="shared" si="69"/>
        <v>2.1978995069945384E-2</v>
      </c>
      <c r="AY131" s="38">
        <f t="shared" si="70"/>
        <v>3.578344876846451E-2</v>
      </c>
      <c r="AZ131" s="38">
        <f t="shared" si="71"/>
        <v>2.7752495652189069E-2</v>
      </c>
      <c r="BA131" s="38">
        <f t="shared" si="72"/>
        <v>1.9290532920896553E-2</v>
      </c>
      <c r="BB131" s="38">
        <f t="shared" si="73"/>
        <v>1.8110930767862854E-2</v>
      </c>
      <c r="BC131" s="38">
        <f t="shared" si="74"/>
        <v>-3.4128528201033959E-3</v>
      </c>
      <c r="BD131" s="38">
        <f t="shared" si="75"/>
        <v>3.9182772156721057E-2</v>
      </c>
      <c r="BE131" s="38">
        <f t="shared" si="76"/>
        <v>4.5669176451559323E-2</v>
      </c>
      <c r="BF131" s="38">
        <f t="shared" si="77"/>
        <v>1.3698533642592992E-2</v>
      </c>
      <c r="BG131" s="38">
        <f t="shared" si="78"/>
        <v>3.1684596511746932E-2</v>
      </c>
      <c r="BH131" s="38">
        <f t="shared" si="79"/>
        <v>4.367562313531792E-2</v>
      </c>
      <c r="BI131" s="38">
        <f t="shared" si="80"/>
        <v>3.2419948128659115E-2</v>
      </c>
      <c r="BJ131" s="38">
        <f t="shared" si="81"/>
        <v>4.3301857599573168E-2</v>
      </c>
      <c r="BK131" s="38">
        <f t="shared" si="82"/>
        <v>9.343439628491268E-3</v>
      </c>
      <c r="BL131" s="38">
        <f t="shared" si="83"/>
        <v>2.5597462605258414E-2</v>
      </c>
      <c r="BM131" s="38">
        <f t="shared" si="84"/>
        <v>3.2465970751744067E-2</v>
      </c>
      <c r="BN131" s="38">
        <f t="shared" si="85"/>
        <v>-3.4168573995247087E-2</v>
      </c>
      <c r="BO131" s="7"/>
      <c r="BX131" s="7"/>
      <c r="CN131" s="7"/>
      <c r="CO131" s="8"/>
      <c r="CP131" s="7"/>
      <c r="DG131" s="7"/>
      <c r="DO131" s="7"/>
      <c r="EE131" s="7"/>
      <c r="EF131" s="7"/>
      <c r="GH131" s="7"/>
      <c r="GJ131" s="9"/>
    </row>
    <row r="132" spans="1:192" x14ac:dyDescent="0.25">
      <c r="A132" s="7">
        <v>2000</v>
      </c>
      <c r="B132" s="8">
        <v>20691.415560874324</v>
      </c>
      <c r="C132" s="8">
        <v>20656.458570457318</v>
      </c>
      <c r="D132" s="8">
        <v>5532.2368421052633</v>
      </c>
      <c r="E132" s="8">
        <v>22488.167202572349</v>
      </c>
      <c r="F132" s="8">
        <v>22975.162513096224</v>
      </c>
      <c r="G132" s="8">
        <v>19770.363125762415</v>
      </c>
      <c r="H132" s="8">
        <v>20421.692264913228</v>
      </c>
      <c r="I132" s="8">
        <v>18943.516375383148</v>
      </c>
      <c r="J132" s="8">
        <v>18773.569765709541</v>
      </c>
      <c r="K132" s="8">
        <v>20737.60544153272</v>
      </c>
      <c r="L132" s="8">
        <v>22161.444413649031</v>
      </c>
      <c r="M132" s="8">
        <v>16245.660178853235</v>
      </c>
      <c r="N132" s="8">
        <v>25101.949959932335</v>
      </c>
      <c r="O132" s="8">
        <v>13813.425581512129</v>
      </c>
      <c r="P132" s="8">
        <v>15621.719678146395</v>
      </c>
      <c r="Q132" s="8">
        <v>3597.0949732534759</v>
      </c>
      <c r="R132" s="8">
        <v>20709.986474301171</v>
      </c>
      <c r="S132" s="8">
        <v>22474.85867465171</v>
      </c>
      <c r="T132" s="8">
        <v>20352.869104822737</v>
      </c>
      <c r="U132" s="8">
        <v>28467.061008371198</v>
      </c>
      <c r="V132" s="8">
        <v>7873.4975961538457</v>
      </c>
      <c r="W132" s="7"/>
      <c r="X132" s="35">
        <f t="shared" si="86"/>
        <v>9.9374741860345068</v>
      </c>
      <c r="Y132" s="35">
        <f t="shared" si="87"/>
        <v>9.935783313191342</v>
      </c>
      <c r="Z132" s="35">
        <f t="shared" si="88"/>
        <v>8.6183475049747127</v>
      </c>
      <c r="AA132" s="35">
        <f t="shared" si="89"/>
        <v>10.020744547749599</v>
      </c>
      <c r="AB132" s="35">
        <f t="shared" si="90"/>
        <v>10.042169020674223</v>
      </c>
      <c r="AC132" s="35">
        <f t="shared" si="91"/>
        <v>9.8919392835105207</v>
      </c>
      <c r="AD132" s="35">
        <f t="shared" si="92"/>
        <v>9.9243529611993448</v>
      </c>
      <c r="AE132" s="35">
        <f t="shared" si="93"/>
        <v>9.8492170081867823</v>
      </c>
      <c r="AF132" s="35">
        <f t="shared" si="94"/>
        <v>9.8402052961386399</v>
      </c>
      <c r="AG132" s="35">
        <f t="shared" si="95"/>
        <v>9.939704019068424</v>
      </c>
      <c r="AH132" s="35">
        <f t="shared" si="96"/>
        <v>10.006109319858369</v>
      </c>
      <c r="AI132" s="35">
        <f t="shared" si="97"/>
        <v>9.695581086172707</v>
      </c>
      <c r="AJ132" s="35">
        <f t="shared" si="98"/>
        <v>10.130700809749053</v>
      </c>
      <c r="AK132" s="35">
        <f t="shared" si="99"/>
        <v>9.533396266441228</v>
      </c>
      <c r="AL132" s="35">
        <f t="shared" si="100"/>
        <v>9.6564175119653584</v>
      </c>
      <c r="AM132" s="35">
        <f t="shared" si="101"/>
        <v>8.1878818468092422</v>
      </c>
      <c r="AN132" s="35">
        <f t="shared" si="102"/>
        <v>9.9383713012895214</v>
      </c>
      <c r="AO132" s="35">
        <f t="shared" si="103"/>
        <v>10.020152571206667</v>
      </c>
      <c r="AP132" s="35">
        <f t="shared" si="104"/>
        <v>9.9209771688848516</v>
      </c>
      <c r="AQ132" s="35">
        <f t="shared" si="105"/>
        <v>10.256502943765689</v>
      </c>
      <c r="AR132" s="35">
        <f t="shared" si="106"/>
        <v>8.9712576640519579</v>
      </c>
      <c r="AS132" s="38"/>
      <c r="AT132" s="38">
        <f t="shared" ref="AT132:AT145" si="107">X132-X131</f>
        <v>3.073722466975326E-2</v>
      </c>
      <c r="AU132" s="38">
        <f t="shared" ref="AU132:AU145" si="108">Y132-Y131</f>
        <v>3.4075930933285647E-2</v>
      </c>
      <c r="AV132" s="38">
        <f t="shared" ref="AV132:AV145" si="109">Z132-Z131</f>
        <v>2.8457376995008943E-2</v>
      </c>
      <c r="AW132" s="38">
        <f t="shared" ref="AW132:AW145" si="110">AA132-AA131</f>
        <v>4.1994170036170786E-2</v>
      </c>
      <c r="AX132" s="38">
        <f t="shared" ref="AX132:AX145" si="111">AB132-AB131</f>
        <v>3.1851956230060097E-2</v>
      </c>
      <c r="AY132" s="38">
        <f t="shared" ref="AY132:AY145" si="112">AC132-AC131</f>
        <v>4.7353630907482014E-2</v>
      </c>
      <c r="AZ132" s="38">
        <f t="shared" ref="AZ132:AZ145" si="113">AD132-AD131</f>
        <v>3.3249416645249497E-2</v>
      </c>
      <c r="BA132" s="38">
        <f t="shared" ref="BA132:BA145" si="114">AE132-AE131</f>
        <v>3.0196238876998294E-2</v>
      </c>
      <c r="BB132" s="38">
        <f t="shared" ref="BB132:BB145" si="115">AF132-AF131</f>
        <v>3.3220034217309902E-2</v>
      </c>
      <c r="BC132" s="38">
        <f t="shared" ref="BC132:BC145" si="116">AG132-AG131</f>
        <v>2.6381179124138399E-2</v>
      </c>
      <c r="BD132" s="38">
        <f t="shared" ref="BD132:BD145" si="117">AH132-AH131</f>
        <v>3.2118430186232061E-2</v>
      </c>
      <c r="BE132" s="38">
        <f t="shared" ref="BE132:BE145" si="118">AI132-AI131</f>
        <v>1.6741254759255142E-2</v>
      </c>
      <c r="BF132" s="38">
        <f t="shared" ref="BF132:BF145" si="119">AJ132-AJ131</f>
        <v>2.5477832660135036E-2</v>
      </c>
      <c r="BG132" s="38">
        <f t="shared" ref="BG132:BG145" si="120">AK132-AK131</f>
        <v>3.3703200097923158E-2</v>
      </c>
      <c r="BH132" s="38">
        <f t="shared" ref="BH132:BH145" si="121">AL132-AL131</f>
        <v>4.9195324183020972E-2</v>
      </c>
      <c r="BI132" s="38">
        <f t="shared" ref="BI132:BI145" si="122">AM132-AM131</f>
        <v>4.819412332999029E-2</v>
      </c>
      <c r="BJ132" s="38">
        <f t="shared" ref="BJ132:BJ145" si="123">AN132-AN131</f>
        <v>3.9041170921496615E-2</v>
      </c>
      <c r="BK132" s="38">
        <f t="shared" ref="BK132:BK145" si="124">AO132-AO131</f>
        <v>3.0628357690424934E-2</v>
      </c>
      <c r="BL132" s="38">
        <f t="shared" ref="BL132:BL145" si="125">AP132-AP131</f>
        <v>4.1965153846977188E-2</v>
      </c>
      <c r="BM132" s="38">
        <f t="shared" ref="BM132:BM145" si="126">AQ132-AQ131</f>
        <v>2.606153053993232E-2</v>
      </c>
      <c r="BN132" s="38">
        <f t="shared" ref="BN132:BN145" si="127">AR132-AR131</f>
        <v>-1.9108253052412039E-2</v>
      </c>
      <c r="BO132" s="7"/>
      <c r="BX132" s="7"/>
      <c r="CN132" s="7"/>
      <c r="CO132" s="8"/>
      <c r="CP132" s="7"/>
      <c r="DG132" s="7"/>
      <c r="DO132" s="7"/>
      <c r="EE132" s="7"/>
      <c r="EF132" s="7"/>
      <c r="GH132" s="7"/>
      <c r="GJ132" s="9"/>
    </row>
    <row r="133" spans="1:192" x14ac:dyDescent="0.25">
      <c r="A133" s="7">
        <v>2001</v>
      </c>
      <c r="B133" s="8">
        <v>20812.893752713153</v>
      </c>
      <c r="C133" s="8">
        <v>20761.23827803024</v>
      </c>
      <c r="D133" s="8">
        <v>5524.6659585173584</v>
      </c>
      <c r="E133" s="8">
        <v>22598.527583899035</v>
      </c>
      <c r="F133" s="8">
        <v>23059.374968492255</v>
      </c>
      <c r="G133" s="8">
        <v>20245.896528566154</v>
      </c>
      <c r="H133" s="8">
        <v>20683.761934969662</v>
      </c>
      <c r="I133" s="8">
        <v>19156.689896255069</v>
      </c>
      <c r="J133" s="8">
        <v>19068.708604405805</v>
      </c>
      <c r="K133" s="8">
        <v>20736.122924739313</v>
      </c>
      <c r="L133" s="8">
        <v>22433.415566590054</v>
      </c>
      <c r="M133" s="8">
        <v>16675.351745700886</v>
      </c>
      <c r="N133" s="8">
        <v>25468.003043057943</v>
      </c>
      <c r="O133" s="8">
        <v>14021.32119633537</v>
      </c>
      <c r="P133" s="8">
        <v>16163.327737518781</v>
      </c>
      <c r="Q133" s="8">
        <v>3503.5941602121366</v>
      </c>
      <c r="R133" s="8">
        <v>20890.044742729304</v>
      </c>
      <c r="S133" s="8">
        <v>22594.124633081927</v>
      </c>
      <c r="T133" s="8">
        <v>20589.973655650279</v>
      </c>
      <c r="U133" s="8">
        <v>28405.464787743713</v>
      </c>
      <c r="V133" s="8">
        <v>7561.5292712066903</v>
      </c>
      <c r="W133" s="7"/>
      <c r="X133" s="35">
        <f t="shared" si="86"/>
        <v>9.9433279655931166</v>
      </c>
      <c r="Y133" s="35">
        <f t="shared" si="87"/>
        <v>9.9408429828049574</v>
      </c>
      <c r="Z133" s="35">
        <f t="shared" si="88"/>
        <v>8.6169780645613159</v>
      </c>
      <c r="AA133" s="35">
        <f t="shared" si="89"/>
        <v>10.025640031983039</v>
      </c>
      <c r="AB133" s="35">
        <f t="shared" si="90"/>
        <v>10.045827688880356</v>
      </c>
      <c r="AC133" s="35">
        <f t="shared" si="91"/>
        <v>9.9157074114356778</v>
      </c>
      <c r="AD133" s="35">
        <f t="shared" si="92"/>
        <v>9.9371042238274452</v>
      </c>
      <c r="AE133" s="35">
        <f t="shared" si="93"/>
        <v>9.8604072754441336</v>
      </c>
      <c r="AF133" s="35">
        <f t="shared" si="94"/>
        <v>9.8558039776022266</v>
      </c>
      <c r="AG133" s="35">
        <f t="shared" si="95"/>
        <v>9.939632527217924</v>
      </c>
      <c r="AH133" s="35">
        <f t="shared" si="96"/>
        <v>10.018306892630653</v>
      </c>
      <c r="AI133" s="35">
        <f t="shared" si="97"/>
        <v>9.7216869647563016</v>
      </c>
      <c r="AJ133" s="35">
        <f t="shared" si="98"/>
        <v>10.145178160622457</v>
      </c>
      <c r="AK133" s="35">
        <f t="shared" si="99"/>
        <v>9.5483343926917765</v>
      </c>
      <c r="AL133" s="35">
        <f t="shared" si="100"/>
        <v>9.6905002352269864</v>
      </c>
      <c r="AM133" s="35">
        <f t="shared" si="101"/>
        <v>8.161544623491146</v>
      </c>
      <c r="AN133" s="35">
        <f t="shared" si="102"/>
        <v>9.9470279963735599</v>
      </c>
      <c r="AO133" s="35">
        <f t="shared" si="103"/>
        <v>10.025445179474277</v>
      </c>
      <c r="AP133" s="35">
        <f t="shared" si="104"/>
        <v>9.9325595205479846</v>
      </c>
      <c r="AQ133" s="35">
        <f t="shared" si="105"/>
        <v>10.254336827742192</v>
      </c>
      <c r="AR133" s="35">
        <f t="shared" si="106"/>
        <v>8.9308287332679672</v>
      </c>
      <c r="AS133" s="38"/>
      <c r="AT133" s="38">
        <f t="shared" si="107"/>
        <v>5.8537795586097729E-3</v>
      </c>
      <c r="AU133" s="38">
        <f t="shared" si="108"/>
        <v>5.0596696136153696E-3</v>
      </c>
      <c r="AV133" s="38">
        <f t="shared" si="109"/>
        <v>-1.3694404133968163E-3</v>
      </c>
      <c r="AW133" s="38">
        <f t="shared" si="110"/>
        <v>4.8954842334403281E-3</v>
      </c>
      <c r="AX133" s="38">
        <f t="shared" si="111"/>
        <v>3.6586682061336973E-3</v>
      </c>
      <c r="AY133" s="38">
        <f t="shared" si="112"/>
        <v>2.3768127925157145E-2</v>
      </c>
      <c r="AZ133" s="38">
        <f t="shared" si="113"/>
        <v>1.2751262628100335E-2</v>
      </c>
      <c r="BA133" s="38">
        <f t="shared" si="114"/>
        <v>1.1190267257351394E-2</v>
      </c>
      <c r="BB133" s="38">
        <f t="shared" si="115"/>
        <v>1.5598681463586672E-2</v>
      </c>
      <c r="BC133" s="38">
        <f t="shared" si="116"/>
        <v>-7.1491850500038367E-5</v>
      </c>
      <c r="BD133" s="38">
        <f t="shared" si="117"/>
        <v>1.2197572772283394E-2</v>
      </c>
      <c r="BE133" s="38">
        <f t="shared" si="118"/>
        <v>2.6105878583594588E-2</v>
      </c>
      <c r="BF133" s="38">
        <f t="shared" si="119"/>
        <v>1.4477350873404404E-2</v>
      </c>
      <c r="BG133" s="38">
        <f t="shared" si="120"/>
        <v>1.4938126250548578E-2</v>
      </c>
      <c r="BH133" s="38">
        <f t="shared" si="121"/>
        <v>3.408272326162809E-2</v>
      </c>
      <c r="BI133" s="38">
        <f t="shared" si="122"/>
        <v>-2.6337223318096292E-2</v>
      </c>
      <c r="BJ133" s="38">
        <f t="shared" si="123"/>
        <v>8.6566950840385459E-3</v>
      </c>
      <c r="BK133" s="38">
        <f t="shared" si="124"/>
        <v>5.2926082676094666E-3</v>
      </c>
      <c r="BL133" s="38">
        <f t="shared" si="125"/>
        <v>1.1582351663133039E-2</v>
      </c>
      <c r="BM133" s="38">
        <f t="shared" si="126"/>
        <v>-2.1661160234973664E-3</v>
      </c>
      <c r="BN133" s="38">
        <f t="shared" si="127"/>
        <v>-4.042893078399068E-2</v>
      </c>
      <c r="BO133" s="7"/>
      <c r="BX133" s="7"/>
      <c r="CN133" s="7"/>
      <c r="CO133" s="8"/>
      <c r="CP133" s="7"/>
      <c r="DG133" s="7"/>
      <c r="DO133" s="7"/>
      <c r="EE133" s="7"/>
      <c r="EF133" s="7"/>
      <c r="GH133" s="7"/>
      <c r="GJ133" s="9"/>
    </row>
    <row r="134" spans="1:192" x14ac:dyDescent="0.25">
      <c r="A134" s="7">
        <v>2002</v>
      </c>
      <c r="B134" s="8">
        <v>20955.874050969083</v>
      </c>
      <c r="C134" s="8">
        <v>21032.935510867468</v>
      </c>
      <c r="D134" s="8">
        <v>5552.3432073994863</v>
      </c>
      <c r="E134" s="8">
        <v>23156.410985746341</v>
      </c>
      <c r="F134" s="8">
        <v>23082.620718988044</v>
      </c>
      <c r="G134" s="8">
        <v>20521.702224843684</v>
      </c>
      <c r="H134" s="8">
        <v>20777.515405392292</v>
      </c>
      <c r="I134" s="8">
        <v>19140.378346158221</v>
      </c>
      <c r="J134" s="8">
        <v>19107.204224406651</v>
      </c>
      <c r="K134" s="8">
        <v>20755.27373080582</v>
      </c>
      <c r="L134" s="8">
        <v>22300.861573309401</v>
      </c>
      <c r="M134" s="8">
        <v>17170.343766033864</v>
      </c>
      <c r="N134" s="8">
        <v>25733.360878438994</v>
      </c>
      <c r="O134" s="8">
        <v>14067.842727916697</v>
      </c>
      <c r="P134" s="8">
        <v>16572.834026818295</v>
      </c>
      <c r="Q134" s="8">
        <v>3601.4737117933123</v>
      </c>
      <c r="R134" s="8">
        <v>21360.955997319634</v>
      </c>
      <c r="S134" s="8">
        <v>22536.332019652375</v>
      </c>
      <c r="T134" s="8">
        <v>20945.65316503348</v>
      </c>
      <c r="U134" s="8">
        <v>28603.924855913545</v>
      </c>
      <c r="V134" s="8">
        <v>6689.7268408551063</v>
      </c>
      <c r="W134" s="7"/>
      <c r="X134" s="35">
        <f t="shared" si="86"/>
        <v>9.9501742703444211</v>
      </c>
      <c r="Y134" s="35">
        <f t="shared" si="87"/>
        <v>9.95384484577745</v>
      </c>
      <c r="Z134" s="35">
        <f t="shared" si="88"/>
        <v>8.6219753171707758</v>
      </c>
      <c r="AA134" s="35">
        <f t="shared" si="89"/>
        <v>10.05002695360532</v>
      </c>
      <c r="AB134" s="35">
        <f t="shared" si="90"/>
        <v>10.046835263525365</v>
      </c>
      <c r="AC134" s="35">
        <f t="shared" si="91"/>
        <v>9.9292382502712577</v>
      </c>
      <c r="AD134" s="35">
        <f t="shared" si="92"/>
        <v>9.9416266908728108</v>
      </c>
      <c r="AE134" s="35">
        <f t="shared" si="93"/>
        <v>9.8595554321134671</v>
      </c>
      <c r="AF134" s="35">
        <f t="shared" si="94"/>
        <v>9.8578207274424283</v>
      </c>
      <c r="AG134" s="35">
        <f t="shared" si="95"/>
        <v>9.9405556490682407</v>
      </c>
      <c r="AH134" s="35">
        <f t="shared" si="96"/>
        <v>10.012380592276289</v>
      </c>
      <c r="AI134" s="35">
        <f t="shared" si="97"/>
        <v>9.7509389750093192</v>
      </c>
      <c r="AJ134" s="35">
        <f t="shared" si="98"/>
        <v>10.155543517749845</v>
      </c>
      <c r="AK134" s="35">
        <f t="shared" si="99"/>
        <v>9.5516468141111872</v>
      </c>
      <c r="AL134" s="35">
        <f t="shared" si="100"/>
        <v>9.71552012940003</v>
      </c>
      <c r="AM134" s="35">
        <f t="shared" si="101"/>
        <v>8.1890984050644917</v>
      </c>
      <c r="AN134" s="35">
        <f t="shared" si="102"/>
        <v>9.9693200485014142</v>
      </c>
      <c r="AO134" s="35">
        <f t="shared" si="103"/>
        <v>10.022884042304105</v>
      </c>
      <c r="AP134" s="35">
        <f t="shared" si="104"/>
        <v>9.9496864176661344</v>
      </c>
      <c r="AQ134" s="35">
        <f t="shared" si="105"/>
        <v>10.261299220116644</v>
      </c>
      <c r="AR134" s="35">
        <f t="shared" si="106"/>
        <v>8.8083283213253054</v>
      </c>
      <c r="AS134" s="38"/>
      <c r="AT134" s="38">
        <f t="shared" si="107"/>
        <v>6.8463047513045439E-3</v>
      </c>
      <c r="AU134" s="38">
        <f t="shared" si="108"/>
        <v>1.3001862972492617E-2</v>
      </c>
      <c r="AV134" s="38">
        <f t="shared" si="109"/>
        <v>4.9972526094599345E-3</v>
      </c>
      <c r="AW134" s="38">
        <f t="shared" si="110"/>
        <v>2.4386921622280511E-2</v>
      </c>
      <c r="AX134" s="38">
        <f t="shared" si="111"/>
        <v>1.0075746450084466E-3</v>
      </c>
      <c r="AY134" s="38">
        <f t="shared" si="112"/>
        <v>1.3530838835579928E-2</v>
      </c>
      <c r="AZ134" s="38">
        <f t="shared" si="113"/>
        <v>4.5224670453656302E-3</v>
      </c>
      <c r="BA134" s="38">
        <f t="shared" si="114"/>
        <v>-8.5184333066656848E-4</v>
      </c>
      <c r="BB134" s="38">
        <f t="shared" si="115"/>
        <v>2.0167498402017259E-3</v>
      </c>
      <c r="BC134" s="38">
        <f t="shared" si="116"/>
        <v>9.2312185031673266E-4</v>
      </c>
      <c r="BD134" s="38">
        <f t="shared" si="117"/>
        <v>-5.9263003543641446E-3</v>
      </c>
      <c r="BE134" s="38">
        <f t="shared" si="118"/>
        <v>2.9252010253017602E-2</v>
      </c>
      <c r="BF134" s="38">
        <f t="shared" si="119"/>
        <v>1.0365357127387398E-2</v>
      </c>
      <c r="BG134" s="38">
        <f t="shared" si="120"/>
        <v>3.3124214194106827E-3</v>
      </c>
      <c r="BH134" s="38">
        <f t="shared" si="121"/>
        <v>2.5019894173043511E-2</v>
      </c>
      <c r="BI134" s="38">
        <f t="shared" si="122"/>
        <v>2.7553781573345759E-2</v>
      </c>
      <c r="BJ134" s="38">
        <f t="shared" si="123"/>
        <v>2.2292052127854234E-2</v>
      </c>
      <c r="BK134" s="38">
        <f t="shared" si="124"/>
        <v>-2.5611371701721453E-3</v>
      </c>
      <c r="BL134" s="38">
        <f t="shared" si="125"/>
        <v>1.7126897118149742E-2</v>
      </c>
      <c r="BM134" s="38">
        <f t="shared" si="126"/>
        <v>6.9623923744526195E-3</v>
      </c>
      <c r="BN134" s="38">
        <f t="shared" si="127"/>
        <v>-0.12250041194266181</v>
      </c>
      <c r="BO134" s="7"/>
      <c r="BX134" s="7"/>
      <c r="CN134" s="7"/>
      <c r="CO134" s="8"/>
      <c r="CP134" s="7"/>
      <c r="DG134" s="7"/>
      <c r="DO134" s="7"/>
      <c r="EE134" s="7"/>
      <c r="EF134" s="7"/>
      <c r="GH134" s="7"/>
      <c r="GJ134" s="9"/>
    </row>
    <row r="135" spans="1:192" x14ac:dyDescent="0.25">
      <c r="A135" s="7">
        <v>2003</v>
      </c>
      <c r="B135" s="8">
        <v>21165.047259127423</v>
      </c>
      <c r="C135" s="8">
        <v>21205.859280924735</v>
      </c>
      <c r="D135" s="8">
        <v>5535.850184822787</v>
      </c>
      <c r="E135" s="8">
        <v>23409.043870927278</v>
      </c>
      <c r="F135" s="8">
        <v>23088.582457475135</v>
      </c>
      <c r="G135" s="8">
        <v>20845.802738257305</v>
      </c>
      <c r="H135" s="8">
        <v>20891.074616782746</v>
      </c>
      <c r="I135" s="8">
        <v>19087.572240241872</v>
      </c>
      <c r="J135" s="8">
        <v>19090.076575105504</v>
      </c>
      <c r="K135" s="8">
        <v>21091.914131817397</v>
      </c>
      <c r="L135" s="8">
        <v>22237.162373403899</v>
      </c>
      <c r="M135" s="8">
        <v>17485.60606060606</v>
      </c>
      <c r="N135" s="8">
        <v>25879.3958818106</v>
      </c>
      <c r="O135" s="8">
        <v>13896.624556116893</v>
      </c>
      <c r="P135" s="8">
        <v>17059.177824292179</v>
      </c>
      <c r="Q135" s="8">
        <v>3770.9345935797483</v>
      </c>
      <c r="R135" s="8">
        <v>21732.998885172798</v>
      </c>
      <c r="S135" s="8">
        <v>22341.775509396935</v>
      </c>
      <c r="T135" s="8">
        <v>21460.896151683923</v>
      </c>
      <c r="U135" s="8">
        <v>29074.234618222948</v>
      </c>
      <c r="V135" s="8">
        <v>6798.641865958075</v>
      </c>
      <c r="W135" s="7"/>
      <c r="X135" s="35">
        <f t="shared" si="86"/>
        <v>9.9601063858430301</v>
      </c>
      <c r="Y135" s="35">
        <f t="shared" si="87"/>
        <v>9.9620328036495582</v>
      </c>
      <c r="Z135" s="35">
        <f t="shared" si="88"/>
        <v>8.6190004349412206</v>
      </c>
      <c r="AA135" s="35">
        <f t="shared" si="89"/>
        <v>10.060877716888257</v>
      </c>
      <c r="AB135" s="35">
        <f t="shared" si="90"/>
        <v>10.047093508410057</v>
      </c>
      <c r="AC135" s="35">
        <f t="shared" si="91"/>
        <v>9.9449078994442335</v>
      </c>
      <c r="AD135" s="35">
        <f t="shared" si="92"/>
        <v>9.9470772949117237</v>
      </c>
      <c r="AE135" s="35">
        <f t="shared" si="93"/>
        <v>9.8567927342082324</v>
      </c>
      <c r="AF135" s="35">
        <f t="shared" si="94"/>
        <v>9.8569239279797163</v>
      </c>
      <c r="AG135" s="35">
        <f t="shared" si="95"/>
        <v>9.9566450295164053</v>
      </c>
      <c r="AH135" s="35">
        <f t="shared" si="96"/>
        <v>10.009520149100153</v>
      </c>
      <c r="AI135" s="35">
        <f t="shared" si="97"/>
        <v>9.7691333106414699</v>
      </c>
      <c r="AJ135" s="35">
        <f t="shared" si="98"/>
        <v>10.161202405290243</v>
      </c>
      <c r="AK135" s="35">
        <f t="shared" si="99"/>
        <v>9.5394012519395055</v>
      </c>
      <c r="AL135" s="35">
        <f t="shared" si="100"/>
        <v>9.7444436267009991</v>
      </c>
      <c r="AM135" s="35">
        <f t="shared" si="101"/>
        <v>8.2350781525255332</v>
      </c>
      <c r="AN135" s="35">
        <f t="shared" si="102"/>
        <v>9.9865870704091844</v>
      </c>
      <c r="AO135" s="35">
        <f t="shared" si="103"/>
        <v>10.014213546161457</v>
      </c>
      <c r="AP135" s="35">
        <f t="shared" si="104"/>
        <v>9.9739877744779406</v>
      </c>
      <c r="AQ135" s="35">
        <f t="shared" si="105"/>
        <v>10.277607652645633</v>
      </c>
      <c r="AR135" s="35">
        <f t="shared" si="106"/>
        <v>8.8244781456219847</v>
      </c>
      <c r="AS135" s="38"/>
      <c r="AT135" s="38">
        <f t="shared" si="107"/>
        <v>9.932115498608951E-3</v>
      </c>
      <c r="AU135" s="38">
        <f t="shared" si="108"/>
        <v>8.1879578721082424E-3</v>
      </c>
      <c r="AV135" s="38">
        <f t="shared" si="109"/>
        <v>-2.9748822295552202E-3</v>
      </c>
      <c r="AW135" s="38">
        <f t="shared" si="110"/>
        <v>1.0850763282936882E-2</v>
      </c>
      <c r="AX135" s="38">
        <f t="shared" si="111"/>
        <v>2.5824488469261553E-4</v>
      </c>
      <c r="AY135" s="38">
        <f t="shared" si="112"/>
        <v>1.5669649172975753E-2</v>
      </c>
      <c r="AZ135" s="38">
        <f t="shared" si="113"/>
        <v>5.450604038912843E-3</v>
      </c>
      <c r="BA135" s="38">
        <f t="shared" si="114"/>
        <v>-2.7626979052346456E-3</v>
      </c>
      <c r="BB135" s="38">
        <f t="shared" si="115"/>
        <v>-8.9679946271203903E-4</v>
      </c>
      <c r="BC135" s="38">
        <f t="shared" si="116"/>
        <v>1.6089380448164547E-2</v>
      </c>
      <c r="BD135" s="38">
        <f t="shared" si="117"/>
        <v>-2.860443176135874E-3</v>
      </c>
      <c r="BE135" s="38">
        <f t="shared" si="118"/>
        <v>1.8194335632150782E-2</v>
      </c>
      <c r="BF135" s="38">
        <f t="shared" si="119"/>
        <v>5.6588875403988936E-3</v>
      </c>
      <c r="BG135" s="38">
        <f t="shared" si="120"/>
        <v>-1.2245562171681712E-2</v>
      </c>
      <c r="BH135" s="38">
        <f t="shared" si="121"/>
        <v>2.8923497300969103E-2</v>
      </c>
      <c r="BI135" s="38">
        <f t="shared" si="122"/>
        <v>4.5979747461041498E-2</v>
      </c>
      <c r="BJ135" s="38">
        <f t="shared" si="123"/>
        <v>1.7267021907770186E-2</v>
      </c>
      <c r="BK135" s="38">
        <f t="shared" si="124"/>
        <v>-8.6704961426473659E-3</v>
      </c>
      <c r="BL135" s="38">
        <f t="shared" si="125"/>
        <v>2.430135681180623E-2</v>
      </c>
      <c r="BM135" s="38">
        <f t="shared" si="126"/>
        <v>1.6308432528989059E-2</v>
      </c>
      <c r="BN135" s="38">
        <f t="shared" si="127"/>
        <v>1.6149824296679327E-2</v>
      </c>
      <c r="BO135" s="7"/>
      <c r="BX135" s="7"/>
      <c r="CN135" s="7"/>
      <c r="CO135" s="8"/>
      <c r="CP135" s="7"/>
      <c r="DG135" s="7"/>
      <c r="DO135" s="7"/>
      <c r="EE135" s="7"/>
      <c r="EF135" s="7"/>
      <c r="GH135" s="7"/>
      <c r="GJ135" s="9"/>
    </row>
    <row r="136" spans="1:192" x14ac:dyDescent="0.25">
      <c r="A136" s="7">
        <v>2004</v>
      </c>
      <c r="B136" s="8">
        <v>21626.929322223696</v>
      </c>
      <c r="C136" s="8">
        <v>21801.602508475811</v>
      </c>
      <c r="D136" s="8">
        <v>5772.0455361978456</v>
      </c>
      <c r="E136" s="8">
        <v>23942.89715263731</v>
      </c>
      <c r="F136" s="8">
        <v>23492.664118911027</v>
      </c>
      <c r="G136" s="8">
        <v>21574.406195632499</v>
      </c>
      <c r="H136" s="8">
        <v>21262.257332011388</v>
      </c>
      <c r="I136" s="8">
        <v>19283.670487293424</v>
      </c>
      <c r="J136" s="8">
        <v>19299.908606087032</v>
      </c>
      <c r="K136" s="8">
        <v>21576.270787574522</v>
      </c>
      <c r="L136" s="8">
        <v>22602.004056942802</v>
      </c>
      <c r="M136" s="8">
        <v>17911.676646706586</v>
      </c>
      <c r="N136" s="8">
        <v>26765.197089993355</v>
      </c>
      <c r="O136" s="8">
        <v>14047.792005906418</v>
      </c>
      <c r="P136" s="8">
        <v>17588.189702384116</v>
      </c>
      <c r="Q136" s="8">
        <v>3934.1451796895544</v>
      </c>
      <c r="R136" s="8">
        <v>22292.009793011348</v>
      </c>
      <c r="S136" s="8">
        <v>22786.744146687895</v>
      </c>
      <c r="T136" s="8">
        <v>22095.658806596399</v>
      </c>
      <c r="U136" s="8">
        <v>29845.238827073219</v>
      </c>
      <c r="V136" s="8">
        <v>7558.4263065179093</v>
      </c>
      <c r="W136" s="7"/>
      <c r="X136" s="35">
        <f t="shared" si="86"/>
        <v>9.9816945450331183</v>
      </c>
      <c r="Y136" s="35">
        <f t="shared" si="87"/>
        <v>9.9897387556385961</v>
      </c>
      <c r="Z136" s="35">
        <f t="shared" si="88"/>
        <v>8.6607818090168074</v>
      </c>
      <c r="AA136" s="35">
        <f t="shared" si="89"/>
        <v>10.083426989026281</v>
      </c>
      <c r="AB136" s="35">
        <f t="shared" si="90"/>
        <v>10.064443486245844</v>
      </c>
      <c r="AC136" s="35">
        <f t="shared" si="91"/>
        <v>9.9792629927748386</v>
      </c>
      <c r="AD136" s="35">
        <f t="shared" si="92"/>
        <v>9.9646888236824402</v>
      </c>
      <c r="AE136" s="35">
        <f t="shared" si="93"/>
        <v>9.8670139280166005</v>
      </c>
      <c r="AF136" s="35">
        <f t="shared" si="94"/>
        <v>9.8678556394458603</v>
      </c>
      <c r="AG136" s="35">
        <f t="shared" si="95"/>
        <v>9.9793494151474906</v>
      </c>
      <c r="AH136" s="35">
        <f t="shared" si="96"/>
        <v>10.025793856414939</v>
      </c>
      <c r="AI136" s="35">
        <f t="shared" si="97"/>
        <v>9.793208105787965</v>
      </c>
      <c r="AJ136" s="35">
        <f t="shared" si="98"/>
        <v>10.194857706521399</v>
      </c>
      <c r="AK136" s="35">
        <f t="shared" si="99"/>
        <v>9.5502205098076018</v>
      </c>
      <c r="AL136" s="35">
        <f t="shared" si="100"/>
        <v>9.7749829161411075</v>
      </c>
      <c r="AM136" s="35">
        <f t="shared" si="101"/>
        <v>8.2774489021037514</v>
      </c>
      <c r="AN136" s="35">
        <f t="shared" si="102"/>
        <v>10.01198358799542</v>
      </c>
      <c r="AO136" s="35">
        <f t="shared" si="103"/>
        <v>10.033934248790624</v>
      </c>
      <c r="AP136" s="35">
        <f t="shared" si="104"/>
        <v>10.003136434119481</v>
      </c>
      <c r="AQ136" s="35">
        <f t="shared" si="105"/>
        <v>10.303780602818119</v>
      </c>
      <c r="AR136" s="35">
        <f t="shared" si="106"/>
        <v>8.9304182869916673</v>
      </c>
      <c r="AS136" s="38"/>
      <c r="AT136" s="38">
        <f t="shared" si="107"/>
        <v>2.1588159190088163E-2</v>
      </c>
      <c r="AU136" s="38">
        <f t="shared" si="108"/>
        <v>2.7705951989037914E-2</v>
      </c>
      <c r="AV136" s="38">
        <f t="shared" si="109"/>
        <v>4.1781374075586797E-2</v>
      </c>
      <c r="AW136" s="38">
        <f t="shared" si="110"/>
        <v>2.2549272138023824E-2</v>
      </c>
      <c r="AX136" s="38">
        <f t="shared" si="111"/>
        <v>1.7349977835786845E-2</v>
      </c>
      <c r="AY136" s="38">
        <f t="shared" si="112"/>
        <v>3.4355093330605158E-2</v>
      </c>
      <c r="AZ136" s="38">
        <f t="shared" si="113"/>
        <v>1.7611528770716589E-2</v>
      </c>
      <c r="BA136" s="38">
        <f t="shared" si="114"/>
        <v>1.0221193808368056E-2</v>
      </c>
      <c r="BB136" s="38">
        <f t="shared" si="115"/>
        <v>1.0931711466144023E-2</v>
      </c>
      <c r="BC136" s="38">
        <f t="shared" si="116"/>
        <v>2.2704385631085344E-2</v>
      </c>
      <c r="BD136" s="38">
        <f t="shared" si="117"/>
        <v>1.6273707314786279E-2</v>
      </c>
      <c r="BE136" s="38">
        <f t="shared" si="118"/>
        <v>2.4074795146495021E-2</v>
      </c>
      <c r="BF136" s="38">
        <f t="shared" si="119"/>
        <v>3.3655301231155121E-2</v>
      </c>
      <c r="BG136" s="38">
        <f t="shared" si="120"/>
        <v>1.0819257868096344E-2</v>
      </c>
      <c r="BH136" s="38">
        <f t="shared" si="121"/>
        <v>3.0539289440108419E-2</v>
      </c>
      <c r="BI136" s="38">
        <f t="shared" si="122"/>
        <v>4.2370749578218181E-2</v>
      </c>
      <c r="BJ136" s="38">
        <f t="shared" si="123"/>
        <v>2.5396517586235845E-2</v>
      </c>
      <c r="BK136" s="38">
        <f t="shared" si="124"/>
        <v>1.9720702629166809E-2</v>
      </c>
      <c r="BL136" s="38">
        <f t="shared" si="125"/>
        <v>2.9148659641540675E-2</v>
      </c>
      <c r="BM136" s="38">
        <f t="shared" si="126"/>
        <v>2.6172950172485443E-2</v>
      </c>
      <c r="BN136" s="38">
        <f t="shared" si="127"/>
        <v>0.10594014136968255</v>
      </c>
      <c r="BO136" s="7"/>
      <c r="BX136" s="7"/>
      <c r="CN136" s="7"/>
      <c r="CO136" s="8"/>
      <c r="CP136" s="7"/>
      <c r="DG136" s="7"/>
      <c r="DO136" s="7"/>
      <c r="EE136" s="7"/>
      <c r="EF136" s="7"/>
      <c r="GH136" s="7"/>
      <c r="GJ136" s="9"/>
    </row>
    <row r="137" spans="1:192" x14ac:dyDescent="0.25">
      <c r="A137" s="7">
        <v>2005</v>
      </c>
      <c r="B137" s="8">
        <v>22140.725899120687</v>
      </c>
      <c r="C137" s="8">
        <v>22246.561977417288</v>
      </c>
      <c r="D137" s="8">
        <v>5877.8261628737573</v>
      </c>
      <c r="E137" s="8">
        <v>24470.048786512692</v>
      </c>
      <c r="F137" s="8">
        <v>23972.564284050964</v>
      </c>
      <c r="G137" s="8">
        <v>22140.573208240847</v>
      </c>
      <c r="H137" s="8">
        <v>21536.066251271615</v>
      </c>
      <c r="I137" s="8">
        <v>19417.057021603057</v>
      </c>
      <c r="J137" s="8">
        <v>19419.777965807738</v>
      </c>
      <c r="K137" s="8">
        <v>21976.391164916848</v>
      </c>
      <c r="L137" s="8">
        <v>22928.551354987791</v>
      </c>
      <c r="M137" s="8">
        <v>18231.225296442688</v>
      </c>
      <c r="N137" s="8">
        <v>27377.286638634403</v>
      </c>
      <c r="O137" s="8">
        <v>14117.831442337139</v>
      </c>
      <c r="P137" s="8">
        <v>18193.961339328751</v>
      </c>
      <c r="Q137" s="8">
        <v>4137.0907046456286</v>
      </c>
      <c r="R137" s="8">
        <v>22986.669628971336</v>
      </c>
      <c r="S137" s="8">
        <v>23258.96570739595</v>
      </c>
      <c r="T137" s="8">
        <v>22517.971398340047</v>
      </c>
      <c r="U137" s="8">
        <v>30481.353799102111</v>
      </c>
      <c r="V137" s="8">
        <v>8012.554744525547</v>
      </c>
      <c r="W137" s="7"/>
      <c r="X137" s="35">
        <f t="shared" si="86"/>
        <v>10.005173992496639</v>
      </c>
      <c r="Y137" s="35">
        <f t="shared" si="87"/>
        <v>10.009942757786385</v>
      </c>
      <c r="Z137" s="35">
        <f t="shared" si="88"/>
        <v>8.6789422723451715</v>
      </c>
      <c r="AA137" s="35">
        <f t="shared" si="89"/>
        <v>10.105205150162261</v>
      </c>
      <c r="AB137" s="35">
        <f t="shared" si="90"/>
        <v>10.084665300599003</v>
      </c>
      <c r="AC137" s="35">
        <f t="shared" si="91"/>
        <v>10.005167096091929</v>
      </c>
      <c r="AD137" s="35">
        <f t="shared" si="92"/>
        <v>9.9774843087431968</v>
      </c>
      <c r="AE137" s="35">
        <f t="shared" si="93"/>
        <v>9.8739071866746482</v>
      </c>
      <c r="AF137" s="35">
        <f t="shared" si="94"/>
        <v>9.8740473085053804</v>
      </c>
      <c r="AG137" s="35">
        <f t="shared" si="95"/>
        <v>9.9977240272579824</v>
      </c>
      <c r="AH137" s="35">
        <f t="shared" si="96"/>
        <v>10.040138197013112</v>
      </c>
      <c r="AI137" s="35">
        <f t="shared" si="97"/>
        <v>9.8108910786033992</v>
      </c>
      <c r="AJ137" s="35">
        <f t="shared" si="98"/>
        <v>10.217468993808776</v>
      </c>
      <c r="AK137" s="35">
        <f t="shared" si="99"/>
        <v>9.5551939186815051</v>
      </c>
      <c r="AL137" s="35">
        <f t="shared" si="100"/>
        <v>9.8088450234665228</v>
      </c>
      <c r="AM137" s="35">
        <f t="shared" si="101"/>
        <v>8.327748091443592</v>
      </c>
      <c r="AN137" s="35">
        <f t="shared" si="102"/>
        <v>10.042669745540019</v>
      </c>
      <c r="AO137" s="35">
        <f t="shared" si="103"/>
        <v>10.054445958505998</v>
      </c>
      <c r="AP137" s="35">
        <f t="shared" si="104"/>
        <v>10.022068998193518</v>
      </c>
      <c r="AQ137" s="35">
        <f t="shared" si="105"/>
        <v>10.324870424795263</v>
      </c>
      <c r="AR137" s="35">
        <f t="shared" si="106"/>
        <v>8.9887649335956681</v>
      </c>
      <c r="AS137" s="38"/>
      <c r="AT137" s="38">
        <f t="shared" si="107"/>
        <v>2.3479447463520486E-2</v>
      </c>
      <c r="AU137" s="38">
        <f t="shared" si="108"/>
        <v>2.0204002147789168E-2</v>
      </c>
      <c r="AV137" s="38">
        <f t="shared" si="109"/>
        <v>1.8160463328364074E-2</v>
      </c>
      <c r="AW137" s="38">
        <f t="shared" si="110"/>
        <v>2.1778161135980412E-2</v>
      </c>
      <c r="AX137" s="38">
        <f t="shared" si="111"/>
        <v>2.0221814353158507E-2</v>
      </c>
      <c r="AY137" s="38">
        <f t="shared" si="112"/>
        <v>2.5904103317090588E-2</v>
      </c>
      <c r="AZ137" s="38">
        <f t="shared" si="113"/>
        <v>1.2795485060756562E-2</v>
      </c>
      <c r="BA137" s="38">
        <f t="shared" si="114"/>
        <v>6.8932586580476851E-3</v>
      </c>
      <c r="BB137" s="38">
        <f t="shared" si="115"/>
        <v>6.1916690595200663E-3</v>
      </c>
      <c r="BC137" s="38">
        <f t="shared" si="116"/>
        <v>1.8374612110491739E-2</v>
      </c>
      <c r="BD137" s="38">
        <f t="shared" si="117"/>
        <v>1.4344340598173133E-2</v>
      </c>
      <c r="BE137" s="38">
        <f t="shared" si="118"/>
        <v>1.7682972815434184E-2</v>
      </c>
      <c r="BF137" s="38">
        <f t="shared" si="119"/>
        <v>2.261128728737738E-2</v>
      </c>
      <c r="BG137" s="38">
        <f t="shared" si="120"/>
        <v>4.9734088739032956E-3</v>
      </c>
      <c r="BH137" s="38">
        <f t="shared" si="121"/>
        <v>3.386210732541528E-2</v>
      </c>
      <c r="BI137" s="38">
        <f t="shared" si="122"/>
        <v>5.0299189339840567E-2</v>
      </c>
      <c r="BJ137" s="38">
        <f t="shared" si="123"/>
        <v>3.0686157544598913E-2</v>
      </c>
      <c r="BK137" s="38">
        <f t="shared" si="124"/>
        <v>2.0511709715373527E-2</v>
      </c>
      <c r="BL137" s="38">
        <f t="shared" si="125"/>
        <v>1.8932564074036762E-2</v>
      </c>
      <c r="BM137" s="38">
        <f t="shared" si="126"/>
        <v>2.1089821977144041E-2</v>
      </c>
      <c r="BN137" s="38">
        <f t="shared" si="127"/>
        <v>5.8346646604000796E-2</v>
      </c>
      <c r="BO137" s="7"/>
      <c r="BX137" s="7"/>
      <c r="CN137" s="7"/>
      <c r="CO137" s="8"/>
      <c r="CP137" s="7"/>
      <c r="DG137" s="7"/>
      <c r="DO137" s="7"/>
      <c r="EE137" s="7"/>
      <c r="EF137" s="7"/>
      <c r="GH137" s="7"/>
      <c r="GJ137" s="9"/>
    </row>
    <row r="138" spans="1:192" x14ac:dyDescent="0.25">
      <c r="A138" s="7">
        <v>2006</v>
      </c>
      <c r="B138" s="8">
        <v>22892.682426692449</v>
      </c>
      <c r="C138" s="8">
        <v>22881.632809577201</v>
      </c>
      <c r="D138" s="8">
        <v>6033.8906037008601</v>
      </c>
      <c r="E138" s="8">
        <v>24970.726031172489</v>
      </c>
      <c r="F138" s="8">
        <v>24680.492879670925</v>
      </c>
      <c r="G138" s="8">
        <v>23190.283543208167</v>
      </c>
      <c r="H138" s="8">
        <v>21920.180746686048</v>
      </c>
      <c r="I138" s="8">
        <v>20040.620318052523</v>
      </c>
      <c r="J138" s="8">
        <v>19797.77274411562</v>
      </c>
      <c r="K138" s="8">
        <v>22419.785907540292</v>
      </c>
      <c r="L138" s="8">
        <v>23587.418967913152</v>
      </c>
      <c r="M138" s="8">
        <v>18404.889975550122</v>
      </c>
      <c r="N138" s="8">
        <v>27898.942053691102</v>
      </c>
      <c r="O138" s="8">
        <v>14261.913449815998</v>
      </c>
      <c r="P138" s="8">
        <v>18895.316239912023</v>
      </c>
      <c r="Q138" s="8">
        <v>4409.7065286245752</v>
      </c>
      <c r="R138" s="8">
        <v>23912.276810469113</v>
      </c>
      <c r="S138" s="8">
        <v>23985.590516875876</v>
      </c>
      <c r="T138" s="8">
        <v>23106.872983359463</v>
      </c>
      <c r="U138" s="8">
        <v>31004.463178775106</v>
      </c>
      <c r="V138" s="8">
        <v>8528.6087714202731</v>
      </c>
      <c r="W138" s="7"/>
      <c r="X138" s="35">
        <f t="shared" si="86"/>
        <v>10.03857259379113</v>
      </c>
      <c r="Y138" s="35">
        <f t="shared" si="87"/>
        <v>10.03808980700239</v>
      </c>
      <c r="Z138" s="35">
        <f t="shared" si="88"/>
        <v>8.7051472895746862</v>
      </c>
      <c r="AA138" s="35">
        <f t="shared" si="89"/>
        <v>10.125459458989381</v>
      </c>
      <c r="AB138" s="35">
        <f t="shared" si="90"/>
        <v>10.113768448633156</v>
      </c>
      <c r="AC138" s="35">
        <f t="shared" si="91"/>
        <v>10.051488657135078</v>
      </c>
      <c r="AD138" s="35">
        <f t="shared" si="92"/>
        <v>9.9951629867709322</v>
      </c>
      <c r="AE138" s="35">
        <f t="shared" si="93"/>
        <v>9.9055165087143724</v>
      </c>
      <c r="AF138" s="35">
        <f t="shared" si="94"/>
        <v>9.8933247226844863</v>
      </c>
      <c r="AG138" s="35">
        <f t="shared" si="95"/>
        <v>10.017699147407511</v>
      </c>
      <c r="AH138" s="35">
        <f t="shared" si="96"/>
        <v>10.068468754288315</v>
      </c>
      <c r="AI138" s="35">
        <f t="shared" si="97"/>
        <v>9.8203716678300328</v>
      </c>
      <c r="AJ138" s="35">
        <f t="shared" si="98"/>
        <v>10.236344047867965</v>
      </c>
      <c r="AK138" s="35">
        <f t="shared" si="99"/>
        <v>9.5653478679831014</v>
      </c>
      <c r="AL138" s="35">
        <f t="shared" si="100"/>
        <v>9.8466693523417081</v>
      </c>
      <c r="AM138" s="35">
        <f t="shared" si="101"/>
        <v>8.3915634194294064</v>
      </c>
      <c r="AN138" s="35">
        <f t="shared" si="102"/>
        <v>10.082147280112441</v>
      </c>
      <c r="AO138" s="35">
        <f t="shared" si="103"/>
        <v>10.085208533890579</v>
      </c>
      <c r="AP138" s="35">
        <f t="shared" si="104"/>
        <v>10.047885384003255</v>
      </c>
      <c r="AQ138" s="35">
        <f t="shared" si="105"/>
        <v>10.341886446612966</v>
      </c>
      <c r="AR138" s="35">
        <f t="shared" si="106"/>
        <v>9.0511815288742845</v>
      </c>
      <c r="AS138" s="38"/>
      <c r="AT138" s="38">
        <f t="shared" si="107"/>
        <v>3.339860129449157E-2</v>
      </c>
      <c r="AU138" s="38">
        <f t="shared" si="108"/>
        <v>2.8147049216004305E-2</v>
      </c>
      <c r="AV138" s="38">
        <f t="shared" si="109"/>
        <v>2.6205017229514738E-2</v>
      </c>
      <c r="AW138" s="38">
        <f t="shared" si="110"/>
        <v>2.0254308827119871E-2</v>
      </c>
      <c r="AX138" s="38">
        <f t="shared" si="111"/>
        <v>2.9103148034153037E-2</v>
      </c>
      <c r="AY138" s="38">
        <f t="shared" si="112"/>
        <v>4.6321561043148662E-2</v>
      </c>
      <c r="AZ138" s="38">
        <f t="shared" si="113"/>
        <v>1.7678678027735373E-2</v>
      </c>
      <c r="BA138" s="38">
        <f t="shared" si="114"/>
        <v>3.1609322039724219E-2</v>
      </c>
      <c r="BB138" s="38">
        <f t="shared" si="115"/>
        <v>1.927741417910589E-2</v>
      </c>
      <c r="BC138" s="38">
        <f t="shared" si="116"/>
        <v>1.997512014952818E-2</v>
      </c>
      <c r="BD138" s="38">
        <f t="shared" si="117"/>
        <v>2.8330557275202395E-2</v>
      </c>
      <c r="BE138" s="38">
        <f t="shared" si="118"/>
        <v>9.48058922663364E-3</v>
      </c>
      <c r="BF138" s="38">
        <f t="shared" si="119"/>
        <v>1.8875054059188656E-2</v>
      </c>
      <c r="BG138" s="38">
        <f t="shared" si="120"/>
        <v>1.0153949301596299E-2</v>
      </c>
      <c r="BH138" s="38">
        <f t="shared" si="121"/>
        <v>3.7824328875185387E-2</v>
      </c>
      <c r="BI138" s="38">
        <f t="shared" si="122"/>
        <v>6.3815327985814463E-2</v>
      </c>
      <c r="BJ138" s="38">
        <f t="shared" si="123"/>
        <v>3.9477534572421646E-2</v>
      </c>
      <c r="BK138" s="38">
        <f t="shared" si="124"/>
        <v>3.0762575384581936E-2</v>
      </c>
      <c r="BL138" s="38">
        <f t="shared" si="125"/>
        <v>2.5816385809736886E-2</v>
      </c>
      <c r="BM138" s="38">
        <f t="shared" si="126"/>
        <v>1.701602181770312E-2</v>
      </c>
      <c r="BN138" s="38">
        <f t="shared" si="127"/>
        <v>6.2416595278616427E-2</v>
      </c>
      <c r="BO138" s="7"/>
      <c r="BX138" s="7"/>
      <c r="CN138" s="7"/>
      <c r="CO138" s="8"/>
      <c r="CP138" s="7"/>
      <c r="DG138" s="7"/>
      <c r="DO138" s="7"/>
      <c r="EE138" s="7"/>
      <c r="EF138" s="7"/>
      <c r="GH138" s="7"/>
      <c r="GJ138" s="9"/>
    </row>
    <row r="139" spans="1:192" x14ac:dyDescent="0.25">
      <c r="A139" s="7">
        <v>2007</v>
      </c>
      <c r="B139" s="8">
        <v>23674.041130112837</v>
      </c>
      <c r="C139" s="8">
        <v>23446.949671802748</v>
      </c>
      <c r="D139" s="8">
        <v>6195.9581062196075</v>
      </c>
      <c r="E139" s="8">
        <v>25809.176804792194</v>
      </c>
      <c r="F139" s="8">
        <v>24995.245166528901</v>
      </c>
      <c r="G139" s="8">
        <v>24131.519568728214</v>
      </c>
      <c r="H139" s="8">
        <v>22287.365346565748</v>
      </c>
      <c r="I139" s="8">
        <v>20546.936107422782</v>
      </c>
      <c r="J139" s="8">
        <v>20109.623190297032</v>
      </c>
      <c r="K139" s="8">
        <v>22950.201282242433</v>
      </c>
      <c r="L139" s="8">
        <v>24319.860707627409</v>
      </c>
      <c r="M139" s="8">
        <v>18800.82284607938</v>
      </c>
      <c r="N139" s="8">
        <v>28013.196408067026</v>
      </c>
      <c r="O139" s="8">
        <v>14482.230112349755</v>
      </c>
      <c r="P139" s="8">
        <v>19551.158666156418</v>
      </c>
      <c r="Q139" s="8">
        <v>4662.6938378782888</v>
      </c>
      <c r="R139" s="8">
        <v>24495.9583656295</v>
      </c>
      <c r="S139" s="8">
        <v>24748.033035499542</v>
      </c>
      <c r="T139" s="8">
        <v>23642.480141663258</v>
      </c>
      <c r="U139" s="8">
        <v>31357.365241635685</v>
      </c>
      <c r="V139" s="8">
        <v>9129.1534238659351</v>
      </c>
      <c r="W139" s="7"/>
      <c r="X139" s="35">
        <f t="shared" si="86"/>
        <v>10.072134415866087</v>
      </c>
      <c r="Y139" s="35">
        <f t="shared" si="87"/>
        <v>10.062495687452051</v>
      </c>
      <c r="Z139" s="35">
        <f t="shared" si="88"/>
        <v>8.7316524400903379</v>
      </c>
      <c r="AA139" s="35">
        <f t="shared" si="89"/>
        <v>10.158485397775204</v>
      </c>
      <c r="AB139" s="35">
        <f t="shared" si="90"/>
        <v>10.126440892422448</v>
      </c>
      <c r="AC139" s="35">
        <f t="shared" si="91"/>
        <v>10.09127413088942</v>
      </c>
      <c r="AD139" s="35">
        <f t="shared" si="92"/>
        <v>10.011775220495972</v>
      </c>
      <c r="AE139" s="35">
        <f t="shared" si="93"/>
        <v>9.9304671142793808</v>
      </c>
      <c r="AF139" s="35">
        <f t="shared" si="94"/>
        <v>9.9089537451618632</v>
      </c>
      <c r="AG139" s="35">
        <f t="shared" si="95"/>
        <v>10.041081985918311</v>
      </c>
      <c r="AH139" s="35">
        <f t="shared" si="96"/>
        <v>10.099048608581276</v>
      </c>
      <c r="AI139" s="35">
        <f t="shared" si="97"/>
        <v>9.8416559162687101</v>
      </c>
      <c r="AJ139" s="35">
        <f t="shared" si="98"/>
        <v>10.240430978418352</v>
      </c>
      <c r="AK139" s="35">
        <f t="shared" si="99"/>
        <v>9.5806776673647018</v>
      </c>
      <c r="AL139" s="35">
        <f t="shared" si="100"/>
        <v>9.8807898304683732</v>
      </c>
      <c r="AM139" s="35">
        <f t="shared" si="101"/>
        <v>8.4473486368955797</v>
      </c>
      <c r="AN139" s="35">
        <f t="shared" si="102"/>
        <v>10.106263418256468</v>
      </c>
      <c r="AO139" s="35">
        <f t="shared" si="103"/>
        <v>10.116501291525516</v>
      </c>
      <c r="AP139" s="35">
        <f t="shared" si="104"/>
        <v>10.070800378946975</v>
      </c>
      <c r="AQ139" s="35">
        <f t="shared" si="105"/>
        <v>10.353204454405283</v>
      </c>
      <c r="AR139" s="35">
        <f t="shared" si="106"/>
        <v>9.1192282446311026</v>
      </c>
      <c r="AS139" s="38"/>
      <c r="AT139" s="38">
        <f t="shared" si="107"/>
        <v>3.3561822074956282E-2</v>
      </c>
      <c r="AU139" s="38">
        <f t="shared" si="108"/>
        <v>2.440588044966141E-2</v>
      </c>
      <c r="AV139" s="38">
        <f t="shared" si="109"/>
        <v>2.6505150515651721E-2</v>
      </c>
      <c r="AW139" s="38">
        <f t="shared" si="110"/>
        <v>3.3025938785822717E-2</v>
      </c>
      <c r="AX139" s="38">
        <f t="shared" si="111"/>
        <v>1.2672443789291776E-2</v>
      </c>
      <c r="AY139" s="38">
        <f t="shared" si="112"/>
        <v>3.9785473754342604E-2</v>
      </c>
      <c r="AZ139" s="38">
        <f t="shared" si="113"/>
        <v>1.6612233725039616E-2</v>
      </c>
      <c r="BA139" s="38">
        <f t="shared" si="114"/>
        <v>2.4950605565008388E-2</v>
      </c>
      <c r="BB139" s="38">
        <f t="shared" si="115"/>
        <v>1.5629022477376964E-2</v>
      </c>
      <c r="BC139" s="38">
        <f t="shared" si="116"/>
        <v>2.3382838510800141E-2</v>
      </c>
      <c r="BD139" s="38">
        <f t="shared" si="117"/>
        <v>3.0579854292961173E-2</v>
      </c>
      <c r="BE139" s="38">
        <f t="shared" si="118"/>
        <v>2.1284248438677267E-2</v>
      </c>
      <c r="BF139" s="38">
        <f t="shared" si="119"/>
        <v>4.0869305503878905E-3</v>
      </c>
      <c r="BG139" s="38">
        <f t="shared" si="120"/>
        <v>1.5329799381600395E-2</v>
      </c>
      <c r="BH139" s="38">
        <f t="shared" si="121"/>
        <v>3.4120478126665077E-2</v>
      </c>
      <c r="BI139" s="38">
        <f t="shared" si="122"/>
        <v>5.5785217466173265E-2</v>
      </c>
      <c r="BJ139" s="38">
        <f t="shared" si="123"/>
        <v>2.4116138144027133E-2</v>
      </c>
      <c r="BK139" s="38">
        <f t="shared" si="124"/>
        <v>3.1292757634936663E-2</v>
      </c>
      <c r="BL139" s="38">
        <f t="shared" si="125"/>
        <v>2.2914994943720401E-2</v>
      </c>
      <c r="BM139" s="38">
        <f t="shared" si="126"/>
        <v>1.1318007792317175E-2</v>
      </c>
      <c r="BN139" s="38">
        <f t="shared" si="127"/>
        <v>6.8046715756818088E-2</v>
      </c>
      <c r="BO139" s="7"/>
      <c r="BX139" s="7"/>
      <c r="CN139" s="7"/>
      <c r="CO139" s="8"/>
      <c r="CP139" s="7"/>
      <c r="DG139" s="7"/>
      <c r="DO139" s="7"/>
      <c r="EE139" s="7"/>
      <c r="EF139" s="7"/>
      <c r="GH139" s="7"/>
      <c r="GJ139" s="9"/>
    </row>
    <row r="140" spans="1:192" x14ac:dyDescent="0.25">
      <c r="A140" s="7">
        <v>2008</v>
      </c>
      <c r="B140" s="8">
        <v>24130.547034543644</v>
      </c>
      <c r="C140" s="8">
        <v>23654.763464380027</v>
      </c>
      <c r="D140" s="8">
        <v>6428.9483200317809</v>
      </c>
      <c r="E140" s="8">
        <v>25267.184536175595</v>
      </c>
      <c r="F140" s="8">
        <v>24620.568805389077</v>
      </c>
      <c r="G140" s="8">
        <v>24343.586318430109</v>
      </c>
      <c r="H140" s="8">
        <v>22223.016641168939</v>
      </c>
      <c r="I140" s="8">
        <v>20801.437443847575</v>
      </c>
      <c r="J140" s="8">
        <v>19909.35779682083</v>
      </c>
      <c r="K140" s="8">
        <v>22815.512852743384</v>
      </c>
      <c r="L140" s="8">
        <v>24694.939650579119</v>
      </c>
      <c r="M140" s="8">
        <v>18653.247064462019</v>
      </c>
      <c r="N140" s="8">
        <v>28499.56410404919</v>
      </c>
      <c r="O140" s="8">
        <v>14436.011917305663</v>
      </c>
      <c r="P140" s="8">
        <v>19706.255587191354</v>
      </c>
      <c r="Q140" s="8">
        <v>4895.0783843434729</v>
      </c>
      <c r="R140" s="8">
        <v>24409.176340519625</v>
      </c>
      <c r="S140" s="8">
        <v>25104.200740748558</v>
      </c>
      <c r="T140" s="8">
        <v>23742.469961560724</v>
      </c>
      <c r="U140" s="8">
        <v>31177.721971679133</v>
      </c>
      <c r="V140" s="8">
        <v>9893.0419781483615</v>
      </c>
      <c r="W140" s="7"/>
      <c r="X140" s="35">
        <f t="shared" si="86"/>
        <v>10.091233828670591</v>
      </c>
      <c r="Y140" s="35">
        <f t="shared" si="87"/>
        <v>10.07131978862316</v>
      </c>
      <c r="Z140" s="35">
        <f t="shared" si="88"/>
        <v>8.7685662455391142</v>
      </c>
      <c r="AA140" s="35">
        <f t="shared" si="89"/>
        <v>10.137261778907018</v>
      </c>
      <c r="AB140" s="35">
        <f t="shared" si="90"/>
        <v>10.111337502858612</v>
      </c>
      <c r="AC140" s="35">
        <f t="shared" si="91"/>
        <v>10.100023698269018</v>
      </c>
      <c r="AD140" s="35">
        <f t="shared" si="92"/>
        <v>10.008883816407582</v>
      </c>
      <c r="AE140" s="35">
        <f t="shared" si="93"/>
        <v>9.9427773711788578</v>
      </c>
      <c r="AF140" s="35">
        <f t="shared" si="94"/>
        <v>9.8989451412301843</v>
      </c>
      <c r="AG140" s="35">
        <f t="shared" si="95"/>
        <v>10.035195971861583</v>
      </c>
      <c r="AH140" s="35">
        <f t="shared" si="96"/>
        <v>10.114353629180652</v>
      </c>
      <c r="AI140" s="35">
        <f t="shared" si="97"/>
        <v>9.8337755152504709</v>
      </c>
      <c r="AJ140" s="35">
        <f t="shared" si="98"/>
        <v>10.257644071545013</v>
      </c>
      <c r="AK140" s="35">
        <f t="shared" si="99"/>
        <v>9.5774811912891931</v>
      </c>
      <c r="AL140" s="35">
        <f t="shared" si="100"/>
        <v>9.8886914068171539</v>
      </c>
      <c r="AM140" s="35">
        <f t="shared" si="101"/>
        <v>8.4959855679811351</v>
      </c>
      <c r="AN140" s="35">
        <f t="shared" si="102"/>
        <v>10.102714420110605</v>
      </c>
      <c r="AO140" s="35">
        <f t="shared" si="103"/>
        <v>10.130790471305907</v>
      </c>
      <c r="AP140" s="35">
        <f t="shared" si="104"/>
        <v>10.075020704940387</v>
      </c>
      <c r="AQ140" s="35">
        <f t="shared" si="105"/>
        <v>10.347459079380789</v>
      </c>
      <c r="AR140" s="35">
        <f t="shared" si="106"/>
        <v>9.1995869585314818</v>
      </c>
      <c r="AS140" s="38"/>
      <c r="AT140" s="38">
        <f t="shared" si="107"/>
        <v>1.9099412804504112E-2</v>
      </c>
      <c r="AU140" s="38">
        <f t="shared" si="108"/>
        <v>8.824101171109433E-3</v>
      </c>
      <c r="AV140" s="38">
        <f t="shared" si="109"/>
        <v>3.6913805448776316E-2</v>
      </c>
      <c r="AW140" s="38">
        <f t="shared" si="110"/>
        <v>-2.1223618868186023E-2</v>
      </c>
      <c r="AX140" s="38">
        <f t="shared" si="111"/>
        <v>-1.5103389563835279E-2</v>
      </c>
      <c r="AY140" s="38">
        <f t="shared" si="112"/>
        <v>8.7495673795974227E-3</v>
      </c>
      <c r="AZ140" s="38">
        <f t="shared" si="113"/>
        <v>-2.8914040883893932E-3</v>
      </c>
      <c r="BA140" s="38">
        <f t="shared" si="114"/>
        <v>1.2310256899477068E-2</v>
      </c>
      <c r="BB140" s="38">
        <f t="shared" si="115"/>
        <v>-1.0008603931678905E-2</v>
      </c>
      <c r="BC140" s="38">
        <f t="shared" si="116"/>
        <v>-5.8860140567276176E-3</v>
      </c>
      <c r="BD140" s="38">
        <f t="shared" si="117"/>
        <v>1.5305020599376107E-2</v>
      </c>
      <c r="BE140" s="38">
        <f t="shared" si="118"/>
        <v>-7.8804010182391693E-3</v>
      </c>
      <c r="BF140" s="38">
        <f t="shared" si="119"/>
        <v>1.7213093126660084E-2</v>
      </c>
      <c r="BG140" s="38">
        <f t="shared" si="120"/>
        <v>-3.1964760755087696E-3</v>
      </c>
      <c r="BH140" s="38">
        <f t="shared" si="121"/>
        <v>7.9015763487806367E-3</v>
      </c>
      <c r="BI140" s="38">
        <f t="shared" si="122"/>
        <v>4.8636931085555446E-2</v>
      </c>
      <c r="BJ140" s="38">
        <f t="shared" si="123"/>
        <v>-3.5489981458631803E-3</v>
      </c>
      <c r="BK140" s="38">
        <f t="shared" si="124"/>
        <v>1.4289179780391237E-2</v>
      </c>
      <c r="BL140" s="38">
        <f t="shared" si="125"/>
        <v>4.220325993411933E-3</v>
      </c>
      <c r="BM140" s="38">
        <f t="shared" si="126"/>
        <v>-5.745375024494237E-3</v>
      </c>
      <c r="BN140" s="38">
        <f t="shared" si="127"/>
        <v>8.0358713900379186E-2</v>
      </c>
      <c r="BO140" s="7"/>
      <c r="BX140" s="7"/>
      <c r="CN140" s="7"/>
      <c r="CO140" s="8"/>
      <c r="CP140" s="7"/>
      <c r="DG140" s="7"/>
      <c r="DO140" s="7"/>
      <c r="EE140" s="7"/>
      <c r="EF140" s="7"/>
      <c r="GH140" s="7"/>
      <c r="GJ140" s="9"/>
    </row>
    <row r="141" spans="1:192" x14ac:dyDescent="0.25">
      <c r="A141" s="7">
        <v>2009</v>
      </c>
      <c r="B141" s="8">
        <v>24642.677914376691</v>
      </c>
      <c r="C141" s="8">
        <v>24110.949974907431</v>
      </c>
      <c r="D141" s="8">
        <v>5114.1662173290315</v>
      </c>
      <c r="E141" s="8">
        <v>26882.187535588775</v>
      </c>
      <c r="F141" s="8">
        <v>22121.723787390983</v>
      </c>
      <c r="G141" s="8">
        <v>25148.477222712892</v>
      </c>
      <c r="H141" s="8">
        <v>22650.328107936111</v>
      </c>
      <c r="I141" s="8">
        <v>21133.509131295694</v>
      </c>
      <c r="J141" s="8">
        <v>19649.243191935708</v>
      </c>
      <c r="K141" s="8">
        <v>22485.156476968536</v>
      </c>
      <c r="L141" s="8">
        <v>25686.237203454984</v>
      </c>
      <c r="M141" s="8">
        <v>19192.221143996561</v>
      </c>
      <c r="N141" s="8">
        <v>29122.473194590042</v>
      </c>
      <c r="O141" s="8">
        <v>15136.505136952306</v>
      </c>
      <c r="P141" s="8">
        <v>20030.56497671099</v>
      </c>
      <c r="Q141" s="8">
        <v>4874.3855470626459</v>
      </c>
      <c r="R141" s="8">
        <v>24669.739970379051</v>
      </c>
      <c r="S141" s="8">
        <v>25977.025701193117</v>
      </c>
      <c r="T141" s="8">
        <v>24403.505383948963</v>
      </c>
      <c r="U141" s="8">
        <v>32167.823301002478</v>
      </c>
      <c r="V141" s="8">
        <v>10075.676787613786</v>
      </c>
      <c r="X141" s="35">
        <f t="shared" si="86"/>
        <v>10.112235093332004</v>
      </c>
      <c r="Y141" s="35">
        <f t="shared" si="87"/>
        <v>10.09042137209569</v>
      </c>
      <c r="Z141" s="35">
        <f t="shared" si="88"/>
        <v>8.5397696577337801</v>
      </c>
      <c r="AA141" s="35">
        <f t="shared" si="89"/>
        <v>10.199219172858109</v>
      </c>
      <c r="AB141" s="35">
        <f t="shared" si="90"/>
        <v>10.004315381505531</v>
      </c>
      <c r="AC141" s="35">
        <f t="shared" si="91"/>
        <v>10.132552625890137</v>
      </c>
      <c r="AD141" s="35">
        <f t="shared" si="92"/>
        <v>10.027929616807853</v>
      </c>
      <c r="AE141" s="35">
        <f t="shared" si="93"/>
        <v>9.9586151702381773</v>
      </c>
      <c r="AF141" s="35">
        <f t="shared" si="94"/>
        <v>9.8857941021504008</v>
      </c>
      <c r="AG141" s="35">
        <f t="shared" si="95"/>
        <v>10.020610658351975</v>
      </c>
      <c r="AH141" s="35">
        <f t="shared" si="96"/>
        <v>10.153710610067376</v>
      </c>
      <c r="AI141" s="35">
        <f t="shared" si="97"/>
        <v>9.8622603271707643</v>
      </c>
      <c r="AJ141" s="35">
        <f t="shared" si="98"/>
        <v>10.279265429837078</v>
      </c>
      <c r="AK141" s="35">
        <f t="shared" si="99"/>
        <v>9.6248646639478093</v>
      </c>
      <c r="AL141" s="35">
        <f t="shared" si="100"/>
        <v>9.905014634787829</v>
      </c>
      <c r="AM141" s="35">
        <f t="shared" si="101"/>
        <v>8.4917493338598593</v>
      </c>
      <c r="AN141" s="35">
        <f t="shared" si="102"/>
        <v>10.113332669150831</v>
      </c>
      <c r="AO141" s="35">
        <f t="shared" si="103"/>
        <v>10.164967799498072</v>
      </c>
      <c r="AP141" s="35">
        <f t="shared" si="104"/>
        <v>10.102482064239309</v>
      </c>
      <c r="AQ141" s="35">
        <f t="shared" si="105"/>
        <v>10.37872195555663</v>
      </c>
      <c r="AR141" s="35">
        <f t="shared" si="106"/>
        <v>9.2178795595080079</v>
      </c>
      <c r="AS141" s="38"/>
      <c r="AT141" s="38">
        <f t="shared" si="107"/>
        <v>2.1001264661412833E-2</v>
      </c>
      <c r="AU141" s="38">
        <f t="shared" si="108"/>
        <v>1.9101583472529882E-2</v>
      </c>
      <c r="AV141" s="38">
        <f t="shared" si="109"/>
        <v>-0.22879658780533418</v>
      </c>
      <c r="AW141" s="38">
        <f t="shared" si="110"/>
        <v>6.1957393951091788E-2</v>
      </c>
      <c r="AX141" s="38">
        <f t="shared" si="111"/>
        <v>-0.10702212135308109</v>
      </c>
      <c r="AY141" s="38">
        <f t="shared" si="112"/>
        <v>3.2528927621118697E-2</v>
      </c>
      <c r="AZ141" s="38">
        <f t="shared" si="113"/>
        <v>1.9045800400270707E-2</v>
      </c>
      <c r="BA141" s="38">
        <f t="shared" si="114"/>
        <v>1.583779905931948E-2</v>
      </c>
      <c r="BB141" s="38">
        <f t="shared" si="115"/>
        <v>-1.3151039079783544E-2</v>
      </c>
      <c r="BC141" s="38">
        <f t="shared" si="116"/>
        <v>-1.45853135096079E-2</v>
      </c>
      <c r="BD141" s="38">
        <f t="shared" si="117"/>
        <v>3.9356980886724457E-2</v>
      </c>
      <c r="BE141" s="38">
        <f t="shared" si="118"/>
        <v>2.8484811920293396E-2</v>
      </c>
      <c r="BF141" s="38">
        <f t="shared" si="119"/>
        <v>2.1621358292065906E-2</v>
      </c>
      <c r="BG141" s="38">
        <f t="shared" si="120"/>
        <v>4.7383472658616199E-2</v>
      </c>
      <c r="BH141" s="38">
        <f t="shared" si="121"/>
        <v>1.6323227970675092E-2</v>
      </c>
      <c r="BI141" s="38">
        <f t="shared" si="122"/>
        <v>-4.2362341212758281E-3</v>
      </c>
      <c r="BJ141" s="38">
        <f t="shared" si="123"/>
        <v>1.0618249040225791E-2</v>
      </c>
      <c r="BK141" s="38">
        <f t="shared" si="124"/>
        <v>3.417732819216468E-2</v>
      </c>
      <c r="BL141" s="38">
        <f t="shared" si="125"/>
        <v>2.7461359298921906E-2</v>
      </c>
      <c r="BM141" s="38">
        <f t="shared" si="126"/>
        <v>3.1262876175841114E-2</v>
      </c>
      <c r="BN141" s="38">
        <f t="shared" si="127"/>
        <v>1.8292600976526074E-2</v>
      </c>
    </row>
    <row r="142" spans="1:192" x14ac:dyDescent="0.25">
      <c r="A142" s="7">
        <v>2010</v>
      </c>
      <c r="B142" s="8">
        <v>25387.772761930719</v>
      </c>
      <c r="C142" s="8">
        <v>24893.867391521693</v>
      </c>
      <c r="D142" s="8">
        <v>5432.5769324815474</v>
      </c>
      <c r="E142" s="8">
        <v>27663.179204445667</v>
      </c>
      <c r="F142" s="8">
        <v>22798.964278165826</v>
      </c>
      <c r="G142" s="8">
        <v>26516.559271456244</v>
      </c>
      <c r="H142" s="8">
        <v>22958.563741375641</v>
      </c>
      <c r="I142" s="8">
        <v>22492.674562888235</v>
      </c>
      <c r="J142" s="8">
        <v>19882.398312127596</v>
      </c>
      <c r="K142" s="8">
        <v>24286.761169777761</v>
      </c>
      <c r="L142" s="8">
        <v>26196.599877905588</v>
      </c>
      <c r="M142" s="8">
        <v>19617.464728176004</v>
      </c>
      <c r="N142" s="8">
        <v>29195.851280196657</v>
      </c>
      <c r="O142" s="8">
        <v>15340.712304136745</v>
      </c>
      <c r="P142" s="8">
        <v>19878.349664582256</v>
      </c>
      <c r="Q142" s="8">
        <v>4977.049419489791</v>
      </c>
      <c r="R142" s="8">
        <v>26896.065650785473</v>
      </c>
      <c r="S142" s="8">
        <v>26777.537398121291</v>
      </c>
      <c r="T142" s="8">
        <v>24654.468302509238</v>
      </c>
      <c r="U142" s="8">
        <v>32887.913414854615</v>
      </c>
      <c r="V142" s="8">
        <v>10616.687202009216</v>
      </c>
      <c r="X142" s="35">
        <f t="shared" si="86"/>
        <v>10.142022949776988</v>
      </c>
      <c r="Y142" s="35">
        <f t="shared" si="87"/>
        <v>10.122376762621439</v>
      </c>
      <c r="Z142" s="35">
        <f t="shared" si="88"/>
        <v>8.6001688735547557</v>
      </c>
      <c r="AA142" s="35">
        <f t="shared" si="89"/>
        <v>10.227857537313936</v>
      </c>
      <c r="AB142" s="35">
        <f t="shared" si="90"/>
        <v>10.034470387514487</v>
      </c>
      <c r="AC142" s="35">
        <f t="shared" si="91"/>
        <v>10.185524694987405</v>
      </c>
      <c r="AD142" s="35">
        <f t="shared" si="92"/>
        <v>10.041446293658735</v>
      </c>
      <c r="AE142" s="35">
        <f t="shared" si="93"/>
        <v>10.020944960198726</v>
      </c>
      <c r="AF142" s="35">
        <f t="shared" si="94"/>
        <v>9.8975901123772498</v>
      </c>
      <c r="AG142" s="35">
        <f t="shared" si="95"/>
        <v>10.097686673038854</v>
      </c>
      <c r="AH142" s="35">
        <f t="shared" si="96"/>
        <v>10.173384905675141</v>
      </c>
      <c r="AI142" s="35">
        <f t="shared" si="97"/>
        <v>9.8841755060224923</v>
      </c>
      <c r="AJ142" s="35">
        <f t="shared" si="98"/>
        <v>10.281781898716813</v>
      </c>
      <c r="AK142" s="35">
        <f t="shared" si="99"/>
        <v>9.6382655082719335</v>
      </c>
      <c r="AL142" s="35">
        <f t="shared" si="100"/>
        <v>9.8973864619045937</v>
      </c>
      <c r="AM142" s="35">
        <f t="shared" si="101"/>
        <v>8.5125925083832552</v>
      </c>
      <c r="AN142" s="35">
        <f t="shared" si="102"/>
        <v>10.199735296558025</v>
      </c>
      <c r="AO142" s="35">
        <f t="shared" si="103"/>
        <v>10.195318658262636</v>
      </c>
      <c r="AP142" s="35">
        <f t="shared" si="104"/>
        <v>10.112713432922108</v>
      </c>
      <c r="AQ142" s="35">
        <f t="shared" si="105"/>
        <v>10.400860495846647</v>
      </c>
      <c r="AR142" s="35">
        <f t="shared" si="106"/>
        <v>9.2701823065855145</v>
      </c>
      <c r="AS142" s="38"/>
      <c r="AT142" s="38">
        <f t="shared" si="107"/>
        <v>2.9787856444984939E-2</v>
      </c>
      <c r="AU142" s="38">
        <f t="shared" si="108"/>
        <v>3.1955390525748584E-2</v>
      </c>
      <c r="AV142" s="38">
        <f t="shared" si="109"/>
        <v>6.0399215820975627E-2</v>
      </c>
      <c r="AW142" s="38">
        <f t="shared" si="110"/>
        <v>2.8638364455826348E-2</v>
      </c>
      <c r="AX142" s="38">
        <f t="shared" si="111"/>
        <v>3.0155006008955709E-2</v>
      </c>
      <c r="AY142" s="38">
        <f t="shared" si="112"/>
        <v>5.2972069097268815E-2</v>
      </c>
      <c r="AZ142" s="38">
        <f t="shared" si="113"/>
        <v>1.3516676850882092E-2</v>
      </c>
      <c r="BA142" s="38">
        <f t="shared" si="114"/>
        <v>6.2329789960548609E-2</v>
      </c>
      <c r="BB142" s="38">
        <f t="shared" si="115"/>
        <v>1.1796010226849063E-2</v>
      </c>
      <c r="BC142" s="38">
        <f t="shared" si="116"/>
        <v>7.7076014686879191E-2</v>
      </c>
      <c r="BD142" s="38">
        <f t="shared" si="117"/>
        <v>1.9674295607764236E-2</v>
      </c>
      <c r="BE142" s="38">
        <f t="shared" si="118"/>
        <v>2.1915178851728001E-2</v>
      </c>
      <c r="BF142" s="38">
        <f t="shared" si="119"/>
        <v>2.516468879735001E-3</v>
      </c>
      <c r="BG142" s="38">
        <f t="shared" si="120"/>
        <v>1.340084432412425E-2</v>
      </c>
      <c r="BH142" s="38">
        <f t="shared" si="121"/>
        <v>-7.6281728832352513E-3</v>
      </c>
      <c r="BI142" s="38">
        <f t="shared" si="122"/>
        <v>2.0843174523395902E-2</v>
      </c>
      <c r="BJ142" s="38">
        <f t="shared" si="123"/>
        <v>8.6402627407194288E-2</v>
      </c>
      <c r="BK142" s="38">
        <f t="shared" si="124"/>
        <v>3.0350858764563782E-2</v>
      </c>
      <c r="BL142" s="38">
        <f t="shared" si="125"/>
        <v>1.0231368682799058E-2</v>
      </c>
      <c r="BM142" s="38">
        <f t="shared" si="126"/>
        <v>2.2138540290017161E-2</v>
      </c>
      <c r="BN142" s="38">
        <f t="shared" si="127"/>
        <v>5.2302747077506595E-2</v>
      </c>
    </row>
    <row r="143" spans="1:192" x14ac:dyDescent="0.25">
      <c r="A143" s="7">
        <v>2011</v>
      </c>
      <c r="B143" s="8">
        <v>26550.983106428415</v>
      </c>
      <c r="C143" s="8">
        <v>25642.570885385532</v>
      </c>
      <c r="D143" s="8">
        <v>5517.1974729878166</v>
      </c>
      <c r="E143" s="8">
        <v>28230.423381949986</v>
      </c>
      <c r="F143" s="8">
        <v>23143.459970655756</v>
      </c>
      <c r="G143" s="8">
        <v>27647.437444142597</v>
      </c>
      <c r="H143" s="8">
        <v>23347.226881102979</v>
      </c>
      <c r="I143" s="8">
        <v>23667.784698266725</v>
      </c>
      <c r="J143" s="8">
        <v>19911.271104906707</v>
      </c>
      <c r="K143" s="8">
        <v>24058.283239731456</v>
      </c>
      <c r="L143" s="8">
        <v>26441.753672393665</v>
      </c>
      <c r="M143" s="8">
        <v>19760.156806478681</v>
      </c>
      <c r="N143" s="8">
        <v>30005.997151295742</v>
      </c>
      <c r="O143" s="8">
        <v>14997.189364541438</v>
      </c>
      <c r="P143" s="8">
        <v>19922.029157740326</v>
      </c>
      <c r="Q143" s="8">
        <v>5089.8574899586993</v>
      </c>
      <c r="R143" s="8">
        <v>28556.581707168392</v>
      </c>
      <c r="S143" s="8">
        <v>27331.820305071116</v>
      </c>
      <c r="T143" s="8">
        <v>24689.009462806134</v>
      </c>
      <c r="U143" s="8">
        <v>33374.854939814642</v>
      </c>
      <c r="V143" s="8">
        <v>10990.511960689459</v>
      </c>
      <c r="X143" s="35">
        <f t="shared" si="86"/>
        <v>10.186822054475259</v>
      </c>
      <c r="Y143" s="35">
        <f t="shared" si="87"/>
        <v>10.15200917454883</v>
      </c>
      <c r="Z143" s="35">
        <f t="shared" si="88"/>
        <v>8.6156253061768666</v>
      </c>
      <c r="AA143" s="35">
        <f t="shared" si="89"/>
        <v>10.248155518724516</v>
      </c>
      <c r="AB143" s="35">
        <f t="shared" si="90"/>
        <v>10.049467512934717</v>
      </c>
      <c r="AC143" s="35">
        <f t="shared" si="91"/>
        <v>10.227288324324389</v>
      </c>
      <c r="AD143" s="35">
        <f t="shared" si="92"/>
        <v>10.058233492922218</v>
      </c>
      <c r="AE143" s="35">
        <f t="shared" si="93"/>
        <v>10.071870107011366</v>
      </c>
      <c r="AF143" s="35">
        <f t="shared" si="94"/>
        <v>9.8990412375571442</v>
      </c>
      <c r="AG143" s="35">
        <f t="shared" si="95"/>
        <v>10.088234633688282</v>
      </c>
      <c r="AH143" s="35">
        <f t="shared" si="96"/>
        <v>10.182699618256045</v>
      </c>
      <c r="AI143" s="35">
        <f t="shared" si="97"/>
        <v>9.8914229068209139</v>
      </c>
      <c r="AJ143" s="35">
        <f t="shared" si="98"/>
        <v>10.309152545709134</v>
      </c>
      <c r="AK143" s="35">
        <f t="shared" si="99"/>
        <v>9.6156180868300911</v>
      </c>
      <c r="AL143" s="35">
        <f t="shared" si="100"/>
        <v>9.8995813912990762</v>
      </c>
      <c r="AM143" s="35">
        <f t="shared" si="101"/>
        <v>8.5350051111091378</v>
      </c>
      <c r="AN143" s="35">
        <f t="shared" si="102"/>
        <v>10.259642721165969</v>
      </c>
      <c r="AO143" s="35">
        <f t="shared" si="103"/>
        <v>10.215806881353632</v>
      </c>
      <c r="AP143" s="35">
        <f t="shared" si="104"/>
        <v>10.114113462571543</v>
      </c>
      <c r="AQ143" s="35">
        <f t="shared" si="105"/>
        <v>10.415558049320509</v>
      </c>
      <c r="AR143" s="35">
        <f t="shared" si="106"/>
        <v>9.3047876305428154</v>
      </c>
      <c r="AS143" s="38"/>
      <c r="AT143" s="38">
        <f t="shared" si="107"/>
        <v>4.4799104698270753E-2</v>
      </c>
      <c r="AU143" s="38">
        <f t="shared" si="108"/>
        <v>2.9632411927391189E-2</v>
      </c>
      <c r="AV143" s="38">
        <f t="shared" si="109"/>
        <v>1.5456432622110938E-2</v>
      </c>
      <c r="AW143" s="38">
        <f t="shared" si="110"/>
        <v>2.029798141058059E-2</v>
      </c>
      <c r="AX143" s="38">
        <f t="shared" si="111"/>
        <v>1.4997125420229906E-2</v>
      </c>
      <c r="AY143" s="38">
        <f t="shared" si="112"/>
        <v>4.1763629336983854E-2</v>
      </c>
      <c r="AZ143" s="38">
        <f t="shared" si="113"/>
        <v>1.6787199263482933E-2</v>
      </c>
      <c r="BA143" s="38">
        <f t="shared" si="114"/>
        <v>5.092514681263971E-2</v>
      </c>
      <c r="BB143" s="38">
        <f t="shared" si="115"/>
        <v>1.4511251798943192E-3</v>
      </c>
      <c r="BC143" s="38">
        <f t="shared" si="116"/>
        <v>-9.4520393505721501E-3</v>
      </c>
      <c r="BD143" s="38">
        <f t="shared" si="117"/>
        <v>9.3147125809043274E-3</v>
      </c>
      <c r="BE143" s="38">
        <f t="shared" si="118"/>
        <v>7.247400798421566E-3</v>
      </c>
      <c r="BF143" s="38">
        <f t="shared" si="119"/>
        <v>2.7370646992320502E-2</v>
      </c>
      <c r="BG143" s="38">
        <f t="shared" si="120"/>
        <v>-2.2647421441842397E-2</v>
      </c>
      <c r="BH143" s="38">
        <f t="shared" si="121"/>
        <v>2.1949293944825143E-3</v>
      </c>
      <c r="BI143" s="38">
        <f t="shared" si="122"/>
        <v>2.2412602725882635E-2</v>
      </c>
      <c r="BJ143" s="38">
        <f t="shared" si="123"/>
        <v>5.9907424607944293E-2</v>
      </c>
      <c r="BK143" s="38">
        <f t="shared" si="124"/>
        <v>2.0488223090996627E-2</v>
      </c>
      <c r="BL143" s="38">
        <f t="shared" si="125"/>
        <v>1.4000296494351971E-3</v>
      </c>
      <c r="BM143" s="38">
        <f t="shared" si="126"/>
        <v>1.4697553473862257E-2</v>
      </c>
      <c r="BN143" s="38">
        <f t="shared" si="127"/>
        <v>3.4605323957300982E-2</v>
      </c>
    </row>
    <row r="144" spans="1:192" x14ac:dyDescent="0.25">
      <c r="A144" s="7">
        <v>2012</v>
      </c>
      <c r="B144" s="8">
        <v>26779.163128796674</v>
      </c>
      <c r="C144" s="8">
        <v>25663.672806238967</v>
      </c>
      <c r="D144" s="8">
        <v>5537.6963115132467</v>
      </c>
      <c r="E144" s="8">
        <v>28670.788903169559</v>
      </c>
      <c r="F144" s="8">
        <v>23277.347395951896</v>
      </c>
      <c r="G144" s="8">
        <v>27618.735833101891</v>
      </c>
      <c r="H144" s="8">
        <v>23172.1180551902</v>
      </c>
      <c r="I144" s="8">
        <v>23996.030470626669</v>
      </c>
      <c r="J144" s="8">
        <v>19139.160453378572</v>
      </c>
      <c r="K144" s="8">
        <v>24822.819492095252</v>
      </c>
      <c r="L144" s="8">
        <v>25966.643612309905</v>
      </c>
      <c r="M144" s="8">
        <v>20206.978443126925</v>
      </c>
      <c r="N144" s="8">
        <v>32041.691769808574</v>
      </c>
      <c r="O144" s="8">
        <v>14358.358494516062</v>
      </c>
      <c r="P144" s="8">
        <v>19319.072614068678</v>
      </c>
      <c r="Q144" s="8">
        <v>5199.9016394224072</v>
      </c>
      <c r="R144" s="8">
        <v>29002.288117749544</v>
      </c>
      <c r="S144" s="8">
        <v>27637.824316637278</v>
      </c>
      <c r="T144" s="8">
        <v>24522.492447606783</v>
      </c>
      <c r="U144" s="8">
        <v>34282.654920166227</v>
      </c>
      <c r="V144" s="8">
        <v>11267.323857955334</v>
      </c>
      <c r="X144" s="35">
        <f t="shared" si="86"/>
        <v>10.195379368898649</v>
      </c>
      <c r="Y144" s="35">
        <f t="shared" si="87"/>
        <v>10.152831761451514</v>
      </c>
      <c r="Z144" s="35">
        <f t="shared" si="88"/>
        <v>8.6193338650140827</v>
      </c>
      <c r="AA144" s="35">
        <f t="shared" si="89"/>
        <v>10.263634075177233</v>
      </c>
      <c r="AB144" s="35">
        <f t="shared" si="90"/>
        <v>10.055235951880467</v>
      </c>
      <c r="AC144" s="35">
        <f t="shared" si="91"/>
        <v>10.226249655933977</v>
      </c>
      <c r="AD144" s="35">
        <f t="shared" si="92"/>
        <v>10.050705026938139</v>
      </c>
      <c r="AE144" s="35">
        <f t="shared" si="93"/>
        <v>10.085643698593259</v>
      </c>
      <c r="AF144" s="35">
        <f t="shared" si="94"/>
        <v>9.8594918005850705</v>
      </c>
      <c r="AG144" s="35">
        <f t="shared" si="95"/>
        <v>10.119518649893314</v>
      </c>
      <c r="AH144" s="35">
        <f t="shared" si="96"/>
        <v>10.164568055346045</v>
      </c>
      <c r="AI144" s="35">
        <f t="shared" si="97"/>
        <v>9.9137832912106774</v>
      </c>
      <c r="AJ144" s="35">
        <f t="shared" si="98"/>
        <v>10.374793201592592</v>
      </c>
      <c r="AK144" s="35">
        <f t="shared" si="99"/>
        <v>9.5720875251013702</v>
      </c>
      <c r="AL144" s="35">
        <f t="shared" si="100"/>
        <v>9.8688481052722068</v>
      </c>
      <c r="AM144" s="35">
        <f t="shared" si="101"/>
        <v>8.5563949888949278</v>
      </c>
      <c r="AN144" s="35">
        <f t="shared" si="102"/>
        <v>10.275130006468174</v>
      </c>
      <c r="AO144" s="35">
        <f t="shared" si="103"/>
        <v>10.226940559755821</v>
      </c>
      <c r="AP144" s="35">
        <f t="shared" si="104"/>
        <v>10.107346034460313</v>
      </c>
      <c r="AQ144" s="35">
        <f t="shared" si="105"/>
        <v>10.442394817792296</v>
      </c>
      <c r="AR144" s="35">
        <f t="shared" si="106"/>
        <v>9.329662121689589</v>
      </c>
      <c r="AS144" s="38"/>
      <c r="AT144" s="38">
        <f t="shared" si="107"/>
        <v>8.5573144233901388E-3</v>
      </c>
      <c r="AU144" s="38">
        <f t="shared" si="108"/>
        <v>8.2258690268410817E-4</v>
      </c>
      <c r="AV144" s="38">
        <f t="shared" si="109"/>
        <v>3.7085588372161027E-3</v>
      </c>
      <c r="AW144" s="38">
        <f t="shared" si="110"/>
        <v>1.5478556452716674E-2</v>
      </c>
      <c r="AX144" s="38">
        <f t="shared" si="111"/>
        <v>5.7684389457506313E-3</v>
      </c>
      <c r="AY144" s="38">
        <f t="shared" si="112"/>
        <v>-1.038668390412667E-3</v>
      </c>
      <c r="AZ144" s="38">
        <f t="shared" si="113"/>
        <v>-7.5284659840786361E-3</v>
      </c>
      <c r="BA144" s="38">
        <f t="shared" si="114"/>
        <v>1.3773591581893285E-2</v>
      </c>
      <c r="BB144" s="38">
        <f t="shared" si="115"/>
        <v>-3.9549436972073693E-2</v>
      </c>
      <c r="BC144" s="38">
        <f t="shared" si="116"/>
        <v>3.1284016205031406E-2</v>
      </c>
      <c r="BD144" s="38">
        <f t="shared" si="117"/>
        <v>-1.8131562909999843E-2</v>
      </c>
      <c r="BE144" s="38">
        <f t="shared" si="118"/>
        <v>2.236038438976351E-2</v>
      </c>
      <c r="BF144" s="38">
        <f t="shared" si="119"/>
        <v>6.564065588345791E-2</v>
      </c>
      <c r="BG144" s="38">
        <f t="shared" si="120"/>
        <v>-4.353056172872094E-2</v>
      </c>
      <c r="BH144" s="38">
        <f t="shared" si="121"/>
        <v>-3.0733286026869422E-2</v>
      </c>
      <c r="BI144" s="38">
        <f t="shared" si="122"/>
        <v>2.1389877785789935E-2</v>
      </c>
      <c r="BJ144" s="38">
        <f t="shared" si="123"/>
        <v>1.5487285302205223E-2</v>
      </c>
      <c r="BK144" s="38">
        <f t="shared" si="124"/>
        <v>1.1133678402188707E-2</v>
      </c>
      <c r="BL144" s="38">
        <f t="shared" si="125"/>
        <v>-6.7674281112299894E-3</v>
      </c>
      <c r="BM144" s="38">
        <f t="shared" si="126"/>
        <v>2.6836768471786954E-2</v>
      </c>
      <c r="BN144" s="38">
        <f t="shared" si="127"/>
        <v>2.4874491146773536E-2</v>
      </c>
    </row>
    <row r="145" spans="1:66" x14ac:dyDescent="0.25">
      <c r="A145" s="7">
        <v>2013</v>
      </c>
      <c r="B145" s="8">
        <v>27001.736285242354</v>
      </c>
      <c r="C145" s="8">
        <v>25531.529692071927</v>
      </c>
      <c r="D145" s="8">
        <v>5625.747786141178</v>
      </c>
      <c r="E145" s="8">
        <v>29004.920266371788</v>
      </c>
      <c r="F145" s="8">
        <v>23069.954888777509</v>
      </c>
      <c r="G145" s="8">
        <v>27321.314757448832</v>
      </c>
      <c r="H145" s="8">
        <v>22835.808139584151</v>
      </c>
      <c r="I145" s="8">
        <v>24218.992254268211</v>
      </c>
      <c r="J145" s="8">
        <v>18507.524510706513</v>
      </c>
      <c r="K145" s="8">
        <v>25408.941946428116</v>
      </c>
      <c r="L145" s="8">
        <v>24539.200224606466</v>
      </c>
      <c r="M145" s="8">
        <v>20700.518559377175</v>
      </c>
      <c r="N145" s="8">
        <v>32361.957079044922</v>
      </c>
      <c r="O145" s="8">
        <v>14012.174128784758</v>
      </c>
      <c r="P145" s="8">
        <v>18695.805641707608</v>
      </c>
      <c r="Q145" s="8">
        <v>5300.4199134605888</v>
      </c>
      <c r="R145" s="8">
        <v>29596.740350485794</v>
      </c>
      <c r="S145" s="8">
        <v>28010.974027271979</v>
      </c>
      <c r="T145" s="8">
        <v>24724.103501833204</v>
      </c>
      <c r="U145" s="8">
        <v>34633.306132049249</v>
      </c>
      <c r="V145" s="8">
        <v>11521.628700591982</v>
      </c>
      <c r="X145" s="35">
        <f t="shared" si="86"/>
        <v>10.203656449779697</v>
      </c>
      <c r="Y145" s="35">
        <f t="shared" si="87"/>
        <v>10.147669425873843</v>
      </c>
      <c r="Z145" s="35">
        <f t="shared" si="88"/>
        <v>8.6351091579953465</v>
      </c>
      <c r="AA145" s="35">
        <f t="shared" si="89"/>
        <v>10.275220758934889</v>
      </c>
      <c r="AB145" s="35">
        <f t="shared" si="90"/>
        <v>10.046286395759624</v>
      </c>
      <c r="AC145" s="35">
        <f t="shared" si="91"/>
        <v>10.215422436884356</v>
      </c>
      <c r="AD145" s="35">
        <f t="shared" si="92"/>
        <v>10.036085115384122</v>
      </c>
      <c r="AE145" s="35">
        <f t="shared" si="93"/>
        <v>10.094892408242611</v>
      </c>
      <c r="AF145" s="35">
        <f t="shared" si="94"/>
        <v>9.8259326586825253</v>
      </c>
      <c r="AG145" s="35">
        <f t="shared" si="95"/>
        <v>10.142856436188245</v>
      </c>
      <c r="AH145" s="35">
        <f t="shared" si="96"/>
        <v>10.108027127049482</v>
      </c>
      <c r="AI145" s="35">
        <f t="shared" si="97"/>
        <v>9.9379140301173265</v>
      </c>
      <c r="AJ145" s="35">
        <f t="shared" si="98"/>
        <v>10.384738847682529</v>
      </c>
      <c r="AK145" s="35">
        <f t="shared" si="99"/>
        <v>9.5476818113586859</v>
      </c>
      <c r="AL145" s="35">
        <f t="shared" si="100"/>
        <v>9.8360544804494037</v>
      </c>
      <c r="AM145" s="35">
        <f t="shared" si="101"/>
        <v>8.5755413253565926</v>
      </c>
      <c r="AN145" s="35">
        <f t="shared" si="102"/>
        <v>10.295419510953737</v>
      </c>
      <c r="AO145" s="35">
        <f t="shared" si="103"/>
        <v>10.240351641918446</v>
      </c>
      <c r="AP145" s="35">
        <f t="shared" si="104"/>
        <v>10.11553389706037</v>
      </c>
      <c r="AQ145" s="35">
        <f t="shared" si="105"/>
        <v>10.452571103011275</v>
      </c>
      <c r="AR145" s="35">
        <f t="shared" si="106"/>
        <v>9.3519813045163556</v>
      </c>
      <c r="AS145" s="38"/>
      <c r="AT145" s="38">
        <f t="shared" si="107"/>
        <v>8.2770808810472829E-3</v>
      </c>
      <c r="AU145" s="38">
        <f t="shared" si="108"/>
        <v>-5.1623355776708735E-3</v>
      </c>
      <c r="AV145" s="38">
        <f t="shared" si="109"/>
        <v>1.5775292981263789E-2</v>
      </c>
      <c r="AW145" s="38">
        <f t="shared" si="110"/>
        <v>1.1586683757656147E-2</v>
      </c>
      <c r="AX145" s="38">
        <f t="shared" si="111"/>
        <v>-8.9495561208430274E-3</v>
      </c>
      <c r="AY145" s="38">
        <f t="shared" si="112"/>
        <v>-1.082721904962014E-2</v>
      </c>
      <c r="AZ145" s="38">
        <f t="shared" si="113"/>
        <v>-1.4619911554017762E-2</v>
      </c>
      <c r="BA145" s="38">
        <f t="shared" si="114"/>
        <v>9.2487096493520937E-3</v>
      </c>
      <c r="BB145" s="38">
        <f t="shared" si="115"/>
        <v>-3.3559141902545164E-2</v>
      </c>
      <c r="BC145" s="38">
        <f t="shared" si="116"/>
        <v>2.3337786294931107E-2</v>
      </c>
      <c r="BD145" s="38">
        <f t="shared" si="117"/>
        <v>-5.6540928296563209E-2</v>
      </c>
      <c r="BE145" s="38">
        <f t="shared" si="118"/>
        <v>2.4130738906649185E-2</v>
      </c>
      <c r="BF145" s="38">
        <f t="shared" si="119"/>
        <v>9.945646089937199E-3</v>
      </c>
      <c r="BG145" s="38">
        <f t="shared" si="120"/>
        <v>-2.4405713742684298E-2</v>
      </c>
      <c r="BH145" s="38">
        <f t="shared" si="121"/>
        <v>-3.2793624822803125E-2</v>
      </c>
      <c r="BI145" s="38">
        <f t="shared" si="122"/>
        <v>1.9146336461664859E-2</v>
      </c>
      <c r="BJ145" s="38">
        <f t="shared" si="123"/>
        <v>2.0289504485562659E-2</v>
      </c>
      <c r="BK145" s="38">
        <f t="shared" si="124"/>
        <v>1.3411082162624766E-2</v>
      </c>
      <c r="BL145" s="38">
        <f t="shared" si="125"/>
        <v>8.1878626000566612E-3</v>
      </c>
      <c r="BM145" s="38">
        <f t="shared" si="126"/>
        <v>1.017628521897862E-2</v>
      </c>
      <c r="BN145" s="38">
        <f t="shared" si="127"/>
        <v>2.2319182826766593E-2</v>
      </c>
    </row>
    <row r="147" spans="1:66" x14ac:dyDescent="0.25">
      <c r="B147" s="8">
        <f>AVERAGE(B2:B145)</f>
        <v>7807.9151599357238</v>
      </c>
      <c r="C147" s="8">
        <f t="shared" ref="C147:V147" si="128">AVERAGE(C2:C145)</f>
        <v>8595.2841601926266</v>
      </c>
      <c r="D147" s="8">
        <f t="shared" si="128"/>
        <v>2357.9498019889161</v>
      </c>
      <c r="E147" s="8">
        <f t="shared" si="128"/>
        <v>9318.6934969954946</v>
      </c>
      <c r="F147" s="8">
        <f t="shared" si="128"/>
        <v>9134.3454898704367</v>
      </c>
      <c r="G147" s="8">
        <f t="shared" si="128"/>
        <v>7217.4406038621119</v>
      </c>
      <c r="H147" s="8">
        <f t="shared" si="128"/>
        <v>8175.490115495656</v>
      </c>
      <c r="I147" s="8">
        <f t="shared" si="128"/>
        <v>7865.1050839932723</v>
      </c>
      <c r="J147" s="8">
        <f t="shared" si="128"/>
        <v>6946.1633194415954</v>
      </c>
      <c r="K147" s="8">
        <f t="shared" si="128"/>
        <v>6847.0300338359011</v>
      </c>
      <c r="L147" s="8">
        <f t="shared" si="128"/>
        <v>8953.9329814161829</v>
      </c>
      <c r="M147" s="8">
        <f t="shared" si="128"/>
        <v>8574.0366963805227</v>
      </c>
      <c r="N147" s="8">
        <f t="shared" si="128"/>
        <v>8653.4156467800676</v>
      </c>
      <c r="O147" s="8">
        <f t="shared" si="128"/>
        <v>4466.4872448255455</v>
      </c>
      <c r="P147" s="8">
        <f t="shared" si="128"/>
        <v>5524.7210513191058</v>
      </c>
      <c r="Q147" s="8">
        <f t="shared" si="128"/>
        <v>1675.8383147781171</v>
      </c>
      <c r="R147" s="8">
        <f t="shared" si="128"/>
        <v>8663.5611963976007</v>
      </c>
      <c r="S147" s="8">
        <f t="shared" si="128"/>
        <v>10604.118776253847</v>
      </c>
      <c r="T147" s="8">
        <f t="shared" si="128"/>
        <v>9133.1933092699728</v>
      </c>
      <c r="U147" s="8">
        <f t="shared" si="128"/>
        <v>11816.690594967713</v>
      </c>
      <c r="V147" s="8">
        <f t="shared" si="128"/>
        <v>4498.866116841542</v>
      </c>
      <c r="X147" s="8">
        <f>AVERAGE(X2:X145)</f>
        <v>8.5830029638928895</v>
      </c>
      <c r="Y147" s="8">
        <f t="shared" ref="Y147:AR147" si="129">AVERAGE(Y2:Y145)</f>
        <v>8.795769290217315</v>
      </c>
      <c r="Z147" s="8">
        <f t="shared" si="129"/>
        <v>7.4429521755637102</v>
      </c>
      <c r="AA147" s="8">
        <f t="shared" si="129"/>
        <v>8.787426094362246</v>
      </c>
      <c r="AB147" s="8">
        <f t="shared" si="129"/>
        <v>8.7983886651918297</v>
      </c>
      <c r="AC147" s="8">
        <f t="shared" si="129"/>
        <v>8.3669188585897025</v>
      </c>
      <c r="AD147" s="8">
        <f t="shared" si="129"/>
        <v>8.6646164241412507</v>
      </c>
      <c r="AE147" s="8">
        <f t="shared" si="129"/>
        <v>8.6405375252623813</v>
      </c>
      <c r="AF147" s="8">
        <f t="shared" si="129"/>
        <v>8.4259991950233246</v>
      </c>
      <c r="AG147" s="8">
        <f t="shared" si="129"/>
        <v>8.1347436903078307</v>
      </c>
      <c r="AH147" s="8">
        <f t="shared" si="129"/>
        <v>8.8259290601957545</v>
      </c>
      <c r="AI147" s="8">
        <f t="shared" si="129"/>
        <v>8.8998910816636467</v>
      </c>
      <c r="AJ147" s="8">
        <f t="shared" si="129"/>
        <v>8.5600570245696304</v>
      </c>
      <c r="AK147" s="8">
        <f t="shared" si="129"/>
        <v>7.9179702806869603</v>
      </c>
      <c r="AL147" s="8">
        <f t="shared" si="129"/>
        <v>8.206301968313138</v>
      </c>
      <c r="AM147" s="8">
        <f t="shared" si="129"/>
        <v>7.2869258878384153</v>
      </c>
      <c r="AN147" s="8">
        <f t="shared" si="129"/>
        <v>8.6564244745229448</v>
      </c>
      <c r="AO147" s="8">
        <f t="shared" si="129"/>
        <v>8.9673184064651128</v>
      </c>
      <c r="AP147" s="8">
        <f t="shared" si="129"/>
        <v>8.922345713850703</v>
      </c>
      <c r="AQ147" s="8">
        <f t="shared" si="129"/>
        <v>9.0743701336353837</v>
      </c>
      <c r="AR147" s="8">
        <f t="shared" si="129"/>
        <v>8.3023868482913645</v>
      </c>
    </row>
    <row r="148" spans="1:66" x14ac:dyDescent="0.25">
      <c r="B148" s="46">
        <f>LOG(B147)</f>
        <v>3.8925350856816965</v>
      </c>
      <c r="C148" s="46">
        <f t="shared" ref="C148:V148" si="130">LOG(C147)</f>
        <v>3.9342602390409489</v>
      </c>
      <c r="D148" s="46">
        <f t="shared" si="130"/>
        <v>3.372534555232662</v>
      </c>
      <c r="E148" s="46">
        <f t="shared" si="130"/>
        <v>3.9693550275021039</v>
      </c>
      <c r="F148" s="46">
        <f t="shared" si="130"/>
        <v>3.9606774339741428</v>
      </c>
      <c r="G148" s="46">
        <f t="shared" si="130"/>
        <v>3.8583832185283629</v>
      </c>
      <c r="H148" s="46">
        <f t="shared" si="130"/>
        <v>3.9125137977940834</v>
      </c>
      <c r="I148" s="46">
        <f t="shared" si="130"/>
        <v>3.8957045295141102</v>
      </c>
      <c r="J148" s="46">
        <f t="shared" si="130"/>
        <v>3.8417449903047785</v>
      </c>
      <c r="K148" s="46">
        <f t="shared" si="130"/>
        <v>3.8355022328622939</v>
      </c>
      <c r="L148" s="46">
        <f t="shared" si="130"/>
        <v>3.9520138394432203</v>
      </c>
      <c r="M148" s="46">
        <f t="shared" si="130"/>
        <v>3.9331853379338235</v>
      </c>
      <c r="N148" s="46">
        <f t="shared" si="130"/>
        <v>3.9371875645456891</v>
      </c>
      <c r="O148" s="46">
        <f t="shared" si="130"/>
        <v>3.649966098089787</v>
      </c>
      <c r="P148" s="46">
        <f t="shared" si="130"/>
        <v>3.7423103549487893</v>
      </c>
      <c r="Q148" s="46">
        <f t="shared" si="130"/>
        <v>3.2242321154953726</v>
      </c>
      <c r="R148" s="46">
        <f t="shared" si="130"/>
        <v>3.9376964474481504</v>
      </c>
      <c r="S148" s="46">
        <f t="shared" si="130"/>
        <v>4.0254745836011097</v>
      </c>
      <c r="T148" s="46">
        <f t="shared" si="130"/>
        <v>3.9606226498367607</v>
      </c>
      <c r="U148" s="46">
        <f t="shared" si="130"/>
        <v>4.0724958642283582</v>
      </c>
      <c r="V148" s="46">
        <f t="shared" si="130"/>
        <v>3.6531030690530746</v>
      </c>
    </row>
  </sheetData>
  <phoneticPr fontId="2" type="noConversion"/>
  <pageMargins left="0.55118110236220474" right="0.51181102362204722" top="0.51181102362204722" bottom="0.51181102362204722" header="0.51181102362204722" footer="0.51181102362204722"/>
  <pageSetup scale="62" orientation="portrait" r:id="rId1"/>
  <headerFooter alignWithMargins="0"/>
  <rowBreaks count="2" manualBreakCount="2">
    <brk id="5" max="16383" man="1"/>
    <brk id="76" max="16383" man="1"/>
  </rowBreaks>
  <colBreaks count="6" manualBreakCount="6">
    <brk id="22" max="1048575" man="1"/>
    <brk id="34" max="1048575" man="1"/>
    <brk id="56" max="1048575" man="1"/>
    <brk id="67" max="1048575" man="1"/>
    <brk id="94" max="1048575" man="1"/>
    <brk id="1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C1F8-11E0-4335-B646-55F36FD232F1}">
  <dimension ref="A1:V145"/>
  <sheetViews>
    <sheetView tabSelected="1" workbookViewId="0">
      <selection activeCell="M12" sqref="M12"/>
    </sheetView>
  </sheetViews>
  <sheetFormatPr defaultRowHeight="12.75" x14ac:dyDescent="0.2"/>
  <cols>
    <col min="1" max="1" width="11.140625" customWidth="1"/>
    <col min="12" max="12" width="12.5703125" customWidth="1"/>
    <col min="13" max="13" width="10.85546875" customWidth="1"/>
    <col min="19" max="19" width="13.140625" customWidth="1"/>
  </cols>
  <sheetData>
    <row r="1" spans="1:22" ht="31.5" x14ac:dyDescent="0.25">
      <c r="A1" s="1" t="s">
        <v>21</v>
      </c>
      <c r="B1" s="2" t="s">
        <v>4</v>
      </c>
      <c r="C1" s="2" t="s">
        <v>5</v>
      </c>
      <c r="D1" s="2" t="s">
        <v>15</v>
      </c>
      <c r="E1" s="2" t="s">
        <v>2</v>
      </c>
      <c r="F1" s="2" t="s">
        <v>6</v>
      </c>
      <c r="G1" s="2" t="s">
        <v>7</v>
      </c>
      <c r="H1" s="2" t="s">
        <v>0</v>
      </c>
      <c r="I1" s="2" t="s">
        <v>8</v>
      </c>
      <c r="J1" s="2" t="s">
        <v>9</v>
      </c>
      <c r="K1" s="2" t="s">
        <v>16</v>
      </c>
      <c r="L1" s="2" t="s">
        <v>10</v>
      </c>
      <c r="M1" s="2" t="s">
        <v>20</v>
      </c>
      <c r="N1" s="2" t="s">
        <v>11</v>
      </c>
      <c r="O1" s="2" t="s">
        <v>1</v>
      </c>
      <c r="P1" s="2" t="s">
        <v>14</v>
      </c>
      <c r="Q1" s="2" t="s">
        <v>22</v>
      </c>
      <c r="R1" s="2" t="s">
        <v>12</v>
      </c>
      <c r="S1" s="2" t="s">
        <v>13</v>
      </c>
      <c r="T1" s="2" t="s">
        <v>18</v>
      </c>
      <c r="U1" s="2" t="s">
        <v>19</v>
      </c>
      <c r="V1" s="2" t="s">
        <v>23</v>
      </c>
    </row>
    <row r="2" spans="1:22" ht="15.75" x14ac:dyDescent="0.25">
      <c r="A2" s="31">
        <v>1870</v>
      </c>
      <c r="B2" s="32">
        <v>1862.5904867256638</v>
      </c>
      <c r="C2" s="32">
        <v>2691.5227629513347</v>
      </c>
      <c r="D2" s="32">
        <v>712.97335919158922</v>
      </c>
      <c r="E2" s="32">
        <v>1694.5252578682901</v>
      </c>
      <c r="F2" s="32">
        <v>2003.1779661016951</v>
      </c>
      <c r="G2" s="32">
        <v>1139.6807297605474</v>
      </c>
      <c r="H2" s="32">
        <v>1875.6506503642038</v>
      </c>
      <c r="I2" s="32">
        <v>1839.0795034539012</v>
      </c>
      <c r="J2" s="32">
        <v>1499.3545611015491</v>
      </c>
      <c r="K2" s="32">
        <v>737.37549728489705</v>
      </c>
      <c r="L2" s="32">
        <v>2756.786703601108</v>
      </c>
      <c r="M2" s="32">
        <v>3099.6563573883163</v>
      </c>
      <c r="N2" s="32">
        <v>1360.1435315023057</v>
      </c>
      <c r="O2" s="32">
        <v>975.0404437254449</v>
      </c>
      <c r="P2" s="32">
        <v>1207.0859823467688</v>
      </c>
      <c r="Q2" s="32">
        <v>851.39985642498209</v>
      </c>
      <c r="R2" s="32">
        <v>1359.0297790585973</v>
      </c>
      <c r="S2" s="32">
        <v>2102.0715630885124</v>
      </c>
      <c r="T2" s="32">
        <v>3190.4340127388537</v>
      </c>
      <c r="U2" s="32">
        <v>2444.6436654277486</v>
      </c>
      <c r="V2" s="32">
        <v>2180.7580174927111</v>
      </c>
    </row>
    <row r="3" spans="1:22" ht="15.75" x14ac:dyDescent="0.25">
      <c r="A3" s="7">
        <v>1871</v>
      </c>
      <c r="B3" s="8">
        <v>1979.0957913195969</v>
      </c>
      <c r="C3" s="8">
        <v>2682.4648627603656</v>
      </c>
      <c r="D3" s="8">
        <v>716.83366733466937</v>
      </c>
      <c r="E3" s="8">
        <v>1754.5267034990795</v>
      </c>
      <c r="F3" s="8">
        <v>1993.037309511298</v>
      </c>
      <c r="G3" s="8">
        <v>1126.8393057110864</v>
      </c>
      <c r="H3" s="8">
        <v>1899.4074898624476</v>
      </c>
      <c r="I3" s="8">
        <v>1816.5618410381182</v>
      </c>
      <c r="J3" s="8">
        <v>1506.3356528852128</v>
      </c>
      <c r="K3" s="8">
        <v>742.00531055183558</v>
      </c>
      <c r="L3" s="8">
        <v>2734.3234323432343</v>
      </c>
      <c r="M3" s="8">
        <v>3154.9901960784314</v>
      </c>
      <c r="N3" s="8">
        <v>1376.0883423777652</v>
      </c>
      <c r="O3" s="8">
        <v>932.91982540776473</v>
      </c>
      <c r="P3" s="8">
        <v>1298.0686431295362</v>
      </c>
      <c r="Q3" s="8">
        <v>826.95035460992904</v>
      </c>
      <c r="R3" s="8">
        <v>1406.1156235069279</v>
      </c>
      <c r="S3" s="8">
        <v>2225.373134328358</v>
      </c>
      <c r="T3" s="8">
        <v>3331.8750197254221</v>
      </c>
      <c r="U3" s="8">
        <v>2502.846853861502</v>
      </c>
      <c r="V3" s="8">
        <v>2177.9661016949153</v>
      </c>
    </row>
    <row r="4" spans="1:22" ht="15.75" x14ac:dyDescent="0.25">
      <c r="A4" s="7">
        <v>1872</v>
      </c>
      <c r="B4" s="8">
        <v>1976.3223284100782</v>
      </c>
      <c r="C4" s="8">
        <v>2823.6469679412903</v>
      </c>
      <c r="D4" s="8">
        <v>720.66489623291045</v>
      </c>
      <c r="E4" s="8">
        <v>1705.1999999999996</v>
      </c>
      <c r="F4" s="8">
        <v>2086.9708029197081</v>
      </c>
      <c r="G4" s="8">
        <v>1145.0324354040683</v>
      </c>
      <c r="H4" s="8">
        <v>2078.4266567584068</v>
      </c>
      <c r="I4" s="8">
        <v>1931.375777884155</v>
      </c>
      <c r="J4" s="8">
        <v>1475.1321845171008</v>
      </c>
      <c r="K4" s="8">
        <v>746.00533578129034</v>
      </c>
      <c r="L4" s="8">
        <v>2770.6171490988531</v>
      </c>
      <c r="M4" s="8">
        <v>3522.796875</v>
      </c>
      <c r="N4" s="8">
        <v>1457.3647632904274</v>
      </c>
      <c r="O4" s="8">
        <v>954.32747202557664</v>
      </c>
      <c r="P4" s="8">
        <v>1473.1228930432119</v>
      </c>
      <c r="Q4" s="8">
        <v>784.65869106263199</v>
      </c>
      <c r="R4" s="8">
        <v>1444.9964513839602</v>
      </c>
      <c r="S4" s="8">
        <v>2107.5268817204301</v>
      </c>
      <c r="T4" s="8">
        <v>3319.1654012674912</v>
      </c>
      <c r="U4" s="8">
        <v>2540.9388646288212</v>
      </c>
      <c r="V4" s="8">
        <v>2631.868131868132</v>
      </c>
    </row>
    <row r="5" spans="1:22" ht="15.75" x14ac:dyDescent="0.25">
      <c r="A5" s="7">
        <v>1873</v>
      </c>
      <c r="B5" s="8">
        <v>1913.0281962978909</v>
      </c>
      <c r="C5" s="8">
        <v>2820.0584403142366</v>
      </c>
      <c r="D5" s="8">
        <v>724.46418227457048</v>
      </c>
      <c r="E5" s="8">
        <v>1841.8787725082427</v>
      </c>
      <c r="F5" s="8">
        <v>2056.5736434108526</v>
      </c>
      <c r="G5" s="8">
        <v>1193.3974011911205</v>
      </c>
      <c r="H5" s="8">
        <v>1922.0961279594583</v>
      </c>
      <c r="I5" s="8">
        <v>1998.6726641177502</v>
      </c>
      <c r="J5" s="8">
        <v>1524.4356006058065</v>
      </c>
      <c r="K5" s="8">
        <v>751.01226119190187</v>
      </c>
      <c r="L5" s="8">
        <v>2853.4059945504086</v>
      </c>
      <c r="M5" s="8">
        <v>3830.9910447761199</v>
      </c>
      <c r="N5" s="8">
        <v>1481.6110639927563</v>
      </c>
      <c r="O5" s="8">
        <v>988.19523269012484</v>
      </c>
      <c r="P5" s="8">
        <v>1597.6056682140238</v>
      </c>
      <c r="Q5" s="8">
        <v>788.33391547327983</v>
      </c>
      <c r="R5" s="8">
        <v>1451.0996724379972</v>
      </c>
      <c r="S5" s="8">
        <v>2152.4861878453039</v>
      </c>
      <c r="T5" s="8">
        <v>3364.6976411722662</v>
      </c>
      <c r="U5" s="8">
        <v>2604.2525594107565</v>
      </c>
      <c r="V5" s="8">
        <v>2601.0638297872338</v>
      </c>
    </row>
    <row r="6" spans="1:22" ht="15.75" x14ac:dyDescent="0.25">
      <c r="A6" s="7">
        <v>1874</v>
      </c>
      <c r="B6" s="8">
        <v>1980.929180887372</v>
      </c>
      <c r="C6" s="8">
        <v>2889.7719064816574</v>
      </c>
      <c r="D6" s="8">
        <v>728.39272175890824</v>
      </c>
      <c r="E6" s="8">
        <v>1853.715852442672</v>
      </c>
      <c r="F6" s="8">
        <v>2096.2998976458548</v>
      </c>
      <c r="G6" s="8">
        <v>1204.1201281366791</v>
      </c>
      <c r="H6" s="8">
        <v>2157.2324676690146</v>
      </c>
      <c r="I6" s="8">
        <v>2123.9600494437577</v>
      </c>
      <c r="J6" s="8">
        <v>1513.0826590735483</v>
      </c>
      <c r="K6" s="8">
        <v>756.17993472399598</v>
      </c>
      <c r="L6" s="8">
        <v>2727.1028037383176</v>
      </c>
      <c r="M6" s="8">
        <v>3843.4986376021793</v>
      </c>
      <c r="N6" s="8">
        <v>1523.7481552187326</v>
      </c>
      <c r="O6" s="8">
        <v>966.37327916948766</v>
      </c>
      <c r="P6" s="8">
        <v>1458.8836812952707</v>
      </c>
      <c r="Q6" s="8">
        <v>774.69670710571927</v>
      </c>
      <c r="R6" s="8">
        <v>1478.935185185185</v>
      </c>
      <c r="S6" s="8">
        <v>2396.6337358214414</v>
      </c>
      <c r="T6" s="8">
        <v>3386.444109412018</v>
      </c>
      <c r="U6" s="8">
        <v>2527.2550438794897</v>
      </c>
      <c r="V6" s="8">
        <v>2315.2454780361754</v>
      </c>
    </row>
    <row r="7" spans="1:22" ht="15.75" x14ac:dyDescent="0.25">
      <c r="A7" s="7">
        <v>1875</v>
      </c>
      <c r="B7" s="8">
        <v>1973.2553911205073</v>
      </c>
      <c r="C7" s="8">
        <v>2860.7850273430136</v>
      </c>
      <c r="D7" s="8">
        <v>732.34719508791511</v>
      </c>
      <c r="E7" s="8">
        <v>1783.9665929746991</v>
      </c>
      <c r="F7" s="8">
        <v>2111.6016218955906</v>
      </c>
      <c r="G7" s="8">
        <v>1211.1848341232228</v>
      </c>
      <c r="H7" s="8">
        <v>2219.0691766306481</v>
      </c>
      <c r="I7" s="8">
        <v>2112.351712839572</v>
      </c>
      <c r="J7" s="8">
        <v>1549.5933965600302</v>
      </c>
      <c r="K7" s="8">
        <v>809.85438537080938</v>
      </c>
      <c r="L7" s="8">
        <v>2879.6198521647307</v>
      </c>
      <c r="M7" s="8">
        <v>3687.8793103448279</v>
      </c>
      <c r="N7" s="8">
        <v>1551.2199482841377</v>
      </c>
      <c r="O7" s="8">
        <v>959.39883355764925</v>
      </c>
      <c r="P7" s="8">
        <v>1496.3304421665555</v>
      </c>
      <c r="Q7" s="8">
        <v>780.60522696011003</v>
      </c>
      <c r="R7" s="8">
        <v>1453.0032095369097</v>
      </c>
      <c r="S7" s="8">
        <v>2645.4545454545455</v>
      </c>
      <c r="T7" s="8">
        <v>3433.6683821066422</v>
      </c>
      <c r="U7" s="8">
        <v>2598.5854790584594</v>
      </c>
      <c r="V7" s="8">
        <v>1942.3558897243108</v>
      </c>
    </row>
    <row r="8" spans="1:22" ht="15.75" x14ac:dyDescent="0.25">
      <c r="A8" s="7">
        <v>1876</v>
      </c>
      <c r="B8" s="8">
        <v>2000.1167225481979</v>
      </c>
      <c r="C8" s="8">
        <v>2874.6164639850326</v>
      </c>
      <c r="D8" s="8">
        <v>736.18847593827047</v>
      </c>
      <c r="E8" s="8">
        <v>1640.9166666666663</v>
      </c>
      <c r="F8" s="8">
        <v>2130.3309929789366</v>
      </c>
      <c r="G8" s="8">
        <v>1259.2427385892117</v>
      </c>
      <c r="H8" s="8">
        <v>2028.2194645554457</v>
      </c>
      <c r="I8" s="8">
        <v>2070.6703622472346</v>
      </c>
      <c r="J8" s="8">
        <v>1506.0717787351145</v>
      </c>
      <c r="K8" s="8">
        <v>784.56024416879006</v>
      </c>
      <c r="L8" s="8">
        <v>2889.8747390396661</v>
      </c>
      <c r="M8" s="8">
        <v>3623.1152073732715</v>
      </c>
      <c r="N8" s="8">
        <v>1572.4498425015311</v>
      </c>
      <c r="O8" s="8">
        <v>931.53434433541486</v>
      </c>
      <c r="P8" s="8">
        <v>1519.2505288606831</v>
      </c>
      <c r="Q8" s="8">
        <v>788.73720136518773</v>
      </c>
      <c r="R8" s="8">
        <v>1539.0376758965047</v>
      </c>
      <c r="S8" s="8">
        <v>2568.280346820809</v>
      </c>
      <c r="T8" s="8">
        <v>3430.1604216867477</v>
      </c>
      <c r="U8" s="8">
        <v>2570.3545271890594</v>
      </c>
      <c r="V8" s="8">
        <v>2104.6228710462287</v>
      </c>
    </row>
    <row r="9" spans="1:22" ht="15.75" x14ac:dyDescent="0.25">
      <c r="A9" s="7">
        <v>1877</v>
      </c>
      <c r="B9" s="8">
        <v>2050.4404984423672</v>
      </c>
      <c r="C9" s="8">
        <v>2884.4840563589173</v>
      </c>
      <c r="D9" s="8">
        <v>740.13983506633201</v>
      </c>
      <c r="E9" s="8">
        <v>1727.4407265774375</v>
      </c>
      <c r="F9" s="8">
        <v>2046.151560178306</v>
      </c>
      <c r="G9" s="8">
        <v>1211.2003065917222</v>
      </c>
      <c r="H9" s="8">
        <v>2127.4821650767317</v>
      </c>
      <c r="I9" s="8">
        <v>2032.6288242851026</v>
      </c>
      <c r="J9" s="8">
        <v>1493.4223179274436</v>
      </c>
      <c r="K9" s="8">
        <v>802.65422844133491</v>
      </c>
      <c r="L9" s="8">
        <v>2926.6031419005922</v>
      </c>
      <c r="M9" s="8">
        <v>3982.4666666666662</v>
      </c>
      <c r="N9" s="8">
        <v>1564.7486975085314</v>
      </c>
      <c r="O9" s="8">
        <v>969.18643316337841</v>
      </c>
      <c r="P9" s="8">
        <v>1668.4334156477744</v>
      </c>
      <c r="Q9" s="8">
        <v>793.02168021680222</v>
      </c>
      <c r="R9" s="8">
        <v>1505.0482387256002</v>
      </c>
      <c r="S9" s="8">
        <v>2302.9432878679108</v>
      </c>
      <c r="T9" s="8">
        <v>3425.1970455086971</v>
      </c>
      <c r="U9" s="8">
        <v>2595.3935552033809</v>
      </c>
      <c r="V9" s="8">
        <v>2122.6415094339623</v>
      </c>
    </row>
    <row r="10" spans="1:22" ht="15.75" x14ac:dyDescent="0.25">
      <c r="A10" s="7">
        <v>1878</v>
      </c>
      <c r="B10" s="8">
        <v>2100.3057442865966</v>
      </c>
      <c r="C10" s="8">
        <v>2942.2574421168688</v>
      </c>
      <c r="D10" s="8">
        <v>744.12670479542453</v>
      </c>
      <c r="E10" s="8">
        <v>1637.2016965127236</v>
      </c>
      <c r="F10" s="8">
        <v>2102.0851688693097</v>
      </c>
      <c r="G10" s="8">
        <v>1172.7665153807361</v>
      </c>
      <c r="H10" s="8">
        <v>2091.1263060134665</v>
      </c>
      <c r="I10" s="8">
        <v>2102.9982607060592</v>
      </c>
      <c r="J10" s="8">
        <v>1505.8995352925483</v>
      </c>
      <c r="K10" s="8">
        <v>793.74913947404661</v>
      </c>
      <c r="L10" s="8">
        <v>2991.1319770474697</v>
      </c>
      <c r="M10" s="8">
        <v>4270.7601713062095</v>
      </c>
      <c r="N10" s="8">
        <v>1489.8180253492276</v>
      </c>
      <c r="O10" s="8">
        <v>964.08109299250771</v>
      </c>
      <c r="P10" s="8">
        <v>1617.916891527253</v>
      </c>
      <c r="Q10" s="8">
        <v>717.64705882352939</v>
      </c>
      <c r="R10" s="8">
        <v>1452.0851818988465</v>
      </c>
      <c r="S10" s="8">
        <v>2331.4306100606491</v>
      </c>
      <c r="T10" s="8">
        <v>3402.5006483555339</v>
      </c>
      <c r="U10" s="8">
        <v>2645.9617054712376</v>
      </c>
      <c r="V10" s="8">
        <v>2247.1395881006865</v>
      </c>
    </row>
    <row r="11" spans="1:22" ht="15.75" x14ac:dyDescent="0.25">
      <c r="A11" s="7">
        <v>1879</v>
      </c>
      <c r="B11" s="8">
        <v>2067.9387630128599</v>
      </c>
      <c r="C11" s="8">
        <v>2944.9198834668609</v>
      </c>
      <c r="D11" s="8">
        <v>748.14302988426334</v>
      </c>
      <c r="E11" s="8">
        <v>1765.2337662337663</v>
      </c>
      <c r="F11" s="8">
        <v>2148.5465116279074</v>
      </c>
      <c r="G11" s="8">
        <v>1167.4041708043694</v>
      </c>
      <c r="H11" s="8">
        <v>1953.3067927728805</v>
      </c>
      <c r="I11" s="8">
        <v>2028.6671002508592</v>
      </c>
      <c r="J11" s="8">
        <v>1514.394934440719</v>
      </c>
      <c r="K11" s="8">
        <v>835.40771945181507</v>
      </c>
      <c r="L11" s="8">
        <v>2778.2237832413448</v>
      </c>
      <c r="M11" s="8">
        <v>3569.2408906882588</v>
      </c>
      <c r="N11" s="8">
        <v>1483.2470630994219</v>
      </c>
      <c r="O11" s="8">
        <v>959.08991467950125</v>
      </c>
      <c r="P11" s="8">
        <v>1520.2767175572517</v>
      </c>
      <c r="Q11" s="8">
        <v>769.51300867244834</v>
      </c>
      <c r="R11" s="8">
        <v>1522.0636663007683</v>
      </c>
      <c r="S11" s="8">
        <v>2310.1736972704712</v>
      </c>
      <c r="T11" s="8">
        <v>3352.5074626865676</v>
      </c>
      <c r="U11" s="8">
        <v>2909.4331983805669</v>
      </c>
      <c r="V11" s="8">
        <v>1948.8888888888889</v>
      </c>
    </row>
    <row r="12" spans="1:22" ht="15.75" x14ac:dyDescent="0.25">
      <c r="A12" s="7">
        <v>1880</v>
      </c>
      <c r="B12" s="8">
        <v>2078.8378870673951</v>
      </c>
      <c r="C12" s="8">
        <v>3064.8213318895505</v>
      </c>
      <c r="D12" s="8">
        <v>752.16211633033743</v>
      </c>
      <c r="E12" s="8">
        <v>1815.8868613138688</v>
      </c>
      <c r="F12" s="8">
        <v>2181.4656415185009</v>
      </c>
      <c r="G12" s="8">
        <v>1154.8265754763067</v>
      </c>
      <c r="H12" s="8">
        <v>2120.430195927775</v>
      </c>
      <c r="I12" s="8">
        <v>1991.406436781609</v>
      </c>
      <c r="J12" s="8">
        <v>1580.8785695051738</v>
      </c>
      <c r="K12" s="8">
        <v>863.39554975955662</v>
      </c>
      <c r="L12" s="8">
        <v>3045.5107593371258</v>
      </c>
      <c r="M12" s="8">
        <v>3746.5326923076927</v>
      </c>
      <c r="N12" s="8">
        <v>1517.2859445182387</v>
      </c>
      <c r="O12" s="8">
        <v>947.28850325379608</v>
      </c>
      <c r="P12" s="8">
        <v>1646.005101132926</v>
      </c>
      <c r="Q12" s="8">
        <v>830.5196954650778</v>
      </c>
      <c r="R12" s="8">
        <v>1519.9037620297463</v>
      </c>
      <c r="S12" s="8">
        <v>2449.8062698133144</v>
      </c>
      <c r="T12" s="8">
        <v>3477.3199318372181</v>
      </c>
      <c r="U12" s="8">
        <v>3183.9549724523363</v>
      </c>
      <c r="V12" s="8">
        <v>2081.8965517241377</v>
      </c>
    </row>
    <row r="13" spans="1:22" ht="15.75" x14ac:dyDescent="0.25">
      <c r="A13" s="7">
        <v>1881</v>
      </c>
      <c r="B13" s="8">
        <v>2145.1667001003011</v>
      </c>
      <c r="C13" s="8">
        <v>3069.6760613628262</v>
      </c>
      <c r="D13" s="8">
        <v>756.22138992925511</v>
      </c>
      <c r="E13" s="8">
        <v>2039.5776230060658</v>
      </c>
      <c r="F13" s="8">
        <v>2182.917658257973</v>
      </c>
      <c r="G13" s="8">
        <v>1110.0579150579151</v>
      </c>
      <c r="H13" s="8">
        <v>2193.6402490367686</v>
      </c>
      <c r="I13" s="8">
        <v>2025.2850525931501</v>
      </c>
      <c r="J13" s="8">
        <v>1467.4024200968333</v>
      </c>
      <c r="K13" s="8">
        <v>829.3004957965079</v>
      </c>
      <c r="L13" s="8">
        <v>3074.2829124785485</v>
      </c>
      <c r="M13" s="8">
        <v>3764.6215213358073</v>
      </c>
      <c r="N13" s="8">
        <v>1528.3978946908999</v>
      </c>
      <c r="O13" s="8">
        <v>970.32896151365298</v>
      </c>
      <c r="P13" s="8">
        <v>1679.07498082709</v>
      </c>
      <c r="Q13" s="8">
        <v>886.66228646517743</v>
      </c>
      <c r="R13" s="8">
        <v>1564.9890590809628</v>
      </c>
      <c r="S13" s="8">
        <v>2480.8973010865752</v>
      </c>
      <c r="T13" s="8">
        <v>3568.4267926148564</v>
      </c>
      <c r="U13" s="8">
        <v>3215.4494327735151</v>
      </c>
      <c r="V13" s="8">
        <v>1931.5352697095436</v>
      </c>
    </row>
    <row r="14" spans="1:22" ht="15.75" x14ac:dyDescent="0.25">
      <c r="A14" s="7">
        <v>1882</v>
      </c>
      <c r="B14" s="8">
        <v>2139.9620278330017</v>
      </c>
      <c r="C14" s="8">
        <v>3136.056760091662</v>
      </c>
      <c r="D14" s="8">
        <v>760.29411764705878</v>
      </c>
      <c r="E14" s="8">
        <v>2109.0721741061516</v>
      </c>
      <c r="F14" s="8">
        <v>2240.4198113207549</v>
      </c>
      <c r="G14" s="8">
        <v>1202.8860819828408</v>
      </c>
      <c r="H14" s="8">
        <v>2288.3455016905205</v>
      </c>
      <c r="I14" s="8">
        <v>2044.4813202756623</v>
      </c>
      <c r="J14" s="8">
        <v>1583.861717486308</v>
      </c>
      <c r="K14" s="8">
        <v>844.17597690704019</v>
      </c>
      <c r="L14" s="8">
        <v>3117.4334140435835</v>
      </c>
      <c r="M14" s="8">
        <v>3645.6756756756758</v>
      </c>
      <c r="N14" s="8">
        <v>1527.9439629741146</v>
      </c>
      <c r="O14" s="8">
        <v>992.32573012150931</v>
      </c>
      <c r="P14" s="8">
        <v>1691.6622660329754</v>
      </c>
      <c r="Q14" s="8">
        <v>935.24243410348197</v>
      </c>
      <c r="R14" s="8">
        <v>1548.951048951049</v>
      </c>
      <c r="S14" s="8">
        <v>2399.5808592385611</v>
      </c>
      <c r="T14" s="8">
        <v>3643.0403340339717</v>
      </c>
      <c r="U14" s="8">
        <v>3337.9599072170781</v>
      </c>
      <c r="V14" s="8">
        <v>2079.6812749003984</v>
      </c>
    </row>
    <row r="15" spans="1:22" ht="15.75" x14ac:dyDescent="0.25">
      <c r="A15" s="7">
        <v>1883</v>
      </c>
      <c r="B15" s="8">
        <v>2208.7838423645321</v>
      </c>
      <c r="C15" s="8">
        <v>3144.5341463414634</v>
      </c>
      <c r="D15" s="8">
        <v>764.31435445068166</v>
      </c>
      <c r="E15" s="8">
        <v>2090.3657894736843</v>
      </c>
      <c r="F15" s="8">
        <v>2299.0500701918577</v>
      </c>
      <c r="G15" s="8">
        <v>1229.807511737089</v>
      </c>
      <c r="H15" s="8">
        <v>2287.8401145115522</v>
      </c>
      <c r="I15" s="8">
        <v>2143.2783533015045</v>
      </c>
      <c r="J15" s="8">
        <v>1568.0119107325816</v>
      </c>
      <c r="K15" s="8">
        <v>837.20807075146956</v>
      </c>
      <c r="L15" s="8">
        <v>3305.2631578947371</v>
      </c>
      <c r="M15" s="8">
        <v>3494.7857142857142</v>
      </c>
      <c r="N15" s="8">
        <v>1523.0130631685254</v>
      </c>
      <c r="O15" s="8">
        <v>1008.0304311073543</v>
      </c>
      <c r="P15" s="8">
        <v>1720.3548085901027</v>
      </c>
      <c r="Q15" s="8">
        <v>941.42259414225941</v>
      </c>
      <c r="R15" s="8">
        <v>1658.0265737312131</v>
      </c>
      <c r="S15" s="8">
        <v>2396.3117606123869</v>
      </c>
      <c r="T15" s="8">
        <v>3643.3102961918194</v>
      </c>
      <c r="U15" s="8">
        <v>3338.5870265692033</v>
      </c>
      <c r="V15" s="8">
        <v>2396.5517241379312</v>
      </c>
    </row>
    <row r="16" spans="1:22" ht="15.75" x14ac:dyDescent="0.25">
      <c r="A16" s="7">
        <v>1884</v>
      </c>
      <c r="B16" s="8">
        <v>2248.4751025190394</v>
      </c>
      <c r="C16" s="8">
        <v>3136.1048734286201</v>
      </c>
      <c r="D16" s="8">
        <v>768.40116507911512</v>
      </c>
      <c r="E16" s="8">
        <v>2230.9335066060212</v>
      </c>
      <c r="F16" s="8">
        <v>2285.3749999999995</v>
      </c>
      <c r="G16" s="8">
        <v>1219.3424214417744</v>
      </c>
      <c r="H16" s="8">
        <v>2253.2539806707205</v>
      </c>
      <c r="I16" s="8">
        <v>2178.4275855908168</v>
      </c>
      <c r="J16" s="8">
        <v>1566.0972086474992</v>
      </c>
      <c r="K16" s="8">
        <v>835.70192458964812</v>
      </c>
      <c r="L16" s="8">
        <v>3328.2063416942738</v>
      </c>
      <c r="M16" s="8">
        <v>3702.5468227424749</v>
      </c>
      <c r="N16" s="8">
        <v>1542.1306983337479</v>
      </c>
      <c r="O16" s="8">
        <v>1033.7314058244292</v>
      </c>
      <c r="P16" s="8">
        <v>1715.6703424260011</v>
      </c>
      <c r="Q16" s="8">
        <v>904.58015267175574</v>
      </c>
      <c r="R16" s="8">
        <v>1625</v>
      </c>
      <c r="S16" s="8">
        <v>2657.1923743500865</v>
      </c>
      <c r="T16" s="8">
        <v>3621.6540141081632</v>
      </c>
      <c r="U16" s="8">
        <v>3320.2806007734507</v>
      </c>
      <c r="V16" s="8">
        <v>2324.1252302025782</v>
      </c>
    </row>
    <row r="17" spans="1:22" ht="15.75" x14ac:dyDescent="0.25">
      <c r="A17" s="7">
        <v>1885</v>
      </c>
      <c r="B17" s="8">
        <v>2215.2706155632986</v>
      </c>
      <c r="C17" s="8">
        <v>3137.8131381892445</v>
      </c>
      <c r="D17" s="8">
        <v>772.58326249903405</v>
      </c>
      <c r="E17" s="8">
        <v>2072.8101157308188</v>
      </c>
      <c r="F17" s="8">
        <v>2274.2086001829825</v>
      </c>
      <c r="G17" s="8">
        <v>1231.2287015945328</v>
      </c>
      <c r="H17" s="8">
        <v>2207.354667404928</v>
      </c>
      <c r="I17" s="8">
        <v>2216.2357377340077</v>
      </c>
      <c r="J17" s="8">
        <v>1584.068294851241</v>
      </c>
      <c r="K17" s="8">
        <v>860.12439170375001</v>
      </c>
      <c r="L17" s="8">
        <v>3362.4883068288123</v>
      </c>
      <c r="M17" s="8">
        <v>3587.2328990228016</v>
      </c>
      <c r="N17" s="8">
        <v>1544.3454429248457</v>
      </c>
      <c r="O17" s="8">
        <v>1051.7133956386292</v>
      </c>
      <c r="P17" s="8">
        <v>1661.0286901806846</v>
      </c>
      <c r="Q17" s="8">
        <v>842.27129337539429</v>
      </c>
      <c r="R17" s="8">
        <v>1674.9571183533446</v>
      </c>
      <c r="S17" s="8">
        <v>2854.9723756906078</v>
      </c>
      <c r="T17" s="8">
        <v>3573.6807996668053</v>
      </c>
      <c r="U17" s="8">
        <v>3269.9590358480282</v>
      </c>
      <c r="V17" s="8">
        <v>2569.1489361702129</v>
      </c>
    </row>
    <row r="18" spans="1:22" ht="15.75" x14ac:dyDescent="0.25">
      <c r="A18" s="7">
        <v>1886</v>
      </c>
      <c r="B18" s="8">
        <v>2267.7099002302375</v>
      </c>
      <c r="C18" s="8">
        <v>3153.2723433012334</v>
      </c>
      <c r="D18" s="8">
        <v>776.7579458393385</v>
      </c>
      <c r="E18" s="8">
        <v>2075.2451708766716</v>
      </c>
      <c r="F18" s="8">
        <v>2336.1093538183463</v>
      </c>
      <c r="G18" s="8">
        <v>1275.501798561151</v>
      </c>
      <c r="H18" s="8">
        <v>2236.6830498268855</v>
      </c>
      <c r="I18" s="8">
        <v>2211.3782661246014</v>
      </c>
      <c r="J18" s="8">
        <v>1642.9100199237678</v>
      </c>
      <c r="K18" s="8">
        <v>916.44658484801414</v>
      </c>
      <c r="L18" s="8">
        <v>3373.5552473416551</v>
      </c>
      <c r="M18" s="8">
        <v>3601.5814696485627</v>
      </c>
      <c r="N18" s="8">
        <v>1541.7423288280897</v>
      </c>
      <c r="O18" s="8">
        <v>1100.0617665225448</v>
      </c>
      <c r="P18" s="8">
        <v>1616.5461017338384</v>
      </c>
      <c r="Q18" s="8">
        <v>810.26925485284903</v>
      </c>
      <c r="R18" s="8">
        <v>1665.1063829787233</v>
      </c>
      <c r="S18" s="8">
        <v>2955.9683522531823</v>
      </c>
      <c r="T18" s="8">
        <v>3600.0241235921026</v>
      </c>
      <c r="U18" s="8">
        <v>3294.0650574238362</v>
      </c>
      <c r="V18" s="8">
        <v>2608.1771720613287</v>
      </c>
    </row>
    <row r="19" spans="1:22" ht="15.75" x14ac:dyDescent="0.25">
      <c r="A19" s="7">
        <v>1887</v>
      </c>
      <c r="B19" s="8">
        <v>2404.4300932090546</v>
      </c>
      <c r="C19" s="8">
        <v>3249.8914793693393</v>
      </c>
      <c r="D19" s="8">
        <v>780.86373790022333</v>
      </c>
      <c r="E19" s="8">
        <v>2119.8999999999996</v>
      </c>
      <c r="F19" s="8">
        <v>2394.5149754135</v>
      </c>
      <c r="G19" s="8">
        <v>1275.5374059318283</v>
      </c>
      <c r="H19" s="8">
        <v>2249.4339040838331</v>
      </c>
      <c r="I19" s="8">
        <v>2275.2421034325343</v>
      </c>
      <c r="J19" s="8">
        <v>1677.677042775716</v>
      </c>
      <c r="K19" s="8">
        <v>951.5257551587506</v>
      </c>
      <c r="L19" s="8">
        <v>3466.879853814527</v>
      </c>
      <c r="M19" s="8">
        <v>3604.0921874999999</v>
      </c>
      <c r="N19" s="8">
        <v>1551.8184715563962</v>
      </c>
      <c r="O19" s="8">
        <v>1113.9007960808328</v>
      </c>
      <c r="P19" s="8">
        <v>1585.393707531548</v>
      </c>
      <c r="Q19" s="8">
        <v>945.04812170133505</v>
      </c>
      <c r="R19" s="8">
        <v>1650.0211595429539</v>
      </c>
      <c r="S19" s="8">
        <v>2931.4599040438657</v>
      </c>
      <c r="T19" s="8">
        <v>3713.150718618504</v>
      </c>
      <c r="U19" s="8">
        <v>3368.2546090701117</v>
      </c>
      <c r="V19" s="8">
        <v>2267.2131147540981</v>
      </c>
    </row>
    <row r="20" spans="1:22" ht="15.75" x14ac:dyDescent="0.25">
      <c r="A20" s="7">
        <v>1888</v>
      </c>
      <c r="B20" s="8">
        <v>2379.1510465774095</v>
      </c>
      <c r="C20" s="8">
        <v>3247.0852338937902</v>
      </c>
      <c r="D20" s="8">
        <v>785.04604589972223</v>
      </c>
      <c r="E20" s="8">
        <v>2248.9008934136709</v>
      </c>
      <c r="F20" s="8">
        <v>2388.8081524147096</v>
      </c>
      <c r="G20" s="8">
        <v>1302.287456445993</v>
      </c>
      <c r="H20" s="8">
        <v>2269.4038827655309</v>
      </c>
      <c r="I20" s="8">
        <v>2340.7836176887704</v>
      </c>
      <c r="J20" s="8">
        <v>1661.8145738981925</v>
      </c>
      <c r="K20" s="8">
        <v>899.59491477924121</v>
      </c>
      <c r="L20" s="8">
        <v>3543.9981949458484</v>
      </c>
      <c r="M20" s="8">
        <v>3554.1124807395995</v>
      </c>
      <c r="N20" s="8">
        <v>1618.5144698412748</v>
      </c>
      <c r="O20" s="8">
        <v>1117.5637393767706</v>
      </c>
      <c r="P20" s="8">
        <v>1641.4772727272725</v>
      </c>
      <c r="Q20" s="8">
        <v>921.18981907390378</v>
      </c>
      <c r="R20" s="8">
        <v>1726.0071714828096</v>
      </c>
      <c r="S20" s="8">
        <v>2989.7575964493003</v>
      </c>
      <c r="T20" s="8">
        <v>3849.0978010357635</v>
      </c>
      <c r="U20" s="8">
        <v>3281.6637028255286</v>
      </c>
      <c r="V20" s="8">
        <v>2718.1102362204724</v>
      </c>
    </row>
    <row r="21" spans="1:22" ht="15.75" x14ac:dyDescent="0.25">
      <c r="A21" s="7">
        <v>1889</v>
      </c>
      <c r="B21" s="8">
        <v>2337.2069932685117</v>
      </c>
      <c r="C21" s="8">
        <v>3378.5000826309697</v>
      </c>
      <c r="D21" s="8">
        <v>789.28110202324569</v>
      </c>
      <c r="E21" s="8">
        <v>2239.21726618705</v>
      </c>
      <c r="F21" s="8">
        <v>2399.6309314586997</v>
      </c>
      <c r="G21" s="8">
        <v>1326.5877305877304</v>
      </c>
      <c r="H21" s="8">
        <v>2322.4284321567839</v>
      </c>
      <c r="I21" s="8">
        <v>2379.2176369390227</v>
      </c>
      <c r="J21" s="8">
        <v>1578.9380157192477</v>
      </c>
      <c r="K21" s="8">
        <v>932.67486393872196</v>
      </c>
      <c r="L21" s="8">
        <v>3502.1181716833889</v>
      </c>
      <c r="M21" s="8">
        <v>3701.25</v>
      </c>
      <c r="N21" s="8">
        <v>1675.0554145470262</v>
      </c>
      <c r="O21" s="8">
        <v>1088.2647943831494</v>
      </c>
      <c r="P21" s="8">
        <v>1630.4446204321757</v>
      </c>
      <c r="Q21" s="8">
        <v>901.54032014497136</v>
      </c>
      <c r="R21" s="8">
        <v>1745.0115521949169</v>
      </c>
      <c r="S21" s="8">
        <v>2981.6326530612246</v>
      </c>
      <c r="T21" s="8">
        <v>4023.7664210016674</v>
      </c>
      <c r="U21" s="8">
        <v>3413.28044375645</v>
      </c>
      <c r="V21" s="8">
        <v>2415.151515151515</v>
      </c>
    </row>
    <row r="22" spans="1:22" ht="15.75" x14ac:dyDescent="0.25">
      <c r="A22" s="7">
        <v>1890</v>
      </c>
      <c r="B22" s="8">
        <v>2443.3559510567297</v>
      </c>
      <c r="C22" s="8">
        <v>3427.8480971128606</v>
      </c>
      <c r="D22" s="8">
        <v>793.50658497077268</v>
      </c>
      <c r="E22" s="8">
        <v>2378.3773891825945</v>
      </c>
      <c r="F22" s="8">
        <v>2523.2432432432433</v>
      </c>
      <c r="G22" s="8">
        <v>1381.0401861252117</v>
      </c>
      <c r="H22" s="8">
        <v>2376.012445644024</v>
      </c>
      <c r="I22" s="8">
        <v>2427.8085995756928</v>
      </c>
      <c r="J22" s="8">
        <v>1667.4886522323895</v>
      </c>
      <c r="K22" s="8">
        <v>1011.941961723682</v>
      </c>
      <c r="L22" s="8">
        <v>3323.0429988974643</v>
      </c>
      <c r="M22" s="8">
        <v>3755.4766917293236</v>
      </c>
      <c r="N22" s="8">
        <v>1709.4871086513269</v>
      </c>
      <c r="O22" s="8">
        <v>1127.8838504375497</v>
      </c>
      <c r="P22" s="8">
        <v>1624.0919074167934</v>
      </c>
      <c r="Q22" s="8">
        <v>1045.169009871373</v>
      </c>
      <c r="R22" s="8">
        <v>1769.0376569037658</v>
      </c>
      <c r="S22" s="8">
        <v>3181.6333446289395</v>
      </c>
      <c r="T22" s="8">
        <v>4008.7886354541815</v>
      </c>
      <c r="U22" s="8">
        <v>3391.898281254937</v>
      </c>
      <c r="V22" s="8">
        <v>2147.2303206997085</v>
      </c>
    </row>
    <row r="23" spans="1:22" ht="15.75" x14ac:dyDescent="0.25">
      <c r="A23" s="7">
        <v>1891</v>
      </c>
      <c r="B23" s="8">
        <v>2506.147998531032</v>
      </c>
      <c r="C23" s="8">
        <v>3395.2804996755358</v>
      </c>
      <c r="D23" s="8">
        <v>772.54281587454432</v>
      </c>
      <c r="E23" s="8">
        <v>2408.726468222043</v>
      </c>
      <c r="F23" s="8">
        <v>2555.1795759411511</v>
      </c>
      <c r="G23" s="8">
        <v>1350.390142021721</v>
      </c>
      <c r="H23" s="8">
        <v>2432.0610509466524</v>
      </c>
      <c r="I23" s="8">
        <v>2396.5457832076295</v>
      </c>
      <c r="J23" s="8">
        <v>1650.8366566554942</v>
      </c>
      <c r="K23" s="8">
        <v>956.43801386825157</v>
      </c>
      <c r="L23" s="8">
        <v>3224.209378407852</v>
      </c>
      <c r="M23" s="8">
        <v>3731.0608308605342</v>
      </c>
      <c r="N23" s="8">
        <v>1712.278578264481</v>
      </c>
      <c r="O23" s="8">
        <v>1099.4475138121547</v>
      </c>
      <c r="P23" s="8">
        <v>1653.6779546983628</v>
      </c>
      <c r="Q23" s="8">
        <v>1036.7215041128084</v>
      </c>
      <c r="R23" s="8">
        <v>1836.0450563204006</v>
      </c>
      <c r="S23" s="8">
        <v>2986.8465430016863</v>
      </c>
      <c r="T23" s="8">
        <v>3975.1717369451358</v>
      </c>
      <c r="U23" s="8">
        <v>3467.2636507150369</v>
      </c>
      <c r="V23" s="8">
        <v>2290.3682719546741</v>
      </c>
    </row>
    <row r="24" spans="1:22" ht="15.75" x14ac:dyDescent="0.25">
      <c r="A24" s="7">
        <v>1892</v>
      </c>
      <c r="B24" s="8">
        <v>2535.1280886627906</v>
      </c>
      <c r="C24" s="8">
        <v>3441.8329321136257</v>
      </c>
      <c r="D24" s="8">
        <v>729.88042455998925</v>
      </c>
      <c r="E24" s="8">
        <v>2370.8395061728397</v>
      </c>
      <c r="F24" s="8">
        <v>2597.7911474000862</v>
      </c>
      <c r="G24" s="8">
        <v>1279.8853529171768</v>
      </c>
      <c r="H24" s="8">
        <v>2492.87150251294</v>
      </c>
      <c r="I24" s="8">
        <v>2469.31079719532</v>
      </c>
      <c r="J24" s="8">
        <v>1548.3612469444815</v>
      </c>
      <c r="K24" s="8">
        <v>1012.69479402222</v>
      </c>
      <c r="L24" s="8">
        <v>3239.6373056994817</v>
      </c>
      <c r="M24" s="8">
        <v>3800.6282798833822</v>
      </c>
      <c r="N24" s="8">
        <v>1733.8015630091315</v>
      </c>
      <c r="O24" s="8">
        <v>1086.9905956112852</v>
      </c>
      <c r="P24" s="8">
        <v>1769.7588747488278</v>
      </c>
      <c r="Q24" s="8">
        <v>1052.1613832853025</v>
      </c>
      <c r="R24" s="8">
        <v>1826.0145681581685</v>
      </c>
      <c r="S24" s="8">
        <v>3206.8620919387076</v>
      </c>
      <c r="T24" s="8">
        <v>3846.3196622436662</v>
      </c>
      <c r="U24" s="8">
        <v>3727.9955856921815</v>
      </c>
      <c r="V24" s="8">
        <v>2294.3603851444291</v>
      </c>
    </row>
    <row r="25" spans="1:22" ht="15.75" x14ac:dyDescent="0.25">
      <c r="A25" s="7">
        <v>1893</v>
      </c>
      <c r="B25" s="8">
        <v>2525.1031817364733</v>
      </c>
      <c r="C25" s="8">
        <v>3455.4811111111117</v>
      </c>
      <c r="D25" s="8">
        <v>621.57197218212832</v>
      </c>
      <c r="E25" s="8">
        <v>2333.6995268138799</v>
      </c>
      <c r="F25" s="8">
        <v>2628.737201365188</v>
      </c>
      <c r="G25" s="8">
        <v>1340.9012345679012</v>
      </c>
      <c r="H25" s="8">
        <v>2534.8947368421054</v>
      </c>
      <c r="I25" s="8">
        <v>2565.4640799625431</v>
      </c>
      <c r="J25" s="8">
        <v>1608.7399783966491</v>
      </c>
      <c r="K25" s="8">
        <v>1008.3603082851638</v>
      </c>
      <c r="L25" s="8">
        <v>3235.9094790777112</v>
      </c>
      <c r="M25" s="8">
        <v>3788.4</v>
      </c>
      <c r="N25" s="8">
        <v>1769.3741801897449</v>
      </c>
      <c r="O25" s="8">
        <v>1100.9531219607081</v>
      </c>
      <c r="P25" s="8">
        <v>1700.2111580351188</v>
      </c>
      <c r="Q25" s="8">
        <v>1052.4971623155507</v>
      </c>
      <c r="R25" s="8">
        <v>1875</v>
      </c>
      <c r="S25" s="8">
        <v>3294.0789473684208</v>
      </c>
      <c r="T25" s="8">
        <v>3810.7444531047017</v>
      </c>
      <c r="U25" s="8">
        <v>3478.4119825675657</v>
      </c>
      <c r="V25" s="8">
        <v>2437.1657754010694</v>
      </c>
    </row>
    <row r="26" spans="1:22" ht="15.75" x14ac:dyDescent="0.25">
      <c r="A26" s="7">
        <v>1894</v>
      </c>
      <c r="B26" s="8">
        <v>2644.598719316969</v>
      </c>
      <c r="C26" s="8">
        <v>3468.2890109890109</v>
      </c>
      <c r="D26" s="8">
        <v>621.1956173511885</v>
      </c>
      <c r="E26" s="8">
        <v>2420.4608474907245</v>
      </c>
      <c r="F26" s="8">
        <v>2657.4271229404308</v>
      </c>
      <c r="G26" s="8">
        <v>1399.4225408203902</v>
      </c>
      <c r="H26" s="8">
        <v>2626.0233672857998</v>
      </c>
      <c r="I26" s="8">
        <v>2597.6019153773409</v>
      </c>
      <c r="J26" s="8">
        <v>1575.8200385819664</v>
      </c>
      <c r="K26" s="8">
        <v>1119.4156711003627</v>
      </c>
      <c r="L26" s="8">
        <v>3273.0339447607003</v>
      </c>
      <c r="M26" s="8">
        <v>3579.0955678670357</v>
      </c>
      <c r="N26" s="8">
        <v>1763.7167042326203</v>
      </c>
      <c r="O26" s="8">
        <v>1078.9880262649672</v>
      </c>
      <c r="P26" s="8">
        <v>1711.6065501217083</v>
      </c>
      <c r="Q26" s="8">
        <v>1043.2477678571429</v>
      </c>
      <c r="R26" s="8">
        <v>1888.0181480717672</v>
      </c>
      <c r="S26" s="8">
        <v>3179.3955151121222</v>
      </c>
      <c r="T26" s="8">
        <v>4028.8928176226877</v>
      </c>
      <c r="U26" s="8">
        <v>3313.7995798135421</v>
      </c>
      <c r="V26" s="8">
        <v>2657.1428571428569</v>
      </c>
    </row>
    <row r="27" spans="1:22" ht="15.75" x14ac:dyDescent="0.25">
      <c r="A27" s="7">
        <v>1895</v>
      </c>
      <c r="B27" s="8">
        <v>2687.7818661971833</v>
      </c>
      <c r="C27" s="8">
        <v>3511.5006988662844</v>
      </c>
      <c r="D27" s="8">
        <v>783.41677096370461</v>
      </c>
      <c r="E27" s="8">
        <v>2370.9645966337785</v>
      </c>
      <c r="F27" s="8">
        <v>2770.2252816020027</v>
      </c>
      <c r="G27" s="8">
        <v>1492.3962948046717</v>
      </c>
      <c r="H27" s="8">
        <v>2569.2218315127934</v>
      </c>
      <c r="I27" s="8">
        <v>2686.0838313841509</v>
      </c>
      <c r="J27" s="8">
        <v>1591.5813901383251</v>
      </c>
      <c r="K27" s="8">
        <v>1123.4641532016756</v>
      </c>
      <c r="L27" s="8">
        <v>3334.3743493649799</v>
      </c>
      <c r="M27" s="8">
        <v>3641.6367346938778</v>
      </c>
      <c r="N27" s="8">
        <v>1762.7699317507443</v>
      </c>
      <c r="O27" s="8">
        <v>1117.3537871524447</v>
      </c>
      <c r="P27" s="8">
        <v>1689.0455471718897</v>
      </c>
      <c r="Q27" s="8">
        <v>1084.9420849420851</v>
      </c>
      <c r="R27" s="8">
        <v>1963.0310457516341</v>
      </c>
      <c r="S27" s="8">
        <v>3487.7970456005137</v>
      </c>
      <c r="T27" s="8">
        <v>4117.7007725453204</v>
      </c>
      <c r="U27" s="8">
        <v>3644.2203547551221</v>
      </c>
      <c r="V27" s="8">
        <v>2568.1818181818185</v>
      </c>
    </row>
    <row r="28" spans="1:22" ht="15.75" x14ac:dyDescent="0.25">
      <c r="A28" s="7">
        <v>1896</v>
      </c>
      <c r="B28" s="8">
        <v>2701.0125457396757</v>
      </c>
      <c r="C28" s="8">
        <v>3551.4953803510934</v>
      </c>
      <c r="D28" s="8">
        <v>709.93766043270989</v>
      </c>
      <c r="E28" s="8">
        <v>2288.4768110387126</v>
      </c>
      <c r="F28" s="8">
        <v>2835.790774299835</v>
      </c>
      <c r="G28" s="8">
        <v>1569.9411530815107</v>
      </c>
      <c r="H28" s="8">
        <v>2685.4419536226114</v>
      </c>
      <c r="I28" s="8">
        <v>2739.6427383537789</v>
      </c>
      <c r="J28" s="8">
        <v>1626.6369087859434</v>
      </c>
      <c r="K28" s="8">
        <v>1051.1234951180206</v>
      </c>
      <c r="L28" s="8">
        <v>3165.844636251541</v>
      </c>
      <c r="M28" s="8">
        <v>3987.9625668449203</v>
      </c>
      <c r="N28" s="8">
        <v>1787.9463641557293</v>
      </c>
      <c r="O28" s="8">
        <v>1124.9047981721249</v>
      </c>
      <c r="P28" s="8">
        <v>1547.5381072486018</v>
      </c>
      <c r="Q28" s="8">
        <v>1088.0043325209856</v>
      </c>
      <c r="R28" s="8">
        <v>2049.9898805909734</v>
      </c>
      <c r="S28" s="8">
        <v>3536.0203110123771</v>
      </c>
      <c r="T28" s="8">
        <v>4248.5639031288674</v>
      </c>
      <c r="U28" s="8">
        <v>3504.4280715560494</v>
      </c>
      <c r="V28" s="8">
        <v>2644.1717791411043</v>
      </c>
    </row>
    <row r="29" spans="1:22" ht="15.75" x14ac:dyDescent="0.25">
      <c r="A29" s="7">
        <v>1897</v>
      </c>
      <c r="B29" s="8">
        <v>2730.1526388409798</v>
      </c>
      <c r="C29" s="8">
        <v>3586.4266951740988</v>
      </c>
      <c r="D29" s="8">
        <v>699.0986688951233</v>
      </c>
      <c r="E29" s="8">
        <v>2511.5133801480356</v>
      </c>
      <c r="F29" s="8">
        <v>2862.9894394800976</v>
      </c>
      <c r="G29" s="8">
        <v>1624.1945861122006</v>
      </c>
      <c r="H29" s="8">
        <v>2639.248364231189</v>
      </c>
      <c r="I29" s="8">
        <v>2774.6099651393465</v>
      </c>
      <c r="J29" s="8">
        <v>1544.5616530813411</v>
      </c>
      <c r="K29" s="8">
        <v>1061.9491123982837</v>
      </c>
      <c r="L29" s="8">
        <v>3436.4741641337387</v>
      </c>
      <c r="M29" s="8">
        <v>3949.8455497382201</v>
      </c>
      <c r="N29" s="8">
        <v>1856.4090711730626</v>
      </c>
      <c r="O29" s="8">
        <v>1181.6635160680528</v>
      </c>
      <c r="P29" s="8">
        <v>1618.9410480349345</v>
      </c>
      <c r="Q29" s="8">
        <v>1125</v>
      </c>
      <c r="R29" s="8">
        <v>2121.9414360208584</v>
      </c>
      <c r="S29" s="8">
        <v>3675.0313676286073</v>
      </c>
      <c r="T29" s="8">
        <v>4263.5121914622259</v>
      </c>
      <c r="U29" s="8">
        <v>3769.4832967669827</v>
      </c>
      <c r="V29" s="8">
        <v>2493.4445768772348</v>
      </c>
    </row>
    <row r="30" spans="1:22" ht="15.75" x14ac:dyDescent="0.25">
      <c r="A30" s="7">
        <v>1898</v>
      </c>
      <c r="B30" s="8">
        <v>2855.2873975409839</v>
      </c>
      <c r="C30" s="8">
        <v>3614.7919442761963</v>
      </c>
      <c r="D30" s="8">
        <v>717.03392794683452</v>
      </c>
      <c r="E30" s="8">
        <v>2583.4561502347415</v>
      </c>
      <c r="F30" s="8">
        <v>2869.5955146175411</v>
      </c>
      <c r="G30" s="8">
        <v>1668.1977597528003</v>
      </c>
      <c r="H30" s="8">
        <v>2759.6174486694831</v>
      </c>
      <c r="I30" s="8">
        <v>2847.8220385570485</v>
      </c>
      <c r="J30" s="8">
        <v>1671.7964010491557</v>
      </c>
      <c r="K30" s="8">
        <v>1248.8829760111253</v>
      </c>
      <c r="L30" s="8">
        <v>3459.9240455726563</v>
      </c>
      <c r="M30" s="8">
        <v>3985.1052631578946</v>
      </c>
      <c r="N30" s="8">
        <v>1844.2498861648576</v>
      </c>
      <c r="O30" s="8">
        <v>1214.3795757461985</v>
      </c>
      <c r="P30" s="8">
        <v>1735.9526138463211</v>
      </c>
      <c r="Q30" s="8">
        <v>1167.8010471204188</v>
      </c>
      <c r="R30" s="8">
        <v>2175.9332803812549</v>
      </c>
      <c r="S30" s="8">
        <v>3697.1481711097335</v>
      </c>
      <c r="T30" s="8">
        <v>4427.7241276838104</v>
      </c>
      <c r="U30" s="8">
        <v>3779.691749908513</v>
      </c>
      <c r="V30" s="8">
        <v>2250</v>
      </c>
    </row>
    <row r="31" spans="1:22" ht="15.75" x14ac:dyDescent="0.25">
      <c r="A31" s="7">
        <v>1899</v>
      </c>
      <c r="B31" s="8">
        <v>2886.2769230769236</v>
      </c>
      <c r="C31" s="8">
        <v>3656.152957069949</v>
      </c>
      <c r="D31" s="8">
        <v>702.97198815759509</v>
      </c>
      <c r="E31" s="8">
        <v>2795.6150845253574</v>
      </c>
      <c r="F31" s="8">
        <v>2952.094861660079</v>
      </c>
      <c r="G31" s="8">
        <v>1606.9893292682925</v>
      </c>
      <c r="H31" s="8">
        <v>2911.446579194002</v>
      </c>
      <c r="I31" s="8">
        <v>2905.093894611136</v>
      </c>
      <c r="J31" s="8">
        <v>1700.4822579178758</v>
      </c>
      <c r="K31" s="8">
        <v>1143.1368450006876</v>
      </c>
      <c r="L31" s="8">
        <v>3464.6942800788952</v>
      </c>
      <c r="M31" s="8">
        <v>4040.875314861461</v>
      </c>
      <c r="N31" s="8">
        <v>1875.1842505024956</v>
      </c>
      <c r="O31" s="8">
        <v>1248.7886693999255</v>
      </c>
      <c r="P31" s="8">
        <v>1755.9510928370482</v>
      </c>
      <c r="Q31" s="8">
        <v>1233.6086732059885</v>
      </c>
      <c r="R31" s="8">
        <v>2233.070866141732</v>
      </c>
      <c r="S31" s="8">
        <v>3834.8145878026357</v>
      </c>
      <c r="T31" s="8">
        <v>4566.9517082382963</v>
      </c>
      <c r="U31" s="8">
        <v>4051.3670612989567</v>
      </c>
      <c r="V31" s="8">
        <v>2260.9673790776155</v>
      </c>
    </row>
    <row r="32" spans="1:22" ht="15.75" x14ac:dyDescent="0.25">
      <c r="A32" s="7">
        <v>1900</v>
      </c>
      <c r="B32" s="8">
        <v>2881.807132094425</v>
      </c>
      <c r="C32" s="8">
        <v>3731.0500074415836</v>
      </c>
      <c r="D32" s="8">
        <v>678.43638790035584</v>
      </c>
      <c r="E32" s="8">
        <v>2911.2662635147517</v>
      </c>
      <c r="F32" s="8">
        <v>3016.6106989457244</v>
      </c>
      <c r="G32" s="8">
        <v>1668.4803476946336</v>
      </c>
      <c r="H32" s="8">
        <v>2875.6862899650228</v>
      </c>
      <c r="I32" s="8">
        <v>2984.7592851364275</v>
      </c>
      <c r="J32" s="8">
        <v>1785.2701307323211</v>
      </c>
      <c r="K32" s="8">
        <v>1179.5133664376574</v>
      </c>
      <c r="L32" s="8">
        <v>3423.5705950991833</v>
      </c>
      <c r="M32" s="8">
        <v>4298.1412639405207</v>
      </c>
      <c r="N32" s="8">
        <v>1876.6879537995067</v>
      </c>
      <c r="O32" s="8">
        <v>1302.1835677276092</v>
      </c>
      <c r="P32" s="8">
        <v>1786.27598836583</v>
      </c>
      <c r="Q32" s="8">
        <v>1290.3885480572596</v>
      </c>
      <c r="R32" s="8">
        <v>2208.9114715653704</v>
      </c>
      <c r="S32" s="8">
        <v>3833.030303030303</v>
      </c>
      <c r="T32" s="8">
        <v>4491.8142145547308</v>
      </c>
      <c r="U32" s="8">
        <v>4090.7872916966658</v>
      </c>
      <c r="V32" s="8">
        <v>2218.5792349726776</v>
      </c>
    </row>
    <row r="33" spans="1:22" ht="15.75" x14ac:dyDescent="0.25">
      <c r="A33" s="7">
        <v>1901</v>
      </c>
      <c r="B33" s="8">
        <v>2863.8586578293289</v>
      </c>
      <c r="C33" s="8">
        <v>3719.3580355830027</v>
      </c>
      <c r="D33" s="8">
        <v>729.93692909960851</v>
      </c>
      <c r="E33" s="8">
        <v>3096.7767341040467</v>
      </c>
      <c r="F33" s="8">
        <v>3104.2020046260604</v>
      </c>
      <c r="G33" s="8">
        <v>1636.1781027371578</v>
      </c>
      <c r="H33" s="8">
        <v>2826.4949557086616</v>
      </c>
      <c r="I33" s="8">
        <v>2871.3329228094321</v>
      </c>
      <c r="J33" s="8">
        <v>1889.6604515987999</v>
      </c>
      <c r="K33" s="8">
        <v>1206.4631230128523</v>
      </c>
      <c r="L33" s="8">
        <v>3439.5709634169698</v>
      </c>
      <c r="M33" s="8">
        <v>4223.497572815535</v>
      </c>
      <c r="N33" s="8">
        <v>1902.1317473317074</v>
      </c>
      <c r="O33" s="8">
        <v>1269.3225628786488</v>
      </c>
      <c r="P33" s="8">
        <v>1901.0129160190793</v>
      </c>
      <c r="Q33" s="8">
        <v>1191.7638303150584</v>
      </c>
      <c r="R33" s="8">
        <v>2248.0605120248256</v>
      </c>
      <c r="S33" s="8">
        <v>3744.6872193953905</v>
      </c>
      <c r="T33" s="8">
        <v>4450.3975636766327</v>
      </c>
      <c r="U33" s="8">
        <v>4463.8631881676256</v>
      </c>
      <c r="V33" s="8">
        <v>2233.3333333333335</v>
      </c>
    </row>
    <row r="34" spans="1:22" ht="15.75" x14ac:dyDescent="0.25">
      <c r="A34" s="7">
        <v>1902</v>
      </c>
      <c r="B34" s="8">
        <v>2945.3133300541072</v>
      </c>
      <c r="C34" s="8">
        <v>3739.3750543242072</v>
      </c>
      <c r="D34" s="8">
        <v>714.78010861463099</v>
      </c>
      <c r="E34" s="8">
        <v>3330.9246017699111</v>
      </c>
      <c r="F34" s="8">
        <v>3141.0674799847507</v>
      </c>
      <c r="G34" s="8">
        <v>1591.3034251675354</v>
      </c>
      <c r="H34" s="8">
        <v>2775.2903986441679</v>
      </c>
      <c r="I34" s="8">
        <v>2893.4672750606019</v>
      </c>
      <c r="J34" s="8">
        <v>1821.433667165423</v>
      </c>
      <c r="K34" s="8">
        <v>1128.9048502927851</v>
      </c>
      <c r="L34" s="8">
        <v>3543.0725730442978</v>
      </c>
      <c r="M34" s="8">
        <v>4438.4928909952605</v>
      </c>
      <c r="N34" s="8">
        <v>1914.3614412497141</v>
      </c>
      <c r="O34" s="8">
        <v>1265.744448489261</v>
      </c>
      <c r="P34" s="8">
        <v>1833.0849478390462</v>
      </c>
      <c r="Q34" s="8">
        <v>1175.3868828297716</v>
      </c>
      <c r="R34" s="8">
        <v>2239.0591864276071</v>
      </c>
      <c r="S34" s="8">
        <v>3782.8014184397161</v>
      </c>
      <c r="T34" s="8">
        <v>4525.2808822476318</v>
      </c>
      <c r="U34" s="8">
        <v>4420.6301450880228</v>
      </c>
      <c r="V34" s="8">
        <v>2572.4867724867722</v>
      </c>
    </row>
    <row r="35" spans="1:22" ht="15.75" x14ac:dyDescent="0.25">
      <c r="A35" s="7">
        <v>1903</v>
      </c>
      <c r="B35" s="8">
        <v>2940.8862751460088</v>
      </c>
      <c r="C35" s="8">
        <v>3772.3527225953981</v>
      </c>
      <c r="D35" s="8">
        <v>713.9207507820646</v>
      </c>
      <c r="E35" s="8">
        <v>3333.6280750043011</v>
      </c>
      <c r="F35" s="8">
        <v>3290.2977761025254</v>
      </c>
      <c r="G35" s="8">
        <v>1685.7893569844791</v>
      </c>
      <c r="H35" s="8">
        <v>2830.5475163046149</v>
      </c>
      <c r="I35" s="8">
        <v>3008.1579972964914</v>
      </c>
      <c r="J35" s="8">
        <v>1893.2576542235577</v>
      </c>
      <c r="K35" s="8">
        <v>1192.6275386662592</v>
      </c>
      <c r="L35" s="8">
        <v>3562.2564483206534</v>
      </c>
      <c r="M35" s="8">
        <v>4727.4844290657447</v>
      </c>
      <c r="N35" s="8">
        <v>1891.4925065048078</v>
      </c>
      <c r="O35" s="8">
        <v>1273.0554051615234</v>
      </c>
      <c r="P35" s="8">
        <v>1828.8493049315505</v>
      </c>
      <c r="Q35" s="8">
        <v>1225.4571703561116</v>
      </c>
      <c r="R35" s="8">
        <v>2314.0115163147793</v>
      </c>
      <c r="S35" s="8">
        <v>3662.1936989498249</v>
      </c>
      <c r="T35" s="8">
        <v>4439.6162950338485</v>
      </c>
      <c r="U35" s="8">
        <v>4550.8943740271288</v>
      </c>
      <c r="V35" s="8">
        <v>2614.9843912591055</v>
      </c>
    </row>
    <row r="36" spans="1:22" ht="15.75" x14ac:dyDescent="0.25">
      <c r="A36" s="7">
        <v>1904</v>
      </c>
      <c r="B36" s="8">
        <v>2955.8501926782274</v>
      </c>
      <c r="C36" s="8">
        <v>3820.8353090601181</v>
      </c>
      <c r="D36" s="8">
        <v>712.76867309950478</v>
      </c>
      <c r="E36" s="8">
        <v>3279.5642308975639</v>
      </c>
      <c r="F36" s="8">
        <v>3325.5800074599028</v>
      </c>
      <c r="G36" s="8">
        <v>1730.9868372943326</v>
      </c>
      <c r="H36" s="8">
        <v>2846.7080692136369</v>
      </c>
      <c r="I36" s="8">
        <v>3083.353492717019</v>
      </c>
      <c r="J36" s="8">
        <v>1895.5854676804524</v>
      </c>
      <c r="K36" s="8">
        <v>1188.0882530510155</v>
      </c>
      <c r="L36" s="8">
        <v>3534.5521023765996</v>
      </c>
      <c r="M36" s="8">
        <v>4570.4210526315783</v>
      </c>
      <c r="N36" s="8">
        <v>1887.6614699686982</v>
      </c>
      <c r="O36" s="8">
        <v>1278.9407765253175</v>
      </c>
      <c r="P36" s="8">
        <v>1810.2362204724409</v>
      </c>
      <c r="Q36" s="8">
        <v>1215.2137963619182</v>
      </c>
      <c r="R36" s="8">
        <v>2394.0087769509637</v>
      </c>
      <c r="S36" s="8">
        <v>3808.4677419354839</v>
      </c>
      <c r="T36" s="8">
        <v>4427.9439581328761</v>
      </c>
      <c r="U36" s="8">
        <v>4409.5320240043638</v>
      </c>
      <c r="V36" s="8">
        <v>2639.71340839304</v>
      </c>
    </row>
    <row r="37" spans="1:22" ht="15.75" x14ac:dyDescent="0.25">
      <c r="A37" s="7">
        <v>1905</v>
      </c>
      <c r="B37" s="8">
        <v>3089.7773363000638</v>
      </c>
      <c r="C37" s="8">
        <v>3881.6399999999994</v>
      </c>
      <c r="D37" s="8">
        <v>718.14227865820123</v>
      </c>
      <c r="E37" s="8">
        <v>3561.8170613039251</v>
      </c>
      <c r="F37" s="8">
        <v>3345.9741697416976</v>
      </c>
      <c r="G37" s="8">
        <v>1741.8236784938447</v>
      </c>
      <c r="H37" s="8">
        <v>2894.020322817315</v>
      </c>
      <c r="I37" s="8">
        <v>3104.0454948502834</v>
      </c>
      <c r="J37" s="8">
        <v>1984.4338110303054</v>
      </c>
      <c r="K37" s="8">
        <v>1156.7547459907321</v>
      </c>
      <c r="L37" s="8">
        <v>3594.4874797333814</v>
      </c>
      <c r="M37" s="8">
        <v>4850.0010881392818</v>
      </c>
      <c r="N37" s="8">
        <v>1892.0972555472067</v>
      </c>
      <c r="O37" s="8">
        <v>1232.9253148838036</v>
      </c>
      <c r="P37" s="8">
        <v>1777.2957717033398</v>
      </c>
      <c r="Q37" s="8">
        <v>1178.8729180926307</v>
      </c>
      <c r="R37" s="8">
        <v>2366.0477453580902</v>
      </c>
      <c r="S37" s="8">
        <v>3913.0309159202543</v>
      </c>
      <c r="T37" s="8">
        <v>4520.47579162886</v>
      </c>
      <c r="U37" s="8">
        <v>4642.1638917608461</v>
      </c>
      <c r="V37" s="8">
        <v>2334.3403826787512</v>
      </c>
    </row>
    <row r="38" spans="1:22" ht="15.75" x14ac:dyDescent="0.25">
      <c r="A38" s="7">
        <v>1906</v>
      </c>
      <c r="B38" s="8">
        <v>3176.2326569136385</v>
      </c>
      <c r="C38" s="8">
        <v>3917.4721686414996</v>
      </c>
      <c r="D38" s="8">
        <v>770.3040093993244</v>
      </c>
      <c r="E38" s="8">
        <v>3846.2069404648205</v>
      </c>
      <c r="F38" s="8">
        <v>3401.7986136446552</v>
      </c>
      <c r="G38" s="8">
        <v>1794.3281922525105</v>
      </c>
      <c r="H38" s="8">
        <v>2943.2813736505304</v>
      </c>
      <c r="I38" s="8">
        <v>3152.1373211613795</v>
      </c>
      <c r="J38" s="8">
        <v>2042.309623153257</v>
      </c>
      <c r="K38" s="8">
        <v>1297.2095411523071</v>
      </c>
      <c r="L38" s="8">
        <v>3668.5014204545455</v>
      </c>
      <c r="M38" s="8">
        <v>5157.6786469344615</v>
      </c>
      <c r="N38" s="8">
        <v>1962.0530597751617</v>
      </c>
      <c r="O38" s="8">
        <v>1230.5663032008442</v>
      </c>
      <c r="P38" s="8">
        <v>1851.3149720439014</v>
      </c>
      <c r="Q38" s="8">
        <v>1190.4441453566621</v>
      </c>
      <c r="R38" s="8">
        <v>2544.4967074317969</v>
      </c>
      <c r="S38" s="8">
        <v>4205.6179775280898</v>
      </c>
      <c r="T38" s="8">
        <v>4631.0853531975745</v>
      </c>
      <c r="U38" s="8">
        <v>5079.124239244491</v>
      </c>
      <c r="V38" s="8">
        <v>2533.2011892963328</v>
      </c>
    </row>
    <row r="39" spans="1:22" ht="15.75" x14ac:dyDescent="0.25">
      <c r="A39" s="7">
        <v>1907</v>
      </c>
      <c r="B39" s="8">
        <v>3338.142656907024</v>
      </c>
      <c r="C39" s="8">
        <v>3932.0692286726626</v>
      </c>
      <c r="D39" s="8">
        <v>755.22531160115045</v>
      </c>
      <c r="E39" s="8">
        <v>3874.8502122498489</v>
      </c>
      <c r="F39" s="8">
        <v>3486.2810810810815</v>
      </c>
      <c r="G39" s="8">
        <v>1834.4877702942219</v>
      </c>
      <c r="H39" s="8">
        <v>3070.3294904987542</v>
      </c>
      <c r="I39" s="8">
        <v>3244.8733033923863</v>
      </c>
      <c r="J39" s="8">
        <v>2253.5903329015027</v>
      </c>
      <c r="K39" s="8">
        <v>1325.1545574636725</v>
      </c>
      <c r="L39" s="8">
        <v>3621.5411558669002</v>
      </c>
      <c r="M39" s="8">
        <v>5339.5201238390091</v>
      </c>
      <c r="N39" s="8">
        <v>2038.4699920347362</v>
      </c>
      <c r="O39" s="8">
        <v>1249.3461203138622</v>
      </c>
      <c r="P39" s="8">
        <v>1896.4010282776349</v>
      </c>
      <c r="Q39" s="8">
        <v>1233.266174166107</v>
      </c>
      <c r="R39" s="8">
        <v>2689.9383983572893</v>
      </c>
      <c r="S39" s="8">
        <v>4192.5638179800226</v>
      </c>
      <c r="T39" s="8">
        <v>4678.5787319660694</v>
      </c>
      <c r="U39" s="8">
        <v>5064.8904269570303</v>
      </c>
      <c r="V39" s="8">
        <v>2757.3099415204679</v>
      </c>
    </row>
    <row r="40" spans="1:22" ht="15.75" x14ac:dyDescent="0.25">
      <c r="A40" s="7">
        <v>1908</v>
      </c>
      <c r="B40" s="8">
        <v>3319.6635312259054</v>
      </c>
      <c r="C40" s="8">
        <v>3932.6200242882201</v>
      </c>
      <c r="D40" s="8">
        <v>734.12195465427408</v>
      </c>
      <c r="E40" s="8">
        <v>3572.0610597387349</v>
      </c>
      <c r="F40" s="8">
        <v>3552.1003915984338</v>
      </c>
      <c r="G40" s="8">
        <v>1828.9377839916115</v>
      </c>
      <c r="H40" s="8">
        <v>3044.9492033328461</v>
      </c>
      <c r="I40" s="8">
        <v>3254.3113406442544</v>
      </c>
      <c r="J40" s="8">
        <v>2288.3448583376708</v>
      </c>
      <c r="K40" s="8">
        <v>1318.4389556568585</v>
      </c>
      <c r="L40" s="8">
        <v>3576.5641202903562</v>
      </c>
      <c r="M40" s="8">
        <v>4834.9126506024104</v>
      </c>
      <c r="N40" s="8">
        <v>2088.0395869540071</v>
      </c>
      <c r="O40" s="8">
        <v>1219.2254495159061</v>
      </c>
      <c r="P40" s="8">
        <v>1957.1610926729638</v>
      </c>
      <c r="Q40" s="8">
        <v>1221.2389380530972</v>
      </c>
      <c r="R40" s="8">
        <v>2621.9467061435971</v>
      </c>
      <c r="S40" s="8">
        <v>4078.1464217164789</v>
      </c>
      <c r="T40" s="8">
        <v>4449.1916417369239</v>
      </c>
      <c r="U40" s="8">
        <v>4560.6159676604348</v>
      </c>
      <c r="V40" s="8">
        <v>2973.1543624161072</v>
      </c>
    </row>
    <row r="41" spans="1:22" ht="15.75" x14ac:dyDescent="0.25">
      <c r="A41" s="7">
        <v>1909</v>
      </c>
      <c r="B41" s="8">
        <v>3275.9793893129772</v>
      </c>
      <c r="C41" s="8">
        <v>3970.9208344477138</v>
      </c>
      <c r="D41" s="8">
        <v>776.22506205755258</v>
      </c>
      <c r="E41" s="8">
        <v>3849.5975975975975</v>
      </c>
      <c r="F41" s="8">
        <v>3642.5166959578205</v>
      </c>
      <c r="G41" s="8">
        <v>1884.3032080027597</v>
      </c>
      <c r="H41" s="8">
        <v>3166.8147850835576</v>
      </c>
      <c r="I41" s="8">
        <v>3274.7056965085912</v>
      </c>
      <c r="J41" s="8">
        <v>2443.7001958676365</v>
      </c>
      <c r="K41" s="8">
        <v>1300.5424911498087</v>
      </c>
      <c r="L41" s="8">
        <v>3660.3548277038553</v>
      </c>
      <c r="M41" s="8">
        <v>4770.4541015625</v>
      </c>
      <c r="N41" s="8">
        <v>2114.7121959356568</v>
      </c>
      <c r="O41" s="8">
        <v>1208.0905039424065</v>
      </c>
      <c r="P41" s="8">
        <v>1977.485928705441</v>
      </c>
      <c r="Q41" s="8">
        <v>1152.8898582333698</v>
      </c>
      <c r="R41" s="8">
        <v>2617.0915092609571</v>
      </c>
      <c r="S41" s="8">
        <v>4239.5014901110808</v>
      </c>
      <c r="T41" s="8">
        <v>4510.5231805929925</v>
      </c>
      <c r="U41" s="8">
        <v>5017.4959876713074</v>
      </c>
      <c r="V41" s="8">
        <v>2956.6854990583806</v>
      </c>
    </row>
    <row r="42" spans="1:22" ht="15.75" x14ac:dyDescent="0.25">
      <c r="A42" s="7">
        <v>1910</v>
      </c>
      <c r="B42" s="8">
        <v>3290.3731478681584</v>
      </c>
      <c r="C42" s="8">
        <v>4063.8668978394239</v>
      </c>
      <c r="D42" s="8">
        <v>768.72524306805906</v>
      </c>
      <c r="E42" s="8">
        <v>4065.7612687813021</v>
      </c>
      <c r="F42" s="8">
        <v>3705.0832755031229</v>
      </c>
      <c r="G42" s="8">
        <v>1906.4479344486176</v>
      </c>
      <c r="H42" s="8">
        <v>2965.207015330875</v>
      </c>
      <c r="I42" s="8">
        <v>3347.6477959417348</v>
      </c>
      <c r="J42" s="8">
        <v>2331.9758661687583</v>
      </c>
      <c r="K42" s="8">
        <v>1303.7552607132759</v>
      </c>
      <c r="L42" s="8">
        <v>3788.9226612630869</v>
      </c>
      <c r="M42" s="8">
        <v>5316.3071770334927</v>
      </c>
      <c r="N42" s="8">
        <v>2185.9659711598574</v>
      </c>
      <c r="O42" s="8">
        <v>1227.906186267845</v>
      </c>
      <c r="P42" s="8">
        <v>1895.1052472555141</v>
      </c>
      <c r="Q42" s="8">
        <v>1208.011996572408</v>
      </c>
      <c r="R42" s="8">
        <v>2775.9592653209675</v>
      </c>
      <c r="S42" s="8">
        <v>4331.1914323962519</v>
      </c>
      <c r="T42" s="8">
        <v>4610.7800338409479</v>
      </c>
      <c r="U42" s="8">
        <v>4963.7357034290217</v>
      </c>
      <c r="V42" s="8">
        <v>3135.9851988899168</v>
      </c>
    </row>
    <row r="43" spans="1:22" ht="15.75" x14ac:dyDescent="0.25">
      <c r="A43" s="7">
        <v>1911</v>
      </c>
      <c r="B43" s="8">
        <v>3365.2132253711206</v>
      </c>
      <c r="C43" s="8">
        <v>4148.2649993348405</v>
      </c>
      <c r="D43" s="8">
        <v>835.67681932384187</v>
      </c>
      <c r="E43" s="8">
        <v>4212.5376518218627</v>
      </c>
      <c r="F43" s="8">
        <v>3856.6609530339388</v>
      </c>
      <c r="G43" s="8">
        <v>1939.1326806212023</v>
      </c>
      <c r="H43" s="8">
        <v>3249.5770934708407</v>
      </c>
      <c r="I43" s="8">
        <v>3408.4044979013975</v>
      </c>
      <c r="J43" s="8">
        <v>2460.6150194287757</v>
      </c>
      <c r="K43" s="8">
        <v>1355.578014537489</v>
      </c>
      <c r="L43" s="8">
        <v>3887.5334224598932</v>
      </c>
      <c r="M43" s="8">
        <v>5493.8462980318654</v>
      </c>
      <c r="N43" s="8">
        <v>2255.0903953290299</v>
      </c>
      <c r="O43" s="8">
        <v>1241.6175231676496</v>
      </c>
      <c r="P43" s="8">
        <v>2017.2051615484645</v>
      </c>
      <c r="Q43" s="8">
        <v>1160.1849905402564</v>
      </c>
      <c r="R43" s="8">
        <v>2813.9660772284374</v>
      </c>
      <c r="S43" s="8">
        <v>4377.6483050847455</v>
      </c>
      <c r="T43" s="8">
        <v>4708.8999293098886</v>
      </c>
      <c r="U43" s="8">
        <v>5045.6839038988055</v>
      </c>
      <c r="V43" s="8">
        <v>2956.8345323741005</v>
      </c>
    </row>
    <row r="44" spans="1:22" ht="15.75" x14ac:dyDescent="0.25">
      <c r="A44" s="7">
        <v>1912</v>
      </c>
      <c r="B44" s="8">
        <v>3505.0944378346226</v>
      </c>
      <c r="C44" s="8">
        <v>4206.3885375494074</v>
      </c>
      <c r="D44" s="8">
        <v>809.17645027624303</v>
      </c>
      <c r="E44" s="8">
        <v>4377.130755064456</v>
      </c>
      <c r="F44" s="8">
        <v>3812.226363944425</v>
      </c>
      <c r="G44" s="8">
        <v>2022.4019346230823</v>
      </c>
      <c r="H44" s="8">
        <v>3514.4934355279374</v>
      </c>
      <c r="I44" s="8">
        <v>3523.6936872643782</v>
      </c>
      <c r="J44" s="8">
        <v>2464.9738593964012</v>
      </c>
      <c r="K44" s="8">
        <v>1384.082605366993</v>
      </c>
      <c r="L44" s="8">
        <v>3954.8450889914302</v>
      </c>
      <c r="M44" s="8">
        <v>5209.2527472527472</v>
      </c>
      <c r="N44" s="8">
        <v>2344.4584140119273</v>
      </c>
      <c r="O44" s="8">
        <v>1256.5392354124749</v>
      </c>
      <c r="P44" s="8">
        <v>1988.6724960254371</v>
      </c>
      <c r="Q44" s="8">
        <v>1156.5635451505016</v>
      </c>
      <c r="R44" s="8">
        <v>2900.0537345513162</v>
      </c>
      <c r="S44" s="8">
        <v>4373.1343283582091</v>
      </c>
      <c r="T44" s="8">
        <v>4761.7473253203007</v>
      </c>
      <c r="U44" s="8">
        <v>5200.6984734020871</v>
      </c>
      <c r="V44" s="8">
        <v>3507.867132867133</v>
      </c>
    </row>
    <row r="45" spans="1:22" ht="15.75" x14ac:dyDescent="0.25">
      <c r="A45" s="7">
        <v>1913</v>
      </c>
      <c r="B45" s="8">
        <v>3465.4943106250926</v>
      </c>
      <c r="C45" s="8">
        <v>4219.5408296373598</v>
      </c>
      <c r="D45" s="8">
        <v>810.98901098901104</v>
      </c>
      <c r="E45" s="8">
        <v>4446.7651553744272</v>
      </c>
      <c r="F45" s="8">
        <v>3912.168957425411</v>
      </c>
      <c r="G45" s="8">
        <v>2110.6706309877763</v>
      </c>
      <c r="H45" s="8">
        <v>3484.7695535778889</v>
      </c>
      <c r="I45" s="8">
        <v>3648.006394294322</v>
      </c>
      <c r="J45" s="8">
        <v>2563.5470360824743</v>
      </c>
      <c r="K45" s="8">
        <v>1386.6891159622232</v>
      </c>
      <c r="L45" s="8">
        <v>4048.5074626865671</v>
      </c>
      <c r="M45" s="8">
        <v>5152.4064171122991</v>
      </c>
      <c r="N45" s="8">
        <v>2447.0649770419286</v>
      </c>
      <c r="O45" s="8">
        <v>1250.3348961821837</v>
      </c>
      <c r="P45" s="8">
        <v>2055.6186152099885</v>
      </c>
      <c r="Q45" s="8">
        <v>1234.2548326751196</v>
      </c>
      <c r="R45" s="8">
        <v>3072.9407578722644</v>
      </c>
      <c r="S45" s="8">
        <v>4265.7867494824022</v>
      </c>
      <c r="T45" s="8">
        <v>4920.5459046200358</v>
      </c>
      <c r="U45" s="8">
        <v>5300.7294633526626</v>
      </c>
      <c r="V45" s="8">
        <v>3310.1104502973662</v>
      </c>
    </row>
    <row r="46" spans="1:22" ht="15.75" x14ac:dyDescent="0.25">
      <c r="A46" s="7">
        <v>1914</v>
      </c>
      <c r="B46" s="8">
        <v>2875.6295285672309</v>
      </c>
      <c r="C46" s="8">
        <v>3923.3325132720447</v>
      </c>
      <c r="D46" s="8">
        <v>779.93460535573854</v>
      </c>
      <c r="E46" s="8">
        <v>4025.284566909675</v>
      </c>
      <c r="F46" s="8">
        <v>4110.4075546719687</v>
      </c>
      <c r="G46" s="8">
        <v>2000.6170979364556</v>
      </c>
      <c r="H46" s="8">
        <v>3236.3362185360215</v>
      </c>
      <c r="I46" s="8">
        <v>3059.2904865649971</v>
      </c>
      <c r="J46" s="8">
        <v>2542.5725515532522</v>
      </c>
      <c r="K46" s="8">
        <v>1326.502213909459</v>
      </c>
      <c r="L46" s="8">
        <v>3868.283415644416</v>
      </c>
      <c r="M46" s="8">
        <v>5189.2440944881882</v>
      </c>
      <c r="N46" s="8">
        <v>2472.2794637567554</v>
      </c>
      <c r="O46" s="8">
        <v>1257.5250836120401</v>
      </c>
      <c r="P46" s="8">
        <v>2013.677811550152</v>
      </c>
      <c r="Q46" s="8">
        <v>1209.7974369574206</v>
      </c>
      <c r="R46" s="8">
        <v>3100.0176709666021</v>
      </c>
      <c r="S46" s="8">
        <v>4233.1244780367188</v>
      </c>
      <c r="T46" s="8">
        <v>4926.5821190471015</v>
      </c>
      <c r="U46" s="8">
        <v>4799.2011356213252</v>
      </c>
      <c r="V46" s="8">
        <v>2654.1291905151265</v>
      </c>
    </row>
    <row r="47" spans="1:22" ht="15.75" x14ac:dyDescent="0.25">
      <c r="A47" s="7">
        <v>1915</v>
      </c>
      <c r="B47" s="8">
        <v>2652.9919834658986</v>
      </c>
      <c r="C47" s="8">
        <v>3858.079391674185</v>
      </c>
      <c r="D47" s="8">
        <v>797.92494123368726</v>
      </c>
      <c r="E47" s="8">
        <v>4232.8882920278347</v>
      </c>
      <c r="F47" s="8">
        <v>3777.9476268412436</v>
      </c>
      <c r="G47" s="8">
        <v>1881.6775867661368</v>
      </c>
      <c r="H47" s="8">
        <v>3248.0667473629601</v>
      </c>
      <c r="I47" s="8">
        <v>2899.0123508983843</v>
      </c>
      <c r="J47" s="8">
        <v>2810.0049572931621</v>
      </c>
      <c r="K47" s="8">
        <v>1429.7150064001203</v>
      </c>
      <c r="L47" s="8">
        <v>3925.6810007818608</v>
      </c>
      <c r="M47" s="8">
        <v>5173.794270833333</v>
      </c>
      <c r="N47" s="8">
        <v>2554.2310596303842</v>
      </c>
      <c r="O47" s="8">
        <v>1227.7889111556447</v>
      </c>
      <c r="P47" s="8">
        <v>2032.919405892379</v>
      </c>
      <c r="Q47" s="8">
        <v>1136.3914373088685</v>
      </c>
      <c r="R47" s="8">
        <v>3126.9311797752807</v>
      </c>
      <c r="S47" s="8">
        <v>4290.0641725001751</v>
      </c>
      <c r="T47" s="8">
        <v>5288.2658178679321</v>
      </c>
      <c r="U47" s="8">
        <v>4864.1926174696109</v>
      </c>
      <c r="V47" s="8">
        <v>2470.3049759229534</v>
      </c>
    </row>
    <row r="48" spans="1:22" ht="15.75" x14ac:dyDescent="0.25">
      <c r="A48" s="7">
        <v>1916</v>
      </c>
      <c r="B48" s="8">
        <v>2627.5918995290426</v>
      </c>
      <c r="C48" s="8">
        <v>4080.4346817830456</v>
      </c>
      <c r="D48" s="8">
        <v>804.1830376632139</v>
      </c>
      <c r="E48" s="8">
        <v>4646.1149257365469</v>
      </c>
      <c r="F48" s="8">
        <v>3891.2580853816303</v>
      </c>
      <c r="G48" s="8">
        <v>1893.0370370370372</v>
      </c>
      <c r="H48" s="8">
        <v>3463.3307592016845</v>
      </c>
      <c r="I48" s="8">
        <v>2934.503359767541</v>
      </c>
      <c r="J48" s="8">
        <v>3139.486046983191</v>
      </c>
      <c r="K48" s="8">
        <v>1629.7179596766703</v>
      </c>
      <c r="L48" s="8">
        <v>3956.1870779619398</v>
      </c>
      <c r="M48" s="8">
        <v>5120.3142857142857</v>
      </c>
      <c r="N48" s="8">
        <v>2627.837431640603</v>
      </c>
      <c r="O48" s="8">
        <v>1233.6557705136756</v>
      </c>
      <c r="P48" s="8">
        <v>2113.2394911236879</v>
      </c>
      <c r="Q48" s="8">
        <v>1172.6010863005431</v>
      </c>
      <c r="R48" s="8">
        <v>3265.0392327811683</v>
      </c>
      <c r="S48" s="8">
        <v>4276.5576288249476</v>
      </c>
      <c r="T48" s="8">
        <v>5384.3804015995183</v>
      </c>
      <c r="U48" s="8">
        <v>5458.6928998476023</v>
      </c>
      <c r="V48" s="8">
        <v>2508.274231678487</v>
      </c>
    </row>
    <row r="49" spans="1:22" ht="15.75" x14ac:dyDescent="0.25">
      <c r="A49" s="7">
        <v>1917</v>
      </c>
      <c r="B49" s="8">
        <v>2586.3004105695341</v>
      </c>
      <c r="C49" s="8">
        <v>3519.1106223314791</v>
      </c>
      <c r="D49" s="8">
        <v>841.90890719726406</v>
      </c>
      <c r="E49" s="8">
        <v>4800.5808867947317</v>
      </c>
      <c r="F49" s="8">
        <v>3616.5814696485622</v>
      </c>
      <c r="G49" s="8">
        <v>1580.8889244558254</v>
      </c>
      <c r="H49" s="8">
        <v>2978.9271533292608</v>
      </c>
      <c r="I49" s="8">
        <v>2952.0790718184994</v>
      </c>
      <c r="J49" s="8">
        <v>3301.2079815482689</v>
      </c>
      <c r="K49" s="8">
        <v>1665.0631923140511</v>
      </c>
      <c r="L49" s="8">
        <v>3626.6133152990683</v>
      </c>
      <c r="M49" s="8">
        <v>5008.192708333333</v>
      </c>
      <c r="N49" s="8">
        <v>2361.3115719114462</v>
      </c>
      <c r="O49" s="8">
        <v>1212.4895920066613</v>
      </c>
      <c r="P49" s="8">
        <v>2073.4227091442026</v>
      </c>
      <c r="Q49" s="8">
        <v>1217.6587301587301</v>
      </c>
      <c r="R49" s="8">
        <v>3021.9761204360616</v>
      </c>
      <c r="S49" s="8">
        <v>3803.9471099887764</v>
      </c>
      <c r="T49" s="8">
        <v>5421.0162183035136</v>
      </c>
      <c r="U49" s="8">
        <v>5247.7368735370892</v>
      </c>
      <c r="V49" s="8">
        <v>2717.4922600619198</v>
      </c>
    </row>
    <row r="50" spans="1:22" ht="15.75" x14ac:dyDescent="0.25">
      <c r="A50" s="7">
        <v>1918</v>
      </c>
      <c r="B50" s="8">
        <v>2554.8138631102806</v>
      </c>
      <c r="C50" s="8">
        <v>2861.2797650130551</v>
      </c>
      <c r="D50" s="8">
        <v>807.66449746926969</v>
      </c>
      <c r="E50" s="8">
        <v>4440.5946978743732</v>
      </c>
      <c r="F50" s="8">
        <v>3458.5971563981038</v>
      </c>
      <c r="G50" s="8">
        <v>1369.8016</v>
      </c>
      <c r="H50" s="8">
        <v>2395.5287997509208</v>
      </c>
      <c r="I50" s="8">
        <v>2983.1574106718576</v>
      </c>
      <c r="J50" s="8">
        <v>3391.5049600428692</v>
      </c>
      <c r="K50" s="8">
        <v>1668.4133294464891</v>
      </c>
      <c r="L50" s="8">
        <v>3352.2193424170619</v>
      </c>
      <c r="M50" s="8">
        <v>4910.8494809688591</v>
      </c>
      <c r="N50" s="8">
        <v>2242.8816490908457</v>
      </c>
      <c r="O50" s="8">
        <v>1149.6757026442708</v>
      </c>
      <c r="P50" s="8">
        <v>2045.0596658711215</v>
      </c>
      <c r="Q50" s="8">
        <v>1107.4574280681152</v>
      </c>
      <c r="R50" s="8">
        <v>2820.0447735491648</v>
      </c>
      <c r="S50" s="8">
        <v>3798.273313027179</v>
      </c>
      <c r="T50" s="8">
        <v>5459.3145679012341</v>
      </c>
      <c r="U50" s="8">
        <v>5658.9843937575033</v>
      </c>
      <c r="V50" s="8">
        <v>2827.5075987841947</v>
      </c>
    </row>
    <row r="51" spans="1:22" ht="15.75" x14ac:dyDescent="0.25">
      <c r="A51" s="7">
        <v>1919</v>
      </c>
      <c r="B51" s="8">
        <v>2258.9981975967958</v>
      </c>
      <c r="C51" s="8">
        <v>3389.4199003670687</v>
      </c>
      <c r="D51" s="8">
        <v>895.24874231414196</v>
      </c>
      <c r="E51" s="8">
        <v>4019.3430042115119</v>
      </c>
      <c r="F51" s="8">
        <v>3859.6283572767024</v>
      </c>
      <c r="G51" s="8">
        <v>1658.2293872313121</v>
      </c>
      <c r="H51" s="8">
        <v>2811.3751162790695</v>
      </c>
      <c r="I51" s="8">
        <v>2586.271821890432</v>
      </c>
      <c r="J51" s="8">
        <v>2845.0929626519387</v>
      </c>
      <c r="K51" s="8">
        <v>1827.2143955984293</v>
      </c>
      <c r="L51" s="8">
        <v>4121.8839088905215</v>
      </c>
      <c r="M51" s="8">
        <v>5282.7213389121343</v>
      </c>
      <c r="N51" s="8">
        <v>2601.9567881530925</v>
      </c>
      <c r="O51" s="8">
        <v>1173.2270386978907</v>
      </c>
      <c r="P51" s="8">
        <v>2044.0946375231142</v>
      </c>
      <c r="Q51" s="8">
        <v>1166.4413979532728</v>
      </c>
      <c r="R51" s="8">
        <v>2938.0789022298454</v>
      </c>
      <c r="S51" s="8">
        <v>4059.6537982565383</v>
      </c>
      <c r="T51" s="8">
        <v>4870.4079167920236</v>
      </c>
      <c r="U51" s="8">
        <v>5680.4064926568881</v>
      </c>
      <c r="V51" s="8">
        <v>3134.9739000745712</v>
      </c>
    </row>
    <row r="52" spans="1:22" ht="15.75" x14ac:dyDescent="0.25">
      <c r="A52" s="7">
        <v>1920</v>
      </c>
      <c r="B52" s="8">
        <v>2412.31045701007</v>
      </c>
      <c r="C52" s="8">
        <v>3961.9935116525421</v>
      </c>
      <c r="D52" s="8">
        <v>963.10757553641804</v>
      </c>
      <c r="E52" s="8">
        <v>3861.4762446010454</v>
      </c>
      <c r="F52" s="8">
        <v>3991.9895126465149</v>
      </c>
      <c r="G52" s="8">
        <v>1845.5298436003832</v>
      </c>
      <c r="H52" s="8">
        <v>3226.9209999999994</v>
      </c>
      <c r="I52" s="8">
        <v>2795.595625184747</v>
      </c>
      <c r="J52" s="8">
        <v>2587.2326131753639</v>
      </c>
      <c r="K52" s="8">
        <v>1695.7542907305885</v>
      </c>
      <c r="L52" s="8">
        <v>4219.9021612149527</v>
      </c>
      <c r="M52" s="8">
        <v>5641.2497985495575</v>
      </c>
      <c r="N52" s="8">
        <v>2739.0610630108922</v>
      </c>
      <c r="O52" s="8">
        <v>1229.2254105158399</v>
      </c>
      <c r="P52" s="8">
        <v>2177.1853805576488</v>
      </c>
      <c r="Q52" s="8">
        <v>1092</v>
      </c>
      <c r="R52" s="8">
        <v>3110.9598366235532</v>
      </c>
      <c r="S52" s="8">
        <v>4314.0958566839399</v>
      </c>
      <c r="T52" s="8">
        <v>4547.9136285000313</v>
      </c>
      <c r="U52" s="8">
        <v>5552.3273640778061</v>
      </c>
      <c r="V52" s="8">
        <v>2673.9606126914659</v>
      </c>
    </row>
    <row r="53" spans="1:22" ht="15.75" x14ac:dyDescent="0.25">
      <c r="A53" s="7">
        <v>1921</v>
      </c>
      <c r="B53" s="8">
        <v>2650.136070110701</v>
      </c>
      <c r="C53" s="8">
        <v>4056.3069029850744</v>
      </c>
      <c r="D53" s="8">
        <v>963.35228288462224</v>
      </c>
      <c r="E53" s="8">
        <v>3357.0101905183869</v>
      </c>
      <c r="F53" s="8">
        <v>3826.0547945205481</v>
      </c>
      <c r="G53" s="8">
        <v>1884.4526813880127</v>
      </c>
      <c r="H53" s="8">
        <v>3074.6257645259939</v>
      </c>
      <c r="I53" s="8">
        <v>3077.8263199779126</v>
      </c>
      <c r="J53" s="8">
        <v>2528.1003028846876</v>
      </c>
      <c r="K53" s="8">
        <v>1859.5025314214904</v>
      </c>
      <c r="L53" s="8">
        <v>4431.3964744979057</v>
      </c>
      <c r="M53" s="8">
        <v>5128.0870588235293</v>
      </c>
      <c r="N53" s="8">
        <v>2442.8996652013498</v>
      </c>
      <c r="O53" s="8">
        <v>1289.902816669412</v>
      </c>
      <c r="P53" s="8">
        <v>2212.4141796272943</v>
      </c>
      <c r="Q53" s="8">
        <v>1059.0120663650075</v>
      </c>
      <c r="R53" s="8">
        <v>2820.0371057513912</v>
      </c>
      <c r="S53" s="8">
        <v>4208.1211886668543</v>
      </c>
      <c r="T53" s="8">
        <v>4439.1513432564889</v>
      </c>
      <c r="U53" s="8">
        <v>5322.7335909107596</v>
      </c>
      <c r="V53" s="8">
        <v>2751.0699001426533</v>
      </c>
    </row>
    <row r="54" spans="1:22" ht="15.75" x14ac:dyDescent="0.25">
      <c r="A54" s="7">
        <v>1922</v>
      </c>
      <c r="B54" s="8">
        <v>2877.489430147059</v>
      </c>
      <c r="C54" s="8">
        <v>4413.4791969356756</v>
      </c>
      <c r="D54" s="8">
        <v>1009.0743465769742</v>
      </c>
      <c r="E54" s="8">
        <v>3793.1455399061028</v>
      </c>
      <c r="F54" s="8">
        <v>4166.351595424444</v>
      </c>
      <c r="G54" s="8">
        <v>2058.0143302180691</v>
      </c>
      <c r="H54" s="8">
        <v>3610.3923135464233</v>
      </c>
      <c r="I54" s="8">
        <v>3330.9854604200323</v>
      </c>
      <c r="J54" s="8">
        <v>2631.1542875798655</v>
      </c>
      <c r="K54" s="8">
        <v>1831.1224807285566</v>
      </c>
      <c r="L54" s="8">
        <v>4599.2150170648465</v>
      </c>
      <c r="M54" s="8">
        <v>4841.1441717791422</v>
      </c>
      <c r="N54" s="8">
        <v>2678.0801117008164</v>
      </c>
      <c r="O54" s="8">
        <v>1429.8730881874392</v>
      </c>
      <c r="P54" s="8">
        <v>2283.6138339189938</v>
      </c>
      <c r="Q54" s="8">
        <v>1086.4542574995342</v>
      </c>
      <c r="R54" s="8">
        <v>3105.0075364260592</v>
      </c>
      <c r="S54" s="8">
        <v>4617.9785281832255</v>
      </c>
      <c r="T54" s="8">
        <v>4636.935184350491</v>
      </c>
      <c r="U54" s="8">
        <v>5539.843678722711</v>
      </c>
      <c r="V54" s="8">
        <v>3078.1577110956036</v>
      </c>
    </row>
    <row r="55" spans="1:22" ht="15.75" x14ac:dyDescent="0.25">
      <c r="A55" s="7">
        <v>1923</v>
      </c>
      <c r="B55" s="8">
        <v>2842.2196240256767</v>
      </c>
      <c r="C55" s="8">
        <v>4533.2403405370005</v>
      </c>
      <c r="D55" s="8">
        <v>1045.5950010300076</v>
      </c>
      <c r="E55" s="8">
        <v>3975.9576490924815</v>
      </c>
      <c r="F55" s="8">
        <v>4558.8110846245527</v>
      </c>
      <c r="G55" s="8">
        <v>2186.799259944496</v>
      </c>
      <c r="H55" s="8">
        <v>3753.525677031093</v>
      </c>
      <c r="I55" s="8">
        <v>2749.5786990225815</v>
      </c>
      <c r="J55" s="8">
        <v>2763.0230971264423</v>
      </c>
      <c r="K55" s="8">
        <v>1809.3504841465731</v>
      </c>
      <c r="L55" s="8">
        <v>4634.9986013986017</v>
      </c>
      <c r="M55" s="8">
        <v>5144.4796380090493</v>
      </c>
      <c r="N55" s="8">
        <v>2732.1248314814598</v>
      </c>
      <c r="O55" s="8">
        <v>1473.4051100755264</v>
      </c>
      <c r="P55" s="8">
        <v>2289.9253902137593</v>
      </c>
      <c r="Q55" s="8">
        <v>1065.6100258016957</v>
      </c>
      <c r="R55" s="8">
        <v>3248.9578122394528</v>
      </c>
      <c r="S55" s="8">
        <v>4873.9327605178742</v>
      </c>
      <c r="T55" s="8">
        <v>4759.7096152121267</v>
      </c>
      <c r="U55" s="8">
        <v>6164.1990354756335</v>
      </c>
      <c r="V55" s="8">
        <v>3169.9658703071673</v>
      </c>
    </row>
    <row r="56" spans="1:22" ht="15.75" x14ac:dyDescent="0.25">
      <c r="A56" s="7">
        <v>1924</v>
      </c>
      <c r="B56" s="8">
        <v>3162.7758305394696</v>
      </c>
      <c r="C56" s="8">
        <v>4637.7883742052672</v>
      </c>
      <c r="D56" s="8">
        <v>1023.920869360428</v>
      </c>
      <c r="E56" s="8">
        <v>3977.0193740685545</v>
      </c>
      <c r="F56" s="8">
        <v>4528.1941575686042</v>
      </c>
      <c r="G56" s="8">
        <v>2224.0437041564792</v>
      </c>
      <c r="H56" s="8">
        <v>4179.4635078144374</v>
      </c>
      <c r="I56" s="8">
        <v>3198.8292900776751</v>
      </c>
      <c r="J56" s="8">
        <v>2765.0662688738321</v>
      </c>
      <c r="K56" s="8">
        <v>1836.3172136455032</v>
      </c>
      <c r="L56" s="8">
        <v>4895.4949063876657</v>
      </c>
      <c r="M56" s="8">
        <v>5142.9488888888882</v>
      </c>
      <c r="N56" s="8">
        <v>2715.1208223831809</v>
      </c>
      <c r="O56" s="8">
        <v>1401.2698412698412</v>
      </c>
      <c r="P56" s="8">
        <v>2331.0072953011008</v>
      </c>
      <c r="Q56" s="8">
        <v>1127.6595744680851</v>
      </c>
      <c r="R56" s="8">
        <v>3407.0752366716492</v>
      </c>
      <c r="S56" s="8">
        <v>5038.8226386036949</v>
      </c>
      <c r="T56" s="8">
        <v>4920.9420460870533</v>
      </c>
      <c r="U56" s="8">
        <v>6232.5506730215266</v>
      </c>
      <c r="V56" s="8">
        <v>3397.1962616822429</v>
      </c>
    </row>
    <row r="57" spans="1:22" ht="15.75" x14ac:dyDescent="0.25">
      <c r="A57" s="7">
        <v>1925</v>
      </c>
      <c r="B57" s="8">
        <v>3366.939380127621</v>
      </c>
      <c r="C57" s="8">
        <v>4665.5526417277288</v>
      </c>
      <c r="D57" s="8">
        <v>1007.3849399973625</v>
      </c>
      <c r="E57" s="8">
        <v>4340.2756309561209</v>
      </c>
      <c r="F57" s="8">
        <v>4378.3795620437959</v>
      </c>
      <c r="G57" s="8">
        <v>2328.1949152542375</v>
      </c>
      <c r="H57" s="8">
        <v>4166.3782073380935</v>
      </c>
      <c r="I57" s="8">
        <v>3531.6784346008931</v>
      </c>
      <c r="J57" s="8">
        <v>2920.8872930006273</v>
      </c>
      <c r="K57" s="8">
        <v>1885.1617553173614</v>
      </c>
      <c r="L57" s="8">
        <v>5030.9767852294326</v>
      </c>
      <c r="M57" s="8">
        <v>5291.581041968162</v>
      </c>
      <c r="N57" s="8">
        <v>2863.1552407880599</v>
      </c>
      <c r="O57" s="8">
        <v>1446.0645970523676</v>
      </c>
      <c r="P57" s="8">
        <v>2450.5203660506008</v>
      </c>
      <c r="Q57" s="8">
        <v>1186.9209809264305</v>
      </c>
      <c r="R57" s="8">
        <v>3414.0612076095945</v>
      </c>
      <c r="S57" s="8">
        <v>5387.538107416879</v>
      </c>
      <c r="T57" s="8">
        <v>5144.4944628154199</v>
      </c>
      <c r="U57" s="8">
        <v>6282.4188710398676</v>
      </c>
      <c r="V57" s="8">
        <v>3187.7444589308993</v>
      </c>
    </row>
    <row r="58" spans="1:22" ht="15.75" x14ac:dyDescent="0.25">
      <c r="A58" s="7">
        <v>1926</v>
      </c>
      <c r="B58" s="8">
        <v>3413.0563380281692</v>
      </c>
      <c r="C58" s="8">
        <v>4783.5951045385009</v>
      </c>
      <c r="D58" s="8">
        <v>1008.3029108648595</v>
      </c>
      <c r="E58" s="8">
        <v>4497.057139915577</v>
      </c>
      <c r="F58" s="8">
        <v>4597.6825028968715</v>
      </c>
      <c r="G58" s="8">
        <v>2391.8089248277929</v>
      </c>
      <c r="H58" s="8">
        <v>4249.4685099094695</v>
      </c>
      <c r="I58" s="8">
        <v>3604.6361779035046</v>
      </c>
      <c r="J58" s="8">
        <v>2926.303035505734</v>
      </c>
      <c r="K58" s="8">
        <v>1871.5777814514795</v>
      </c>
      <c r="L58" s="8">
        <v>5357.7593360995852</v>
      </c>
      <c r="M58" s="8">
        <v>4904.8427762039655</v>
      </c>
      <c r="N58" s="8">
        <v>2889.272777387007</v>
      </c>
      <c r="O58" s="8">
        <v>1419.0800681431006</v>
      </c>
      <c r="P58" s="8">
        <v>2416.9109157118751</v>
      </c>
      <c r="Q58" s="8">
        <v>1266.3660955816049</v>
      </c>
      <c r="R58" s="8">
        <v>3673.9775725593668</v>
      </c>
      <c r="S58" s="8">
        <v>5625.6831129196335</v>
      </c>
      <c r="T58" s="8">
        <v>4936.1136363636369</v>
      </c>
      <c r="U58" s="8">
        <v>6602.4422138693508</v>
      </c>
      <c r="V58" s="8">
        <v>3397.8357733927432</v>
      </c>
    </row>
    <row r="59" spans="1:22" ht="15.75" x14ac:dyDescent="0.25">
      <c r="A59" s="7">
        <v>1927</v>
      </c>
      <c r="B59" s="8">
        <v>3505.4340933111889</v>
      </c>
      <c r="C59" s="8">
        <v>4923.2592358299589</v>
      </c>
      <c r="D59" s="8">
        <v>1059.8030835470288</v>
      </c>
      <c r="E59" s="8">
        <v>4846.9964664310955</v>
      </c>
      <c r="F59" s="8">
        <v>4657.9251798561154</v>
      </c>
      <c r="G59" s="8">
        <v>2557.1175771971498</v>
      </c>
      <c r="H59" s="8">
        <v>4153.9705178309732</v>
      </c>
      <c r="I59" s="8">
        <v>3941.0992924417787</v>
      </c>
      <c r="J59" s="8">
        <v>2838.1424324717145</v>
      </c>
      <c r="K59" s="8">
        <v>1869.7665472895978</v>
      </c>
      <c r="L59" s="8">
        <v>5504.1981256599793</v>
      </c>
      <c r="M59" s="8">
        <v>4682.7306889352813</v>
      </c>
      <c r="N59" s="8">
        <v>2985.567280364216</v>
      </c>
      <c r="O59" s="8">
        <v>1647.5986540226368</v>
      </c>
      <c r="P59" s="8">
        <v>2599.9032839495317</v>
      </c>
      <c r="Q59" s="8">
        <v>1261.4916830620639</v>
      </c>
      <c r="R59" s="8">
        <v>3779.9703996053281</v>
      </c>
      <c r="S59" s="8">
        <v>5891.5475227502538</v>
      </c>
      <c r="T59" s="8">
        <v>5314.9382449492168</v>
      </c>
      <c r="U59" s="8">
        <v>6576.4989456243411</v>
      </c>
      <c r="V59" s="8">
        <v>3797.2636815920396</v>
      </c>
    </row>
    <row r="60" spans="1:22" ht="15.75" x14ac:dyDescent="0.25">
      <c r="A60" s="7">
        <v>1928</v>
      </c>
      <c r="B60" s="8">
        <v>3657.2687038988411</v>
      </c>
      <c r="C60" s="8">
        <v>5139.4706325301204</v>
      </c>
      <c r="D60" s="8">
        <v>1158.1870075076006</v>
      </c>
      <c r="E60" s="8">
        <v>5171.5891956070045</v>
      </c>
      <c r="F60" s="8">
        <v>4785.4675436088073</v>
      </c>
      <c r="G60" s="8">
        <v>2707.2352767962311</v>
      </c>
      <c r="H60" s="8">
        <v>4431.4653105968337</v>
      </c>
      <c r="I60" s="8">
        <v>4089.9942540338234</v>
      </c>
      <c r="J60" s="8">
        <v>3015.5367261601491</v>
      </c>
      <c r="K60" s="8">
        <v>1992.3718670322799</v>
      </c>
      <c r="L60" s="8">
        <v>5719.5989061075661</v>
      </c>
      <c r="M60" s="8">
        <v>5140.8755158184331</v>
      </c>
      <c r="N60" s="8">
        <v>3105.9016558909871</v>
      </c>
      <c r="O60" s="8">
        <v>1470.3127360628494</v>
      </c>
      <c r="P60" s="8">
        <v>2583.9317578448013</v>
      </c>
      <c r="Q60" s="8">
        <v>1256.893542757417</v>
      </c>
      <c r="R60" s="8">
        <v>3885.0254223388552</v>
      </c>
      <c r="S60" s="8">
        <v>6170.7921263791377</v>
      </c>
      <c r="T60" s="8">
        <v>5356.9653341524427</v>
      </c>
      <c r="U60" s="8">
        <v>6569.345446429309</v>
      </c>
      <c r="V60" s="8">
        <v>3905.832320777643</v>
      </c>
    </row>
    <row r="61" spans="1:22" ht="15.75" x14ac:dyDescent="0.25">
      <c r="A61" s="7">
        <v>1929</v>
      </c>
      <c r="B61" s="8">
        <v>3698.5295618247301</v>
      </c>
      <c r="C61" s="8">
        <v>5054.21875</v>
      </c>
      <c r="D61" s="8">
        <v>1137.4414786891227</v>
      </c>
      <c r="E61" s="8">
        <v>5065.4459000485194</v>
      </c>
      <c r="F61" s="8">
        <v>5075.3553155201816</v>
      </c>
      <c r="G61" s="8">
        <v>2716.8177570093453</v>
      </c>
      <c r="H61" s="8">
        <v>4709.9979626485565</v>
      </c>
      <c r="I61" s="8">
        <v>4051.4064165340828</v>
      </c>
      <c r="J61" s="8">
        <v>3093.2432555680425</v>
      </c>
      <c r="K61" s="8">
        <v>2025.7346783884636</v>
      </c>
      <c r="L61" s="8">
        <v>5688.7907992803903</v>
      </c>
      <c r="M61" s="8">
        <v>5262.2426920462267</v>
      </c>
      <c r="N61" s="8">
        <v>3387.3902679562434</v>
      </c>
      <c r="O61" s="8">
        <v>1610.0582002686165</v>
      </c>
      <c r="P61" s="8">
        <v>2738.9056441189141</v>
      </c>
      <c r="Q61" s="8">
        <v>1335.5089080966659</v>
      </c>
      <c r="R61" s="8">
        <v>4144.9370194667108</v>
      </c>
      <c r="S61" s="8">
        <v>6331.7342118349079</v>
      </c>
      <c r="T61" s="8">
        <v>5503.3180504466636</v>
      </c>
      <c r="U61" s="8">
        <v>6898.7221563254125</v>
      </c>
      <c r="V61" s="8">
        <v>3847.4777448071218</v>
      </c>
    </row>
    <row r="62" spans="1:22" ht="15.75" x14ac:dyDescent="0.25">
      <c r="A62" s="7">
        <v>1930</v>
      </c>
      <c r="B62" s="8">
        <v>3585.7154398563739</v>
      </c>
      <c r="C62" s="8">
        <v>4978.6182516097078</v>
      </c>
      <c r="D62" s="8">
        <v>1048.2304575786463</v>
      </c>
      <c r="E62" s="8">
        <v>4810.6045003813888</v>
      </c>
      <c r="F62" s="8">
        <v>5340.7876905702997</v>
      </c>
      <c r="G62" s="8">
        <v>2665.633806900551</v>
      </c>
      <c r="H62" s="8">
        <v>4531.5583994232147</v>
      </c>
      <c r="I62" s="8">
        <v>3973.3575072214367</v>
      </c>
      <c r="J62" s="8">
        <v>2917.6524656102192</v>
      </c>
      <c r="K62" s="8">
        <v>1850.3913212778218</v>
      </c>
      <c r="L62" s="8">
        <v>5602.5304414003049</v>
      </c>
      <c r="M62" s="8">
        <v>4960.1212324179496</v>
      </c>
      <c r="N62" s="8">
        <v>3627.1045717701813</v>
      </c>
      <c r="O62" s="8">
        <v>1570.7547169811321</v>
      </c>
      <c r="P62" s="8">
        <v>2620.388142461079</v>
      </c>
      <c r="Q62" s="8">
        <v>1265.1130190993515</v>
      </c>
      <c r="R62" s="8">
        <v>4305.9859729244818</v>
      </c>
      <c r="S62" s="8">
        <v>6245.7183411503329</v>
      </c>
      <c r="T62" s="8">
        <v>5440.8624689312337</v>
      </c>
      <c r="U62" s="8">
        <v>6212.7127066015455</v>
      </c>
      <c r="V62" s="8">
        <v>4301.2259194395801</v>
      </c>
    </row>
    <row r="63" spans="1:22" ht="15.75" x14ac:dyDescent="0.25">
      <c r="A63" s="7">
        <v>1931</v>
      </c>
      <c r="B63" s="8">
        <v>3287.6868008948545</v>
      </c>
      <c r="C63" s="8">
        <v>4860.4094265321191</v>
      </c>
      <c r="D63" s="8">
        <v>1004.232835123774</v>
      </c>
      <c r="E63" s="8">
        <v>4003.6925964155012</v>
      </c>
      <c r="F63" s="8">
        <v>5359.2406836648925</v>
      </c>
      <c r="G63" s="8">
        <v>2580.597238204833</v>
      </c>
      <c r="H63" s="8">
        <v>4235.2604634495938</v>
      </c>
      <c r="I63" s="8">
        <v>3651.5139935496691</v>
      </c>
      <c r="J63" s="8">
        <v>2876.6683586987506</v>
      </c>
      <c r="K63" s="8">
        <v>1837.3409401119545</v>
      </c>
      <c r="L63" s="8">
        <v>5185.0493811726465</v>
      </c>
      <c r="M63" s="8">
        <v>4475.1202113606341</v>
      </c>
      <c r="N63" s="8">
        <v>3323.4573396095607</v>
      </c>
      <c r="O63" s="8">
        <v>1631.0962294365991</v>
      </c>
      <c r="P63" s="8">
        <v>2528.8701161562831</v>
      </c>
      <c r="Q63" s="8">
        <v>1202.8531663187196</v>
      </c>
      <c r="R63" s="8">
        <v>4247.0741222366714</v>
      </c>
      <c r="S63" s="8">
        <v>5942.7678921568622</v>
      </c>
      <c r="T63" s="8">
        <v>5138.415852758606</v>
      </c>
      <c r="U63" s="8">
        <v>5691.3665963268159</v>
      </c>
      <c r="V63" s="8">
        <v>3500.2871912693854</v>
      </c>
    </row>
    <row r="64" spans="1:22" ht="15.75" x14ac:dyDescent="0.25">
      <c r="A64" s="7">
        <v>1932</v>
      </c>
      <c r="B64" s="8">
        <v>2939.6569516728628</v>
      </c>
      <c r="C64" s="8">
        <v>4607.4519912044952</v>
      </c>
      <c r="D64" s="8">
        <v>1018.3654203736019</v>
      </c>
      <c r="E64" s="8">
        <v>3671.4526588845661</v>
      </c>
      <c r="F64" s="8">
        <v>5169.3921731890096</v>
      </c>
      <c r="G64" s="8">
        <v>2549.7636311732799</v>
      </c>
      <c r="H64" s="8">
        <v>3959.1228619206881</v>
      </c>
      <c r="I64" s="8">
        <v>3361.6775214559621</v>
      </c>
      <c r="J64" s="8">
        <v>2948.0435159269227</v>
      </c>
      <c r="K64" s="8">
        <v>1961.5832842315185</v>
      </c>
      <c r="L64" s="8">
        <v>5035.2388280192044</v>
      </c>
      <c r="M64" s="8">
        <v>4327.2318271119839</v>
      </c>
      <c r="N64" s="8">
        <v>3466.5575615441239</v>
      </c>
      <c r="O64" s="8">
        <v>1642.5079091170549</v>
      </c>
      <c r="P64" s="8">
        <v>2559.4426078587271</v>
      </c>
      <c r="Q64" s="8">
        <v>1140.9813407049066</v>
      </c>
      <c r="R64" s="8">
        <v>4100.0647668393785</v>
      </c>
      <c r="S64" s="8">
        <v>5709.9812286689412</v>
      </c>
      <c r="T64" s="8">
        <v>5148.2532858530267</v>
      </c>
      <c r="U64" s="8">
        <v>4908.365780158806</v>
      </c>
      <c r="V64" s="8">
        <v>3196.0451977401131</v>
      </c>
    </row>
    <row r="65" spans="1:22" ht="15.75" x14ac:dyDescent="0.25">
      <c r="A65" s="7">
        <v>1933</v>
      </c>
      <c r="B65" s="8">
        <v>2833.1700266824782</v>
      </c>
      <c r="C65" s="8">
        <v>4680.5099015915439</v>
      </c>
      <c r="D65" s="8">
        <v>1075.7155271493848</v>
      </c>
      <c r="E65" s="8">
        <v>3370.4060811429626</v>
      </c>
      <c r="F65" s="8">
        <v>5290.5284888521892</v>
      </c>
      <c r="G65" s="8">
        <v>2701.6446398184912</v>
      </c>
      <c r="H65" s="8">
        <v>4239.1258295535936</v>
      </c>
      <c r="I65" s="8">
        <v>3555.7877837854212</v>
      </c>
      <c r="J65" s="8">
        <v>2905.5971190194573</v>
      </c>
      <c r="K65" s="8">
        <v>2122.435622637016</v>
      </c>
      <c r="L65" s="8">
        <v>4956.4623042369785</v>
      </c>
      <c r="M65" s="8">
        <v>4575.9993506493511</v>
      </c>
      <c r="N65" s="8">
        <v>3533.5526261544092</v>
      </c>
      <c r="O65" s="8">
        <v>1732.1022727272727</v>
      </c>
      <c r="P65" s="8">
        <v>2485.9464389354116</v>
      </c>
      <c r="Q65" s="8">
        <v>1150.0429184549357</v>
      </c>
      <c r="R65" s="8">
        <v>4207.0633768746975</v>
      </c>
      <c r="S65" s="8">
        <v>5966.1901989325561</v>
      </c>
      <c r="T65" s="8">
        <v>5277.4607480653476</v>
      </c>
      <c r="U65" s="8">
        <v>4776.9154778887305</v>
      </c>
      <c r="V65" s="8">
        <v>2750.4168982768206</v>
      </c>
    </row>
    <row r="66" spans="1:22" ht="15.75" x14ac:dyDescent="0.25">
      <c r="A66" s="7">
        <v>1934</v>
      </c>
      <c r="B66" s="8">
        <v>2851.5860946745561</v>
      </c>
      <c r="C66" s="8">
        <v>4623.7965383684341</v>
      </c>
      <c r="D66" s="8">
        <v>1142.3195253268873</v>
      </c>
      <c r="E66" s="8">
        <v>3691.0295557570262</v>
      </c>
      <c r="F66" s="8">
        <v>5402.0703764320797</v>
      </c>
      <c r="G66" s="8">
        <v>2988.3741899126512</v>
      </c>
      <c r="H66" s="8">
        <v>4191.7309415971395</v>
      </c>
      <c r="I66" s="8">
        <v>3858.2119893387944</v>
      </c>
      <c r="J66" s="8">
        <v>2894.2202828649151</v>
      </c>
      <c r="K66" s="8">
        <v>2098.341636069908</v>
      </c>
      <c r="L66" s="8">
        <v>4804.9070854813572</v>
      </c>
      <c r="M66" s="8">
        <v>4767.8350515463917</v>
      </c>
      <c r="N66" s="8">
        <v>3638.0155784829158</v>
      </c>
      <c r="O66" s="8">
        <v>1783.9203030728218</v>
      </c>
      <c r="P66" s="8">
        <v>2555.7928457020826</v>
      </c>
      <c r="Q66" s="8">
        <v>1259.7070844686648</v>
      </c>
      <c r="R66" s="8">
        <v>4535.0369656059138</v>
      </c>
      <c r="S66" s="8">
        <v>5952.1944444444443</v>
      </c>
      <c r="T66" s="8">
        <v>5607.5080358290834</v>
      </c>
      <c r="U66" s="8">
        <v>5113.6075934413839</v>
      </c>
      <c r="V66" s="8">
        <v>3220.8857299070532</v>
      </c>
    </row>
    <row r="67" spans="1:22" ht="15.75" x14ac:dyDescent="0.25">
      <c r="A67" s="7">
        <v>1935</v>
      </c>
      <c r="B67" s="8">
        <v>2906.6614406152939</v>
      </c>
      <c r="C67" s="8">
        <v>4894.2010135135142</v>
      </c>
      <c r="D67" s="8">
        <v>1149.986541049798</v>
      </c>
      <c r="E67" s="8">
        <v>3950.6250000000005</v>
      </c>
      <c r="F67" s="8">
        <v>5479.6887686062255</v>
      </c>
      <c r="G67" s="8">
        <v>3092.6619127516774</v>
      </c>
      <c r="H67" s="8">
        <v>4085.9311874105861</v>
      </c>
      <c r="I67" s="8">
        <v>4119.8127738481562</v>
      </c>
      <c r="J67" s="8">
        <v>3147.8255447548559</v>
      </c>
      <c r="K67" s="8">
        <v>2120.4684855137352</v>
      </c>
      <c r="L67" s="8">
        <v>4929.4557742470952</v>
      </c>
      <c r="M67" s="8">
        <v>4959.3725992317541</v>
      </c>
      <c r="N67" s="8">
        <v>3799.6267008862578</v>
      </c>
      <c r="O67" s="8">
        <v>1668.6529933481154</v>
      </c>
      <c r="P67" s="8">
        <v>2582.7739126896945</v>
      </c>
      <c r="Q67" s="8">
        <v>1183.9918602679329</v>
      </c>
      <c r="R67" s="8">
        <v>4768.0230695289974</v>
      </c>
      <c r="S67" s="8">
        <v>5906.9042117930212</v>
      </c>
      <c r="T67" s="8">
        <v>5799.0052914568578</v>
      </c>
      <c r="U67" s="8">
        <v>5466.8379464879281</v>
      </c>
      <c r="V67" s="8">
        <v>3355.5675094136636</v>
      </c>
    </row>
    <row r="68" spans="1:22" ht="15.75" x14ac:dyDescent="0.25">
      <c r="A68" s="7">
        <v>1936</v>
      </c>
      <c r="B68" s="8">
        <v>2994.7044983722994</v>
      </c>
      <c r="C68" s="8">
        <v>4913.3206253758262</v>
      </c>
      <c r="D68" s="8">
        <v>1235.103268180739</v>
      </c>
      <c r="E68" s="8">
        <v>4124.2059948412352</v>
      </c>
      <c r="F68" s="8">
        <v>5574.7608812466415</v>
      </c>
      <c r="G68" s="8">
        <v>3278.7758955845602</v>
      </c>
      <c r="H68" s="8">
        <v>4243.9980672870433</v>
      </c>
      <c r="I68" s="8">
        <v>4450.7416591189176</v>
      </c>
      <c r="J68" s="8">
        <v>3129.637733078092</v>
      </c>
      <c r="K68" s="8">
        <v>2244.4213991534966</v>
      </c>
      <c r="L68" s="8">
        <v>5189.6788398309072</v>
      </c>
      <c r="M68" s="8">
        <v>5839.8022886204708</v>
      </c>
      <c r="N68" s="8">
        <v>4035.1270114712124</v>
      </c>
      <c r="O68" s="8">
        <v>1522.792607802875</v>
      </c>
      <c r="P68" s="8">
        <v>1988.8351471180977</v>
      </c>
      <c r="Q68" s="8">
        <v>1174.6592629984855</v>
      </c>
      <c r="R68" s="8">
        <v>4991.0528838472601</v>
      </c>
      <c r="S68" s="8">
        <v>5908.253838771594</v>
      </c>
      <c r="T68" s="8">
        <v>6035.1685393258431</v>
      </c>
      <c r="U68" s="8">
        <v>6203.8837823765753</v>
      </c>
      <c r="V68" s="8">
        <v>3458.9730015881419</v>
      </c>
    </row>
    <row r="69" spans="1:22" ht="15.75" x14ac:dyDescent="0.25">
      <c r="A69" s="7">
        <v>1937</v>
      </c>
      <c r="B69" s="8">
        <v>3155.7304219096964</v>
      </c>
      <c r="C69" s="8">
        <v>4960.958543014618</v>
      </c>
      <c r="D69" s="8">
        <v>1249.9030682141288</v>
      </c>
      <c r="E69" s="8">
        <v>4473.4104576316022</v>
      </c>
      <c r="F69" s="8">
        <v>5668.4635902907439</v>
      </c>
      <c r="G69" s="8">
        <v>3441.1795366795373</v>
      </c>
      <c r="H69" s="8">
        <v>4486.6367278797989</v>
      </c>
      <c r="I69" s="8">
        <v>4684.9228228980846</v>
      </c>
      <c r="J69" s="8">
        <v>3319.259799675433</v>
      </c>
      <c r="K69" s="8">
        <v>2315.1162911417268</v>
      </c>
      <c r="L69" s="8">
        <v>5432.6968252122342</v>
      </c>
      <c r="M69" s="8">
        <v>6101.5595463137997</v>
      </c>
      <c r="N69" s="8">
        <v>4193.0365219639953</v>
      </c>
      <c r="O69" s="8">
        <v>1757.30124391563</v>
      </c>
      <c r="P69" s="8">
        <v>1807.7706345086451</v>
      </c>
      <c r="Q69" s="8">
        <v>1246.618801135415</v>
      </c>
      <c r="R69" s="8">
        <v>5194.0726577437863</v>
      </c>
      <c r="S69" s="8">
        <v>6171.2667464114829</v>
      </c>
      <c r="T69" s="8">
        <v>6217.6185159339393</v>
      </c>
      <c r="U69" s="8">
        <v>6430.1214777853302</v>
      </c>
      <c r="V69" s="8">
        <v>3462.2592399791774</v>
      </c>
    </row>
    <row r="70" spans="1:22" ht="15.75" x14ac:dyDescent="0.25">
      <c r="A70" s="7">
        <v>1938</v>
      </c>
      <c r="B70" s="8">
        <v>3559.4957796534877</v>
      </c>
      <c r="C70" s="8">
        <v>4832.3497731072357</v>
      </c>
      <c r="D70" s="8">
        <v>1275.9878419452889</v>
      </c>
      <c r="E70" s="8">
        <v>4545.9095354523224</v>
      </c>
      <c r="F70" s="8">
        <v>5762.3907863383629</v>
      </c>
      <c r="G70" s="8">
        <v>3589.4436542669587</v>
      </c>
      <c r="H70" s="8">
        <v>4466.2114632983785</v>
      </c>
      <c r="I70" s="8">
        <v>4993.5966626797754</v>
      </c>
      <c r="J70" s="8">
        <v>3316.0928212796739</v>
      </c>
      <c r="K70" s="8">
        <v>2449.2747673172967</v>
      </c>
      <c r="L70" s="8">
        <v>5249.6010362694306</v>
      </c>
      <c r="M70" s="8">
        <v>6462.177680798005</v>
      </c>
      <c r="N70" s="8">
        <v>4262.2097572254434</v>
      </c>
      <c r="O70" s="8">
        <v>1747.3290598290598</v>
      </c>
      <c r="P70" s="8">
        <v>1790.2211321650382</v>
      </c>
      <c r="Q70" s="8">
        <v>1225.3101736972706</v>
      </c>
      <c r="R70" s="8">
        <v>5370.9703033190408</v>
      </c>
      <c r="S70" s="8">
        <v>6389.521708015267</v>
      </c>
      <c r="T70" s="8">
        <v>6266.4515517749605</v>
      </c>
      <c r="U70" s="8">
        <v>6126.4656718476963</v>
      </c>
      <c r="V70" s="8">
        <v>3676.2295081967213</v>
      </c>
    </row>
    <row r="71" spans="1:22" ht="15.75" x14ac:dyDescent="0.25">
      <c r="A71" s="7">
        <v>1939</v>
      </c>
      <c r="B71" s="8">
        <v>4095.9059071095753</v>
      </c>
      <c r="C71" s="8">
        <v>5149.617731172546</v>
      </c>
      <c r="D71" s="8">
        <v>1262.7764402194148</v>
      </c>
      <c r="E71" s="8">
        <v>4768.1313742437342</v>
      </c>
      <c r="F71" s="8">
        <v>5992.951379763469</v>
      </c>
      <c r="G71" s="8">
        <v>3407.6977753662504</v>
      </c>
      <c r="H71" s="8">
        <v>4793.3105011933167</v>
      </c>
      <c r="I71" s="8">
        <v>5406.2436855930491</v>
      </c>
      <c r="J71" s="8">
        <v>3521.4897516774495</v>
      </c>
      <c r="K71" s="8">
        <v>2816.0567685589517</v>
      </c>
      <c r="L71" s="8">
        <v>5543.9768845365525</v>
      </c>
      <c r="M71" s="8">
        <v>6459.6545789797174</v>
      </c>
      <c r="N71" s="8">
        <v>4440.6313085290121</v>
      </c>
      <c r="O71" s="8">
        <v>1748.9777074264609</v>
      </c>
      <c r="P71" s="8">
        <v>1914.6451385350942</v>
      </c>
      <c r="Q71" s="8">
        <v>1186.2182116488925</v>
      </c>
      <c r="R71" s="8">
        <v>5736.9585836231427</v>
      </c>
      <c r="S71" s="8">
        <v>6360.4158345221122</v>
      </c>
      <c r="T71" s="8">
        <v>6262.4009501781584</v>
      </c>
      <c r="U71" s="8">
        <v>6560.752658907244</v>
      </c>
      <c r="V71" s="8">
        <v>3691.8724279835387</v>
      </c>
    </row>
    <row r="72" spans="1:22" ht="15.75" x14ac:dyDescent="0.25">
      <c r="A72" s="7">
        <v>1940</v>
      </c>
      <c r="B72" s="8">
        <v>3959.2143176733784</v>
      </c>
      <c r="C72" s="8">
        <v>4561.7564102564102</v>
      </c>
      <c r="D72" s="8">
        <v>1249.7202899255728</v>
      </c>
      <c r="E72" s="8">
        <v>5368.2453798767965</v>
      </c>
      <c r="F72" s="8">
        <v>5116.2839248434229</v>
      </c>
      <c r="G72" s="8">
        <v>3220.4153596538672</v>
      </c>
      <c r="H72" s="8">
        <v>4042.1678780487805</v>
      </c>
      <c r="I72" s="8">
        <v>5402.5059067802677</v>
      </c>
      <c r="J72" s="8">
        <v>3505.1908479548651</v>
      </c>
      <c r="K72" s="8">
        <v>2874.2901722696556</v>
      </c>
      <c r="L72" s="8">
        <v>4831.3599504448694</v>
      </c>
      <c r="M72" s="8">
        <v>6300.4419315403429</v>
      </c>
      <c r="N72" s="8">
        <v>4038.0921963533333</v>
      </c>
      <c r="O72" s="8">
        <v>1615.1140065146581</v>
      </c>
      <c r="P72" s="8">
        <v>2080.4053267073027</v>
      </c>
      <c r="Q72" s="8">
        <v>1250.8966416693838</v>
      </c>
      <c r="R72" s="8">
        <v>5179.9874134675892</v>
      </c>
      <c r="S72" s="8">
        <v>6396.6209181258864</v>
      </c>
      <c r="T72" s="8">
        <v>6856.0049765686554</v>
      </c>
      <c r="U72" s="8">
        <v>7009.637212844078</v>
      </c>
      <c r="V72" s="8">
        <v>3660.5597964376589</v>
      </c>
    </row>
    <row r="73" spans="1:22" ht="15.75" x14ac:dyDescent="0.25">
      <c r="A73" s="7">
        <v>1941</v>
      </c>
      <c r="B73" s="8">
        <v>4217.3555226093404</v>
      </c>
      <c r="C73" s="8">
        <v>4358.0117206379891</v>
      </c>
      <c r="D73" s="8">
        <v>1306.9243385866075</v>
      </c>
      <c r="E73" s="8">
        <v>6050.7673041123717</v>
      </c>
      <c r="F73" s="8">
        <v>4573.7457934247996</v>
      </c>
      <c r="G73" s="8">
        <v>3322.2109670448408</v>
      </c>
      <c r="H73" s="8">
        <v>3309.3818939393936</v>
      </c>
      <c r="I73" s="8">
        <v>5711.1497067365181</v>
      </c>
      <c r="J73" s="8">
        <v>3431.7661851275534</v>
      </c>
      <c r="K73" s="8">
        <v>2872.7038848726434</v>
      </c>
      <c r="L73" s="8">
        <v>4531.2000892259648</v>
      </c>
      <c r="M73" s="8">
        <v>6128.7826887661149</v>
      </c>
      <c r="N73" s="8">
        <v>4112.4731401193021</v>
      </c>
      <c r="O73" s="8">
        <v>1746.9382493231919</v>
      </c>
      <c r="P73" s="8">
        <v>2029.5623388121173</v>
      </c>
      <c r="Q73" s="8">
        <v>1276.5440103744529</v>
      </c>
      <c r="R73" s="8">
        <v>5074.0334950696515</v>
      </c>
      <c r="S73" s="8">
        <v>6311.896332863188</v>
      </c>
      <c r="T73" s="8">
        <v>7481.6763729882196</v>
      </c>
      <c r="U73" s="8">
        <v>8205.6830991173974</v>
      </c>
      <c r="V73" s="8">
        <v>3682.4358329139409</v>
      </c>
    </row>
    <row r="74" spans="1:22" ht="15.75" x14ac:dyDescent="0.25">
      <c r="A74" s="7">
        <v>1942</v>
      </c>
      <c r="B74" s="8">
        <v>3982.8323750552859</v>
      </c>
      <c r="C74" s="8">
        <v>3996.7979871468415</v>
      </c>
      <c r="D74" s="8">
        <v>1229.2832431679399</v>
      </c>
      <c r="E74" s="8">
        <v>7033.3758877099162</v>
      </c>
      <c r="F74" s="8">
        <v>4628.5318985395843</v>
      </c>
      <c r="G74" s="8">
        <v>3327.1734088457388</v>
      </c>
      <c r="H74" s="8">
        <v>2981.4608375634512</v>
      </c>
      <c r="I74" s="8">
        <v>5739.9271536267897</v>
      </c>
      <c r="J74" s="8">
        <v>3368.8025433700377</v>
      </c>
      <c r="K74" s="8">
        <v>2818.2169960948431</v>
      </c>
      <c r="L74" s="8">
        <v>4106.728599867286</v>
      </c>
      <c r="M74" s="8">
        <v>6761.5478950579618</v>
      </c>
      <c r="N74" s="8">
        <v>3927.6945361270818</v>
      </c>
      <c r="O74" s="8">
        <v>1708.2800920010222</v>
      </c>
      <c r="P74" s="8">
        <v>2126.2699564586355</v>
      </c>
      <c r="Q74" s="8">
        <v>1322.7265385236633</v>
      </c>
      <c r="R74" s="8">
        <v>5157.0273631840791</v>
      </c>
      <c r="S74" s="8">
        <v>6107.0937937470844</v>
      </c>
      <c r="T74" s="8">
        <v>7638.8683471074364</v>
      </c>
      <c r="U74" s="8">
        <v>9741.1051881287585</v>
      </c>
      <c r="V74" s="8">
        <v>3337.8109452736321</v>
      </c>
    </row>
    <row r="75" spans="1:22" ht="15.75" x14ac:dyDescent="0.25">
      <c r="A75" s="7">
        <v>1943</v>
      </c>
      <c r="B75" s="8">
        <v>4064.6562867215048</v>
      </c>
      <c r="C75" s="8">
        <v>3906.6008007765108</v>
      </c>
      <c r="D75" s="8">
        <v>1367.9495611548318</v>
      </c>
      <c r="E75" s="8">
        <v>7262.7585637639295</v>
      </c>
      <c r="F75" s="8">
        <v>5079.9518865535583</v>
      </c>
      <c r="G75" s="8">
        <v>3696.7258801397479</v>
      </c>
      <c r="H75" s="8">
        <v>2860.1412307692308</v>
      </c>
      <c r="I75" s="8">
        <v>5889.6479243300055</v>
      </c>
      <c r="J75" s="8">
        <v>3039.3075720896582</v>
      </c>
      <c r="K75" s="8">
        <v>2821.6226432471553</v>
      </c>
      <c r="L75" s="8">
        <v>3980.5185103811932</v>
      </c>
      <c r="M75" s="8">
        <v>6927.9957134109</v>
      </c>
      <c r="N75" s="8">
        <v>3820.1767895338644</v>
      </c>
      <c r="O75" s="8">
        <v>1806.3576494427557</v>
      </c>
      <c r="P75" s="8">
        <v>2187.5923750331599</v>
      </c>
      <c r="Q75" s="8">
        <v>1284.1486658195679</v>
      </c>
      <c r="R75" s="8">
        <v>5344.0677966101694</v>
      </c>
      <c r="S75" s="8">
        <v>6001.4439046958132</v>
      </c>
      <c r="T75" s="8">
        <v>7743.7019820041396</v>
      </c>
      <c r="U75" s="8">
        <v>11518.171571769917</v>
      </c>
      <c r="V75" s="8">
        <v>3330.7086614173227</v>
      </c>
    </row>
    <row r="76" spans="1:22" ht="15.75" x14ac:dyDescent="0.25">
      <c r="A76" s="7">
        <v>1944</v>
      </c>
      <c r="B76" s="8">
        <v>4152.1378402107111</v>
      </c>
      <c r="C76" s="8">
        <v>4112.1382221686172</v>
      </c>
      <c r="D76" s="8">
        <v>1385.9241044726525</v>
      </c>
      <c r="E76" s="8">
        <v>7442.5611346592759</v>
      </c>
      <c r="F76" s="8">
        <v>5543.1040520260131</v>
      </c>
      <c r="G76" s="8">
        <v>3684.5799196787152</v>
      </c>
      <c r="H76" s="8">
        <v>2421.7693573264783</v>
      </c>
      <c r="I76" s="8">
        <v>6083.7472267945323</v>
      </c>
      <c r="J76" s="8">
        <v>2463.2760769427973</v>
      </c>
      <c r="K76" s="8">
        <v>2658.9726606027621</v>
      </c>
      <c r="L76" s="8">
        <v>2649.1738419618523</v>
      </c>
      <c r="M76" s="8">
        <v>6867.9957678355504</v>
      </c>
      <c r="N76" s="8">
        <v>3587.5424289349444</v>
      </c>
      <c r="O76" s="8">
        <v>1892.6823145475084</v>
      </c>
      <c r="P76" s="8">
        <v>2271.4522072647965</v>
      </c>
      <c r="Q76" s="8">
        <v>1154.4551381558524</v>
      </c>
      <c r="R76" s="8">
        <v>5441.0060975609758</v>
      </c>
      <c r="S76" s="8">
        <v>6088.5875343721355</v>
      </c>
      <c r="T76" s="8">
        <v>7405.3918720417814</v>
      </c>
      <c r="U76" s="8">
        <v>12333.449664236308</v>
      </c>
      <c r="V76" s="8">
        <v>3704.6228710462287</v>
      </c>
    </row>
    <row r="77" spans="1:22" ht="15.75" x14ac:dyDescent="0.25">
      <c r="A77" s="7">
        <v>1945</v>
      </c>
      <c r="B77" s="8">
        <v>1724.5918517429034</v>
      </c>
      <c r="C77" s="8">
        <v>4332.8455450293804</v>
      </c>
      <c r="D77" s="8">
        <v>1389.9383317104837</v>
      </c>
      <c r="E77" s="8">
        <v>7132.9525959367948</v>
      </c>
      <c r="F77" s="8">
        <v>5066.1359703337457</v>
      </c>
      <c r="G77" s="8">
        <v>3449.5159659393298</v>
      </c>
      <c r="H77" s="8">
        <v>2573.141637279597</v>
      </c>
      <c r="I77" s="8">
        <v>4514.2835820895525</v>
      </c>
      <c r="J77" s="8">
        <v>1922.0628483808077</v>
      </c>
      <c r="K77" s="8">
        <v>1346.1258396305625</v>
      </c>
      <c r="L77" s="8">
        <v>2686.2594472036276</v>
      </c>
      <c r="M77" s="8">
        <v>6928.2956161137445</v>
      </c>
      <c r="N77" s="8">
        <v>3979.8655228247235</v>
      </c>
      <c r="O77" s="8">
        <v>1803.5580990296094</v>
      </c>
      <c r="P77" s="8">
        <v>2101.5595851055891</v>
      </c>
      <c r="Q77" s="8">
        <v>1115.7894736842104</v>
      </c>
      <c r="R77" s="8">
        <v>5453.956292388847</v>
      </c>
      <c r="S77" s="8">
        <v>7752.0908884859473</v>
      </c>
      <c r="T77" s="8">
        <v>7056.1345614249112</v>
      </c>
      <c r="U77" s="8">
        <v>11708.647557555134</v>
      </c>
      <c r="V77" s="8">
        <v>3763.5752042287359</v>
      </c>
    </row>
    <row r="78" spans="1:22" ht="15.75" x14ac:dyDescent="0.25">
      <c r="A78" s="7">
        <v>1946</v>
      </c>
      <c r="B78" s="8">
        <v>1956.4834285714282</v>
      </c>
      <c r="C78" s="8">
        <v>4573.5031672044943</v>
      </c>
      <c r="D78" s="8">
        <v>1500.9194090419126</v>
      </c>
      <c r="E78" s="8">
        <v>6931.2433116985912</v>
      </c>
      <c r="F78" s="8">
        <v>5776.6642282370149</v>
      </c>
      <c r="G78" s="8">
        <v>3682.991592222806</v>
      </c>
      <c r="H78" s="8">
        <v>3855.1917349218165</v>
      </c>
      <c r="I78" s="8">
        <v>2216.8434398095183</v>
      </c>
      <c r="J78" s="8">
        <v>2502.4020080972205</v>
      </c>
      <c r="K78" s="8">
        <v>1444.2164794880762</v>
      </c>
      <c r="L78" s="8">
        <v>4456.6282894736842</v>
      </c>
      <c r="M78" s="8">
        <v>7161.3411028993751</v>
      </c>
      <c r="N78" s="8">
        <v>4335.3695312713789</v>
      </c>
      <c r="O78" s="8">
        <v>1927.8668310727496</v>
      </c>
      <c r="P78" s="8">
        <v>2178.8094180364283</v>
      </c>
      <c r="Q78" s="8">
        <v>1050.3355704697988</v>
      </c>
      <c r="R78" s="8">
        <v>5994.0467331448135</v>
      </c>
      <c r="S78" s="8">
        <v>8180.6158495634645</v>
      </c>
      <c r="T78" s="8">
        <v>6745.340106060914</v>
      </c>
      <c r="U78" s="8">
        <v>9196.5429688600834</v>
      </c>
      <c r="V78" s="8">
        <v>4083.0564784053154</v>
      </c>
    </row>
    <row r="79" spans="1:22" ht="15.75" x14ac:dyDescent="0.25">
      <c r="A79" s="7">
        <v>1947</v>
      </c>
      <c r="B79" s="8">
        <v>2166.4673647970167</v>
      </c>
      <c r="C79" s="8">
        <v>4800.3713609467468</v>
      </c>
      <c r="D79" s="8">
        <v>1517.8785251249019</v>
      </c>
      <c r="E79" s="8">
        <v>7088.2105263157882</v>
      </c>
      <c r="F79" s="8">
        <v>6034.8480463096957</v>
      </c>
      <c r="G79" s="8">
        <v>3716.845037574501</v>
      </c>
      <c r="H79" s="8">
        <v>4137.8978613569325</v>
      </c>
      <c r="I79" s="8">
        <v>2436.0910218779313</v>
      </c>
      <c r="J79" s="8">
        <v>2920.2050366808935</v>
      </c>
      <c r="K79" s="8">
        <v>1540.9444565342619</v>
      </c>
      <c r="L79" s="8">
        <v>5048.0789200415365</v>
      </c>
      <c r="M79" s="8">
        <v>7846.3322203672806</v>
      </c>
      <c r="N79" s="8">
        <v>4864.2629406820861</v>
      </c>
      <c r="O79" s="8">
        <v>2070.5120371501894</v>
      </c>
      <c r="P79" s="8">
        <v>2197.5168056422876</v>
      </c>
      <c r="Q79" s="8">
        <v>1073.4688077305671</v>
      </c>
      <c r="R79" s="8">
        <v>6351.021608114067</v>
      </c>
      <c r="S79" s="8">
        <v>9050.3474801061002</v>
      </c>
      <c r="T79" s="8">
        <v>6604.410589874592</v>
      </c>
      <c r="U79" s="8">
        <v>8885.9943810129371</v>
      </c>
      <c r="V79" s="8">
        <v>4312.5585754451731</v>
      </c>
    </row>
    <row r="80" spans="1:22" ht="15.75" x14ac:dyDescent="0.25">
      <c r="A80" s="7">
        <v>1948</v>
      </c>
      <c r="B80" s="8">
        <v>2764.4939620471532</v>
      </c>
      <c r="C80" s="8">
        <v>5023.8591796190249</v>
      </c>
      <c r="D80" s="8">
        <v>1596.2290784432346</v>
      </c>
      <c r="E80" s="8">
        <v>7065.3241274658567</v>
      </c>
      <c r="F80" s="8">
        <v>6133.0167064439147</v>
      </c>
      <c r="G80" s="8">
        <v>3957.1950408997959</v>
      </c>
      <c r="H80" s="8">
        <v>4393.3653612259795</v>
      </c>
      <c r="I80" s="8">
        <v>2833.7172152463036</v>
      </c>
      <c r="J80" s="8">
        <v>3063.2025041174493</v>
      </c>
      <c r="K80" s="8">
        <v>1725.2858836005241</v>
      </c>
      <c r="L80" s="8">
        <v>5490.2040816326526</v>
      </c>
      <c r="M80" s="8">
        <v>6929</v>
      </c>
      <c r="N80" s="8">
        <v>5143.8942370388313</v>
      </c>
      <c r="O80" s="8">
        <v>2046.2693798449613</v>
      </c>
      <c r="P80" s="8">
        <v>2185.7345919743411</v>
      </c>
      <c r="Q80" s="8">
        <v>1159.166206515737</v>
      </c>
      <c r="R80" s="8">
        <v>6397.9369460990847</v>
      </c>
      <c r="S80" s="8">
        <v>9115.6529899607158</v>
      </c>
      <c r="T80" s="8">
        <v>6745.6359419362561</v>
      </c>
      <c r="U80" s="8">
        <v>9064.5622507693461</v>
      </c>
      <c r="V80" s="8">
        <v>4405.0925925925922</v>
      </c>
    </row>
    <row r="81" spans="1:22" ht="15.75" x14ac:dyDescent="0.25">
      <c r="A81" s="7">
        <v>1949</v>
      </c>
      <c r="B81" s="8">
        <v>3293.2053867204377</v>
      </c>
      <c r="C81" s="8">
        <v>5193.3945902019968</v>
      </c>
      <c r="D81" s="8">
        <v>1659.2605723965412</v>
      </c>
      <c r="E81" s="8">
        <v>7064.0804811047592</v>
      </c>
      <c r="F81" s="8">
        <v>6494.3687943262412</v>
      </c>
      <c r="G81" s="8">
        <v>4143.2576331062328</v>
      </c>
      <c r="H81" s="8">
        <v>4946.3447444551593</v>
      </c>
      <c r="I81" s="8">
        <v>3282.4638555102883</v>
      </c>
      <c r="J81" s="8">
        <v>3264.5691287454379</v>
      </c>
      <c r="K81" s="8">
        <v>1799.8258774444621</v>
      </c>
      <c r="L81" s="8">
        <v>5880.4740859783051</v>
      </c>
      <c r="M81" s="8">
        <v>7520.5526456440421</v>
      </c>
      <c r="N81" s="8">
        <v>5227.1978810085038</v>
      </c>
      <c r="O81" s="8">
        <v>2056.5494056909592</v>
      </c>
      <c r="P81" s="8">
        <v>2154.8226103938373</v>
      </c>
      <c r="Q81" s="8">
        <v>1199.0610328638497</v>
      </c>
      <c r="R81" s="8">
        <v>6569.9496764917321</v>
      </c>
      <c r="S81" s="8">
        <v>8756.59375</v>
      </c>
      <c r="T81" s="8">
        <v>6955.6933534743212</v>
      </c>
      <c r="U81" s="8">
        <v>8943.7443212926482</v>
      </c>
      <c r="V81" s="8">
        <v>4503.6563071297996</v>
      </c>
    </row>
    <row r="82" spans="1:22" ht="15.75" x14ac:dyDescent="0.25">
      <c r="A82" s="7">
        <v>1950</v>
      </c>
      <c r="B82" s="8">
        <v>3706.0748943778744</v>
      </c>
      <c r="C82" s="8">
        <v>5462.2044734980063</v>
      </c>
      <c r="D82" s="8">
        <v>1671.7226694010403</v>
      </c>
      <c r="E82" s="8">
        <v>7291.4797655798238</v>
      </c>
      <c r="F82" s="8">
        <v>6943.1046593303681</v>
      </c>
      <c r="G82" s="8">
        <v>4253.28643767617</v>
      </c>
      <c r="H82" s="8">
        <v>5185.8506985276827</v>
      </c>
      <c r="I82" s="8">
        <v>3880.8871812755187</v>
      </c>
      <c r="J82" s="8">
        <v>3501.9000106145845</v>
      </c>
      <c r="K82" s="8">
        <v>1920.7207207207207</v>
      </c>
      <c r="L82" s="8">
        <v>5996.1277603747931</v>
      </c>
      <c r="M82" s="8">
        <v>8455.6492393793451</v>
      </c>
      <c r="N82" s="8">
        <v>5429.510033316662</v>
      </c>
      <c r="O82" s="8">
        <v>2086.4054958396259</v>
      </c>
      <c r="P82" s="8">
        <v>2188.9705659377451</v>
      </c>
      <c r="Q82" s="8">
        <v>1252.871163082063</v>
      </c>
      <c r="R82" s="8">
        <v>6769.0333618477334</v>
      </c>
      <c r="S82" s="8">
        <v>9063.6983383042189</v>
      </c>
      <c r="T82" s="8">
        <v>6939.3739900652345</v>
      </c>
      <c r="U82" s="8">
        <v>9561.3478600652797</v>
      </c>
      <c r="V82" s="8">
        <v>4659.3977509655806</v>
      </c>
    </row>
    <row r="83" spans="1:22" ht="15.75" x14ac:dyDescent="0.25">
      <c r="A83" s="7">
        <v>1951</v>
      </c>
      <c r="B83" s="8">
        <v>3959.3676027701731</v>
      </c>
      <c r="C83" s="8">
        <v>5746.9211440929221</v>
      </c>
      <c r="D83" s="8">
        <v>1702.1019089332567</v>
      </c>
      <c r="E83" s="8">
        <v>7533.4902228959909</v>
      </c>
      <c r="F83" s="8">
        <v>6936.4860280415087</v>
      </c>
      <c r="G83" s="8">
        <v>4571.1956118894077</v>
      </c>
      <c r="H83" s="8">
        <v>5461.1077411226725</v>
      </c>
      <c r="I83" s="8">
        <v>4205.8117177849936</v>
      </c>
      <c r="J83" s="8">
        <v>3738.4959298156818</v>
      </c>
      <c r="K83" s="8">
        <v>2125.6085093759507</v>
      </c>
      <c r="L83" s="8">
        <v>6031.9684389921549</v>
      </c>
      <c r="M83" s="8">
        <v>7653.3245283813358</v>
      </c>
      <c r="N83" s="8">
        <v>5670.2759078571953</v>
      </c>
      <c r="O83" s="8">
        <v>2167.6629074526663</v>
      </c>
      <c r="P83" s="8">
        <v>2386.4929017976888</v>
      </c>
      <c r="Q83" s="8">
        <v>1292.7040428561372</v>
      </c>
      <c r="R83" s="8">
        <v>6979.0664780763791</v>
      </c>
      <c r="S83" s="8">
        <v>9684.1440303221734</v>
      </c>
      <c r="T83" s="8">
        <v>7123.3644859813085</v>
      </c>
      <c r="U83" s="8">
        <v>10116.246335825619</v>
      </c>
      <c r="V83" s="8">
        <v>4954.882009482425</v>
      </c>
    </row>
    <row r="84" spans="1:22" ht="15.75" x14ac:dyDescent="0.25">
      <c r="A84" s="7">
        <v>1952</v>
      </c>
      <c r="B84" s="8">
        <v>3967.2206302401405</v>
      </c>
      <c r="C84" s="8">
        <v>5668.2364678385475</v>
      </c>
      <c r="D84" s="8">
        <v>1752.2352345900965</v>
      </c>
      <c r="E84" s="8">
        <v>7833.0352051024829</v>
      </c>
      <c r="F84" s="8">
        <v>6955.2376557452699</v>
      </c>
      <c r="G84" s="8">
        <v>4674.4896711893407</v>
      </c>
      <c r="H84" s="8">
        <v>5564.2599110781775</v>
      </c>
      <c r="I84" s="8">
        <v>4552.6020091530445</v>
      </c>
      <c r="J84" s="8">
        <v>3997.4195443292911</v>
      </c>
      <c r="K84" s="8">
        <v>2336.4246820965195</v>
      </c>
      <c r="L84" s="8">
        <v>6083.8059146282967</v>
      </c>
      <c r="M84" s="8">
        <v>7796.2937526381165</v>
      </c>
      <c r="N84" s="8">
        <v>5813.9216344623719</v>
      </c>
      <c r="O84" s="8">
        <v>2161.3760182030364</v>
      </c>
      <c r="P84" s="8">
        <v>2558.4704939111807</v>
      </c>
      <c r="Q84" s="8">
        <v>1312.6137739442474</v>
      </c>
      <c r="R84" s="8">
        <v>6974.0350877192986</v>
      </c>
      <c r="S84" s="8">
        <v>9630.1142263759084</v>
      </c>
      <c r="T84" s="8">
        <v>7090.7198096371212</v>
      </c>
      <c r="U84" s="8">
        <v>10315.544610385077</v>
      </c>
      <c r="V84" s="8">
        <v>4956.5794408701422</v>
      </c>
    </row>
    <row r="85" spans="1:22" ht="15.75" x14ac:dyDescent="0.25">
      <c r="A85" s="7">
        <v>1953</v>
      </c>
      <c r="B85" s="8">
        <v>4137.0458463439427</v>
      </c>
      <c r="C85" s="8">
        <v>5818.1520739705393</v>
      </c>
      <c r="D85" s="8">
        <v>1784.1685211244628</v>
      </c>
      <c r="E85" s="8">
        <v>7984.2590991792003</v>
      </c>
      <c r="F85" s="8">
        <v>7291.5903764464629</v>
      </c>
      <c r="G85" s="8">
        <v>4651.6403343479742</v>
      </c>
      <c r="H85" s="8">
        <v>5683.9406828371075</v>
      </c>
      <c r="I85" s="8">
        <v>4905.0875974022574</v>
      </c>
      <c r="J85" s="8">
        <v>4259.8160852430301</v>
      </c>
      <c r="K85" s="8">
        <v>2474.3436961037883</v>
      </c>
      <c r="L85" s="8">
        <v>6542.5327526897463</v>
      </c>
      <c r="M85" s="8">
        <v>7855.8516668286611</v>
      </c>
      <c r="N85" s="8">
        <v>5985.1894483682881</v>
      </c>
      <c r="O85" s="8">
        <v>2297.9502153526946</v>
      </c>
      <c r="P85" s="8">
        <v>2527.6238183638125</v>
      </c>
      <c r="Q85" s="8">
        <v>1298.6875697689156</v>
      </c>
      <c r="R85" s="8">
        <v>7042.9507739506344</v>
      </c>
      <c r="S85" s="8">
        <v>9840.3034030340295</v>
      </c>
      <c r="T85" s="8">
        <v>7345.7988259245349</v>
      </c>
      <c r="U85" s="8">
        <v>10612.608000799082</v>
      </c>
      <c r="V85" s="8">
        <v>5138.5337489929589</v>
      </c>
    </row>
    <row r="86" spans="1:22" ht="15.75" x14ac:dyDescent="0.25">
      <c r="A86" s="7">
        <v>1954</v>
      </c>
      <c r="B86" s="8">
        <v>4554.7619675430533</v>
      </c>
      <c r="C86" s="8">
        <v>6029.1086221480427</v>
      </c>
      <c r="D86" s="8">
        <v>1847.5986493506441</v>
      </c>
      <c r="E86" s="8">
        <v>7699.4188822188444</v>
      </c>
      <c r="F86" s="8">
        <v>7371.3118474807079</v>
      </c>
      <c r="G86" s="8">
        <v>5001.5524612481795</v>
      </c>
      <c r="H86" s="8">
        <v>5915.1795901601936</v>
      </c>
      <c r="I86" s="8">
        <v>5246.7996309904738</v>
      </c>
      <c r="J86" s="8">
        <v>4449.0362119298534</v>
      </c>
      <c r="K86" s="8">
        <v>2581.8698745064607</v>
      </c>
      <c r="L86" s="8">
        <v>6906.8653218255031</v>
      </c>
      <c r="M86" s="8">
        <v>8743.398132339822</v>
      </c>
      <c r="N86" s="8">
        <v>6225.5033348584338</v>
      </c>
      <c r="O86" s="8">
        <v>2393.3921062082227</v>
      </c>
      <c r="P86" s="8">
        <v>2695.5914219113129</v>
      </c>
      <c r="Q86" s="8">
        <v>1296.3811377075817</v>
      </c>
      <c r="R86" s="8">
        <v>7338.9713018161647</v>
      </c>
      <c r="S86" s="8">
        <v>10287.076486102658</v>
      </c>
      <c r="T86" s="8">
        <v>7619.2061459667093</v>
      </c>
      <c r="U86" s="8">
        <v>10359.108363083189</v>
      </c>
      <c r="V86" s="8">
        <v>5390.7913645462222</v>
      </c>
    </row>
    <row r="87" spans="1:22" ht="15.75" x14ac:dyDescent="0.25">
      <c r="A87" s="7">
        <v>1955</v>
      </c>
      <c r="B87" s="8">
        <v>5053.344052766096</v>
      </c>
      <c r="C87" s="8">
        <v>6280.2229244599548</v>
      </c>
      <c r="D87" s="8">
        <v>1925.7434242159256</v>
      </c>
      <c r="E87" s="8">
        <v>8201.2511124363846</v>
      </c>
      <c r="F87" s="8">
        <v>7395.3593151610721</v>
      </c>
      <c r="G87" s="8">
        <v>5196.8169260195045</v>
      </c>
      <c r="H87" s="8">
        <v>6198.7878239630918</v>
      </c>
      <c r="I87" s="8">
        <v>5796.9720386510771</v>
      </c>
      <c r="J87" s="8">
        <v>4675.6112104949316</v>
      </c>
      <c r="K87" s="8">
        <v>2770.7491371714273</v>
      </c>
      <c r="L87" s="8">
        <v>7325.8448035977081</v>
      </c>
      <c r="M87" s="8">
        <v>8725.437325154202</v>
      </c>
      <c r="N87" s="8">
        <v>6301.3789294422995</v>
      </c>
      <c r="O87" s="8">
        <v>2474.7486367715064</v>
      </c>
      <c r="P87" s="8">
        <v>2778.3249248902025</v>
      </c>
      <c r="Q87" s="8">
        <v>1336.7029458650834</v>
      </c>
      <c r="R87" s="8">
        <v>7477.9675020655468</v>
      </c>
      <c r="S87" s="8">
        <v>10866.867469879518</v>
      </c>
      <c r="T87" s="8">
        <v>7868.1348879205434</v>
      </c>
      <c r="U87" s="8">
        <v>10896.854716719601</v>
      </c>
      <c r="V87" s="8">
        <v>5351.5818890195887</v>
      </c>
    </row>
    <row r="88" spans="1:22" ht="15.75" x14ac:dyDescent="0.25">
      <c r="A88" s="7">
        <v>1956</v>
      </c>
      <c r="B88" s="8">
        <v>5396.7293691249261</v>
      </c>
      <c r="C88" s="8">
        <v>6422.455791197629</v>
      </c>
      <c r="D88" s="8">
        <v>1896.435994020115</v>
      </c>
      <c r="E88" s="8">
        <v>8651.9457148508864</v>
      </c>
      <c r="F88" s="8">
        <v>7438.7586978623622</v>
      </c>
      <c r="G88" s="8">
        <v>5295.3266226031719</v>
      </c>
      <c r="H88" s="8">
        <v>6448.4627270080837</v>
      </c>
      <c r="I88" s="8">
        <v>6176.6352299219698</v>
      </c>
      <c r="J88" s="8">
        <v>4858.8336297295646</v>
      </c>
      <c r="K88" s="8">
        <v>2947.8701055396045</v>
      </c>
      <c r="L88" s="8">
        <v>7498.5185067503098</v>
      </c>
      <c r="M88" s="8">
        <v>9000.1831712871881</v>
      </c>
      <c r="N88" s="8">
        <v>6575.1612223649645</v>
      </c>
      <c r="O88" s="8">
        <v>2564.070351758794</v>
      </c>
      <c r="P88" s="8">
        <v>2977.8754231613616</v>
      </c>
      <c r="Q88" s="8">
        <v>1311.8747203378712</v>
      </c>
      <c r="R88" s="8">
        <v>7701.9822282980176</v>
      </c>
      <c r="S88" s="8">
        <v>11439.048562933598</v>
      </c>
      <c r="T88" s="8">
        <v>7928.7472647702407</v>
      </c>
      <c r="U88" s="8">
        <v>10914.282161950941</v>
      </c>
      <c r="V88" s="8">
        <v>5360.1697575430362</v>
      </c>
    </row>
    <row r="89" spans="1:22" ht="15.75" x14ac:dyDescent="0.25">
      <c r="A89" s="7">
        <v>1957</v>
      </c>
      <c r="B89" s="8">
        <v>5716.1642639961183</v>
      </c>
      <c r="C89" s="8">
        <v>6494.6355651854774</v>
      </c>
      <c r="D89" s="8">
        <v>1994.121508523471</v>
      </c>
      <c r="E89" s="8">
        <v>8606.7415968132918</v>
      </c>
      <c r="F89" s="8">
        <v>7965.0949423006341</v>
      </c>
      <c r="G89" s="8">
        <v>5490.0555041628122</v>
      </c>
      <c r="H89" s="8">
        <v>6761.7824238128987</v>
      </c>
      <c r="I89" s="8">
        <v>6492.2140840793054</v>
      </c>
      <c r="J89" s="8">
        <v>5118.3766418608429</v>
      </c>
      <c r="K89" s="8">
        <v>3135.873352523834</v>
      </c>
      <c r="L89" s="8">
        <v>7613.557410440033</v>
      </c>
      <c r="M89" s="8">
        <v>9045.0061384036198</v>
      </c>
      <c r="N89" s="8">
        <v>6711.4864405250319</v>
      </c>
      <c r="O89" s="8">
        <v>2658.871694839328</v>
      </c>
      <c r="P89" s="8">
        <v>3046.1154011307831</v>
      </c>
      <c r="Q89" s="8">
        <v>1297.0552725422503</v>
      </c>
      <c r="R89" s="8">
        <v>7897.0668115154804</v>
      </c>
      <c r="S89" s="8">
        <v>11705.423332032775</v>
      </c>
      <c r="T89" s="8">
        <v>8017.0134162939921</v>
      </c>
      <c r="U89" s="8">
        <v>10919.986742952833</v>
      </c>
      <c r="V89" s="8">
        <v>5332.8736692043049</v>
      </c>
    </row>
    <row r="90" spans="1:22" ht="15.75" x14ac:dyDescent="0.25">
      <c r="A90" s="7">
        <v>1958</v>
      </c>
      <c r="B90" s="8">
        <v>5906.6674413991668</v>
      </c>
      <c r="C90" s="8">
        <v>6441.8300514973034</v>
      </c>
      <c r="D90" s="8">
        <v>2111.2130412038887</v>
      </c>
      <c r="E90" s="8">
        <v>8534.0147671481463</v>
      </c>
      <c r="F90" s="8">
        <v>8095.2229082117647</v>
      </c>
      <c r="G90" s="8">
        <v>5474.3336850314236</v>
      </c>
      <c r="H90" s="8">
        <v>6855.171507425418</v>
      </c>
      <c r="I90" s="8">
        <v>6736.7652607458804</v>
      </c>
      <c r="J90" s="8">
        <v>5360.0129355647186</v>
      </c>
      <c r="K90" s="8">
        <v>3288.895321608994</v>
      </c>
      <c r="L90" s="8">
        <v>7482.0716241130785</v>
      </c>
      <c r="M90" s="8">
        <v>9185.4906328332745</v>
      </c>
      <c r="N90" s="8">
        <v>6652.3250367383935</v>
      </c>
      <c r="O90" s="8">
        <v>2672.3143819858133</v>
      </c>
      <c r="P90" s="8">
        <v>3149.8175723874442</v>
      </c>
      <c r="Q90" s="8">
        <v>1301.0562586994956</v>
      </c>
      <c r="R90" s="8">
        <v>8044.9453367525975</v>
      </c>
      <c r="S90" s="8">
        <v>11296.787843816119</v>
      </c>
      <c r="T90" s="8">
        <v>7965.8096491907381</v>
      </c>
      <c r="U90" s="8">
        <v>10630.528013174597</v>
      </c>
      <c r="V90" s="8">
        <v>5402.3494448691699</v>
      </c>
    </row>
    <row r="91" spans="1:22" ht="15.75" x14ac:dyDescent="0.25">
      <c r="A91" s="7">
        <v>1959</v>
      </c>
      <c r="B91" s="8">
        <v>6051.1829282079789</v>
      </c>
      <c r="C91" s="8">
        <v>6608.2810681205474</v>
      </c>
      <c r="D91" s="8">
        <v>2221.0013151993194</v>
      </c>
      <c r="E91" s="8">
        <v>8676.2368513846832</v>
      </c>
      <c r="F91" s="8">
        <v>8637.1550306644294</v>
      </c>
      <c r="G91" s="8">
        <v>5753.5212870048017</v>
      </c>
      <c r="H91" s="8">
        <v>6978.7769082356008</v>
      </c>
      <c r="I91" s="8">
        <v>7176.6886296168595</v>
      </c>
      <c r="J91" s="8">
        <v>5653.1345320276123</v>
      </c>
      <c r="K91" s="8">
        <v>3553.9357364985972</v>
      </c>
      <c r="L91" s="8">
        <v>7736.675444116614</v>
      </c>
      <c r="M91" s="8">
        <v>9630.1266085601692</v>
      </c>
      <c r="N91" s="8">
        <v>6874.4778522308707</v>
      </c>
      <c r="O91" s="8">
        <v>2794.0479046593505</v>
      </c>
      <c r="P91" s="8">
        <v>3050.4518883739597</v>
      </c>
      <c r="Q91" s="8">
        <v>1284.8059481380326</v>
      </c>
      <c r="R91" s="8">
        <v>8356.0300832661833</v>
      </c>
      <c r="S91" s="8">
        <v>11870.127400646512</v>
      </c>
      <c r="T91" s="8">
        <v>8239.7990607437059</v>
      </c>
      <c r="U91" s="8">
        <v>11230.16926277906</v>
      </c>
      <c r="V91" s="8">
        <v>4859.6765880220692</v>
      </c>
    </row>
    <row r="92" spans="1:22" ht="15.75" x14ac:dyDescent="0.25">
      <c r="A92" s="7">
        <v>1960</v>
      </c>
      <c r="B92" s="8">
        <v>6518.5400025569579</v>
      </c>
      <c r="C92" s="8">
        <v>6952.0874686084635</v>
      </c>
      <c r="D92" s="8">
        <v>2334.8552008157912</v>
      </c>
      <c r="E92" s="8">
        <v>8752.5076279242676</v>
      </c>
      <c r="F92" s="8">
        <v>8811.831477843265</v>
      </c>
      <c r="G92" s="8">
        <v>6230.3594003973267</v>
      </c>
      <c r="H92" s="8">
        <v>7397.5828610681774</v>
      </c>
      <c r="I92" s="8">
        <v>7705.2332250597037</v>
      </c>
      <c r="J92" s="8">
        <v>5916.2390233796041</v>
      </c>
      <c r="K92" s="8">
        <v>3986.4328857788614</v>
      </c>
      <c r="L92" s="8">
        <v>8286.6097858262237</v>
      </c>
      <c r="M92" s="8">
        <v>9465.1788176305545</v>
      </c>
      <c r="N92" s="8">
        <v>7203.72173741814</v>
      </c>
      <c r="O92" s="8">
        <v>2955.8356479688382</v>
      </c>
      <c r="P92" s="8">
        <v>3071.6499331439081</v>
      </c>
      <c r="Q92" s="8">
        <v>1295.3058201809674</v>
      </c>
      <c r="R92" s="8">
        <v>8791.9786096256685</v>
      </c>
      <c r="S92" s="8">
        <v>12456.732562476687</v>
      </c>
      <c r="T92" s="8">
        <v>8645.2302757198504</v>
      </c>
      <c r="U92" s="8">
        <v>11328.475516269904</v>
      </c>
      <c r="V92" s="8">
        <v>4960.1555767771151</v>
      </c>
    </row>
    <row r="93" spans="1:22" ht="15.75" x14ac:dyDescent="0.25">
      <c r="A93" s="7">
        <v>1961</v>
      </c>
      <c r="B93" s="8">
        <v>6826.9769593408355</v>
      </c>
      <c r="C93" s="8">
        <v>7252.8311767658042</v>
      </c>
      <c r="D93" s="8">
        <v>2437.2738322001751</v>
      </c>
      <c r="E93" s="8">
        <v>8832.7450041929224</v>
      </c>
      <c r="F93" s="8">
        <v>9311.8663929609356</v>
      </c>
      <c r="G93" s="8">
        <v>6657.9182623463239</v>
      </c>
      <c r="H93" s="8">
        <v>7718.4264131726368</v>
      </c>
      <c r="I93" s="8">
        <v>7952.160374714721</v>
      </c>
      <c r="J93" s="8">
        <v>6373.1513443329013</v>
      </c>
      <c r="K93" s="8">
        <v>4426.2842242052848</v>
      </c>
      <c r="L93" s="8">
        <v>8201.5081908111333</v>
      </c>
      <c r="M93" s="8">
        <v>9744.9073978910164</v>
      </c>
      <c r="N93" s="8">
        <v>7594.6625054386104</v>
      </c>
      <c r="O93" s="8">
        <v>3119.1868190273717</v>
      </c>
      <c r="P93" s="8">
        <v>3436.0394842151604</v>
      </c>
      <c r="Q93" s="8">
        <v>1285.8921809237738</v>
      </c>
      <c r="R93" s="8">
        <v>9236.968085106384</v>
      </c>
      <c r="S93" s="8">
        <v>13098.693759071119</v>
      </c>
      <c r="T93" s="8">
        <v>8856.6667297896111</v>
      </c>
      <c r="U93" s="8">
        <v>11401.734434457867</v>
      </c>
      <c r="V93" s="8">
        <v>5036.2860666652632</v>
      </c>
    </row>
    <row r="94" spans="1:22" ht="15.75" x14ac:dyDescent="0.25">
      <c r="A94" s="7">
        <v>1962</v>
      </c>
      <c r="B94" s="8">
        <v>6949.6416761946657</v>
      </c>
      <c r="C94" s="8">
        <v>7583.0946802048084</v>
      </c>
      <c r="D94" s="8">
        <v>2510.9617528494114</v>
      </c>
      <c r="E94" s="8">
        <v>9276.9093444280534</v>
      </c>
      <c r="F94" s="8">
        <v>9747.3605516280859</v>
      </c>
      <c r="G94" s="8">
        <v>6818.9666439048651</v>
      </c>
      <c r="H94" s="8">
        <v>8067.0631537357822</v>
      </c>
      <c r="I94" s="8">
        <v>8222.1217810351591</v>
      </c>
      <c r="J94" s="8">
        <v>6826.8323000912615</v>
      </c>
      <c r="K94" s="8">
        <v>4776.5168283411522</v>
      </c>
      <c r="L94" s="8">
        <v>8639.3094041355835</v>
      </c>
      <c r="M94" s="8">
        <v>9730.5659922444793</v>
      </c>
      <c r="N94" s="8">
        <v>7746.0439498518108</v>
      </c>
      <c r="O94" s="8">
        <v>3330.4507860484714</v>
      </c>
      <c r="P94" s="8">
        <v>3799.5304008166613</v>
      </c>
      <c r="Q94" s="8">
        <v>1297.1331112743369</v>
      </c>
      <c r="R94" s="8">
        <v>9601.9571541920122</v>
      </c>
      <c r="S94" s="8">
        <v>13353.512177903283</v>
      </c>
      <c r="T94" s="8">
        <v>8865.3831719582668</v>
      </c>
      <c r="U94" s="8">
        <v>11904.984507178162</v>
      </c>
      <c r="V94" s="8">
        <v>4858.2509834648599</v>
      </c>
    </row>
    <row r="95" spans="1:22" ht="15.75" x14ac:dyDescent="0.25">
      <c r="A95" s="7">
        <v>1963</v>
      </c>
      <c r="B95" s="8">
        <v>7186.2260586294706</v>
      </c>
      <c r="C95" s="8">
        <v>7862.4597386648848</v>
      </c>
      <c r="D95" s="8">
        <v>2463.2326342878173</v>
      </c>
      <c r="E95" s="8">
        <v>9566.3816912934344</v>
      </c>
      <c r="F95" s="8">
        <v>9731.6603392405686</v>
      </c>
      <c r="G95" s="8">
        <v>6993.9948829496279</v>
      </c>
      <c r="H95" s="8">
        <v>8362.6713662165203</v>
      </c>
      <c r="I95" s="8">
        <v>8385.523537313431</v>
      </c>
      <c r="J95" s="8">
        <v>7262.3895715287417</v>
      </c>
      <c r="K95" s="8">
        <v>5128.6442560700671</v>
      </c>
      <c r="L95" s="8">
        <v>8832.2163041412623</v>
      </c>
      <c r="M95" s="8">
        <v>10132.016447950893</v>
      </c>
      <c r="N95" s="8">
        <v>7981.6945016044019</v>
      </c>
      <c r="O95" s="8">
        <v>3504.1182170542634</v>
      </c>
      <c r="P95" s="8">
        <v>4151.3741370698935</v>
      </c>
      <c r="Q95" s="8">
        <v>1290.7031183484216</v>
      </c>
      <c r="R95" s="8">
        <v>10021.041557075223</v>
      </c>
      <c r="S95" s="8">
        <v>13710.485403351184</v>
      </c>
      <c r="T95" s="8">
        <v>9149.1841491841496</v>
      </c>
      <c r="U95" s="8">
        <v>12242.340495238901</v>
      </c>
      <c r="V95" s="8">
        <v>4819.7055519315109</v>
      </c>
    </row>
    <row r="96" spans="1:22" ht="15.75" x14ac:dyDescent="0.25">
      <c r="A96" s="7">
        <v>1964</v>
      </c>
      <c r="B96" s="8">
        <v>7566.9304843807295</v>
      </c>
      <c r="C96" s="8">
        <v>8340.7707910750505</v>
      </c>
      <c r="D96" s="8">
        <v>2472.1776042599063</v>
      </c>
      <c r="E96" s="8">
        <v>9999.3643160515076</v>
      </c>
      <c r="F96" s="8">
        <v>10559.575066242303</v>
      </c>
      <c r="G96" s="8">
        <v>7306.7337591985479</v>
      </c>
      <c r="H96" s="8">
        <v>8819.3366695706791</v>
      </c>
      <c r="I96" s="8">
        <v>8822.3535574267935</v>
      </c>
      <c r="J96" s="8">
        <v>7487.044623858048</v>
      </c>
      <c r="K96" s="8">
        <v>5667.6904578194726</v>
      </c>
      <c r="L96" s="8">
        <v>9437.1953110054164</v>
      </c>
      <c r="M96" s="8">
        <v>10418.41084897471</v>
      </c>
      <c r="N96" s="8">
        <v>8315.9455210430879</v>
      </c>
      <c r="O96" s="8">
        <v>3718.3885996163331</v>
      </c>
      <c r="P96" s="8">
        <v>4514.9372439853714</v>
      </c>
      <c r="Q96" s="8">
        <v>1320.0715630665893</v>
      </c>
      <c r="R96" s="8">
        <v>10617.934995431408</v>
      </c>
      <c r="S96" s="8">
        <v>14190.759300152878</v>
      </c>
      <c r="T96" s="8">
        <v>9567.9650312089052</v>
      </c>
      <c r="U96" s="8">
        <v>12772.566431634954</v>
      </c>
      <c r="V96" s="8">
        <v>4858.0685610881465</v>
      </c>
    </row>
    <row r="97" spans="1:22" ht="15.75" x14ac:dyDescent="0.25">
      <c r="A97" s="7">
        <v>1965</v>
      </c>
      <c r="B97" s="8">
        <v>7734.1298980083457</v>
      </c>
      <c r="C97" s="8">
        <v>8559.3928938093359</v>
      </c>
      <c r="D97" s="8">
        <v>2448.3918651637518</v>
      </c>
      <c r="E97" s="8">
        <v>10472.916686595814</v>
      </c>
      <c r="F97" s="8">
        <v>10953.321704041527</v>
      </c>
      <c r="G97" s="8">
        <v>7669.6002306883929</v>
      </c>
      <c r="H97" s="8">
        <v>9165.4150435725478</v>
      </c>
      <c r="I97" s="8">
        <v>9185.7291697886849</v>
      </c>
      <c r="J97" s="8">
        <v>7598.4234550494257</v>
      </c>
      <c r="K97" s="8">
        <v>5933.7476120909278</v>
      </c>
      <c r="L97" s="8">
        <v>9797.8359908883813</v>
      </c>
      <c r="M97" s="8">
        <v>10878.654749280411</v>
      </c>
      <c r="N97" s="8">
        <v>8689.788208071277</v>
      </c>
      <c r="O97" s="8">
        <v>3992.3977280818503</v>
      </c>
      <c r="P97" s="8">
        <v>4762.2355846408263</v>
      </c>
      <c r="Q97" s="8">
        <v>1329.4940134583405</v>
      </c>
      <c r="R97" s="8">
        <v>11044.996121024049</v>
      </c>
      <c r="S97" s="8">
        <v>14503.61770149756</v>
      </c>
      <c r="T97" s="8">
        <v>9751.5363385464589</v>
      </c>
      <c r="U97" s="8">
        <v>13418.701718450051</v>
      </c>
      <c r="V97" s="8">
        <v>4859.7674158684331</v>
      </c>
    </row>
    <row r="98" spans="1:22" ht="15.75" x14ac:dyDescent="0.25">
      <c r="A98" s="7">
        <v>1966</v>
      </c>
      <c r="B98" s="8">
        <v>8112.3278593773948</v>
      </c>
      <c r="C98" s="8">
        <v>8775.9523759439617</v>
      </c>
      <c r="D98" s="8">
        <v>2526.735225753187</v>
      </c>
      <c r="E98" s="8">
        <v>10946.135109398754</v>
      </c>
      <c r="F98" s="8">
        <v>11159.770713913496</v>
      </c>
      <c r="G98" s="8">
        <v>7824.4979282315217</v>
      </c>
      <c r="H98" s="8">
        <v>9544.1357901858555</v>
      </c>
      <c r="I98" s="8">
        <v>9387.5990859690592</v>
      </c>
      <c r="J98" s="8">
        <v>7942.4095575140072</v>
      </c>
      <c r="K98" s="8">
        <v>6505.5315792792226</v>
      </c>
      <c r="L98" s="8">
        <v>9936.2494781128553</v>
      </c>
      <c r="M98" s="8">
        <v>11362.021171699131</v>
      </c>
      <c r="N98" s="8">
        <v>8945.2199094397474</v>
      </c>
      <c r="O98" s="8">
        <v>4163.9952573335677</v>
      </c>
      <c r="P98" s="8">
        <v>5059.7536821718868</v>
      </c>
      <c r="Q98" s="8">
        <v>1283.5672696242125</v>
      </c>
      <c r="R98" s="8">
        <v>11275.998975409835</v>
      </c>
      <c r="S98" s="8">
        <v>14727.318212141428</v>
      </c>
      <c r="T98" s="8">
        <v>9885.3101037644337</v>
      </c>
      <c r="U98" s="8">
        <v>14133.526658526658</v>
      </c>
      <c r="V98" s="8">
        <v>4974.2632589141513</v>
      </c>
    </row>
    <row r="99" spans="1:22" ht="15.75" x14ac:dyDescent="0.25">
      <c r="A99" s="7">
        <v>1967</v>
      </c>
      <c r="B99" s="8">
        <v>8296.7353386838386</v>
      </c>
      <c r="C99" s="8">
        <v>9071.8359231936374</v>
      </c>
      <c r="D99" s="8">
        <v>2553.9744696590701</v>
      </c>
      <c r="E99" s="8">
        <v>11078.269992166579</v>
      </c>
      <c r="F99" s="8">
        <v>11436.513185087211</v>
      </c>
      <c r="G99" s="8">
        <v>7946.5988556897655</v>
      </c>
      <c r="H99" s="8">
        <v>9907.1865745310952</v>
      </c>
      <c r="I99" s="8">
        <v>9396.6811138625544</v>
      </c>
      <c r="J99" s="8">
        <v>8453.7025961178806</v>
      </c>
      <c r="K99" s="8">
        <v>7152.2936227134069</v>
      </c>
      <c r="L99" s="8">
        <v>10341.259088998797</v>
      </c>
      <c r="M99" s="8">
        <v>10681.963968256878</v>
      </c>
      <c r="N99" s="8">
        <v>9422.7532230938887</v>
      </c>
      <c r="O99" s="8">
        <v>4481.1600571240242</v>
      </c>
      <c r="P99" s="8">
        <v>5334.1105972476635</v>
      </c>
      <c r="Q99" s="8">
        <v>1368.450892753918</v>
      </c>
      <c r="R99" s="8">
        <v>11623.029994916116</v>
      </c>
      <c r="S99" s="8">
        <v>15010.39089559624</v>
      </c>
      <c r="T99" s="8">
        <v>10048.890991466365</v>
      </c>
      <c r="U99" s="8">
        <v>14330.030395748621</v>
      </c>
      <c r="V99" s="8">
        <v>4720.6210918441848</v>
      </c>
    </row>
    <row r="100" spans="1:22" ht="15.75" x14ac:dyDescent="0.25">
      <c r="A100" s="7">
        <v>1968</v>
      </c>
      <c r="B100" s="8">
        <v>8620.5699137322681</v>
      </c>
      <c r="C100" s="8">
        <v>9415.5248284635763</v>
      </c>
      <c r="D100" s="8">
        <v>2704.2450821297916</v>
      </c>
      <c r="E100" s="8">
        <v>11479.064091831378</v>
      </c>
      <c r="F100" s="8">
        <v>11836.747272615208</v>
      </c>
      <c r="G100" s="8">
        <v>8092.9970567186338</v>
      </c>
      <c r="H100" s="8">
        <v>10267.018066387114</v>
      </c>
      <c r="I100" s="8">
        <v>9864.4500725415346</v>
      </c>
      <c r="J100" s="8">
        <v>9105.3587133350702</v>
      </c>
      <c r="K100" s="8">
        <v>7983.3134093113858</v>
      </c>
      <c r="L100" s="8">
        <v>10894.340761417969</v>
      </c>
      <c r="M100" s="8">
        <v>10545.487495469373</v>
      </c>
      <c r="N100" s="8">
        <v>9551.19851865481</v>
      </c>
      <c r="O100" s="8">
        <v>4873.3687692333015</v>
      </c>
      <c r="P100" s="8">
        <v>5588.174071410227</v>
      </c>
      <c r="Q100" s="8">
        <v>1436.6236085036003</v>
      </c>
      <c r="R100" s="8">
        <v>12036.021233569261</v>
      </c>
      <c r="S100" s="8">
        <v>15373.776908023483</v>
      </c>
      <c r="T100" s="8">
        <v>10409.950374904916</v>
      </c>
      <c r="U100" s="8">
        <v>14862.938825944417</v>
      </c>
      <c r="V100" s="8">
        <v>4747.1608333480399</v>
      </c>
    </row>
    <row r="101" spans="1:22" ht="15.75" x14ac:dyDescent="0.25">
      <c r="A101" s="7">
        <v>1969</v>
      </c>
      <c r="B101" s="8">
        <v>9131.0976736497705</v>
      </c>
      <c r="C101" s="8">
        <v>10018.205082859133</v>
      </c>
      <c r="D101" s="8">
        <v>2859.8418151741153</v>
      </c>
      <c r="E101" s="8">
        <v>11912.352219241327</v>
      </c>
      <c r="F101" s="8">
        <v>12530.550411424816</v>
      </c>
      <c r="G101" s="8">
        <v>8877.5754062959259</v>
      </c>
      <c r="H101" s="8">
        <v>10885.564406450359</v>
      </c>
      <c r="I101" s="8">
        <v>10440.360485849507</v>
      </c>
      <c r="J101" s="8">
        <v>9566.3859556989337</v>
      </c>
      <c r="K101" s="8">
        <v>8874.0888973851779</v>
      </c>
      <c r="L101" s="8">
        <v>11462.130039617805</v>
      </c>
      <c r="M101" s="8">
        <v>11511.206741975973</v>
      </c>
      <c r="N101" s="8">
        <v>9899.2947760828756</v>
      </c>
      <c r="O101" s="8">
        <v>4986.5892802180888</v>
      </c>
      <c r="P101" s="8">
        <v>6032.0411520152302</v>
      </c>
      <c r="Q101" s="8">
        <v>1461.0171521617035</v>
      </c>
      <c r="R101" s="8">
        <v>12540.03514056225</v>
      </c>
      <c r="S101" s="8">
        <v>16030.907920154541</v>
      </c>
      <c r="T101" s="8">
        <v>10551.684967815221</v>
      </c>
      <c r="U101" s="8">
        <v>15179.408615679135</v>
      </c>
      <c r="V101" s="8">
        <v>4990.9720653323384</v>
      </c>
    </row>
    <row r="102" spans="1:22" ht="15.75" x14ac:dyDescent="0.25">
      <c r="A102" s="7">
        <v>1970</v>
      </c>
      <c r="B102" s="8">
        <v>9747.4436480308377</v>
      </c>
      <c r="C102" s="8">
        <v>10610.824046981676</v>
      </c>
      <c r="D102" s="8">
        <v>3056.7189096869261</v>
      </c>
      <c r="E102" s="8">
        <v>12050.490515258263</v>
      </c>
      <c r="F102" s="8">
        <v>12685.551346921749</v>
      </c>
      <c r="G102" s="8">
        <v>9576.8692794466369</v>
      </c>
      <c r="H102" s="8">
        <v>11410.088986478679</v>
      </c>
      <c r="I102" s="8">
        <v>10839.145088003876</v>
      </c>
      <c r="J102" s="8">
        <v>9718.5111747616047</v>
      </c>
      <c r="K102" s="8">
        <v>9713.9514330029106</v>
      </c>
      <c r="L102" s="8">
        <v>11966.773413973782</v>
      </c>
      <c r="M102" s="8">
        <v>11189.33540778982</v>
      </c>
      <c r="N102" s="8">
        <v>10027.230870410142</v>
      </c>
      <c r="O102" s="8">
        <v>5472.8997589615446</v>
      </c>
      <c r="P102" s="8">
        <v>6319.1336974542137</v>
      </c>
      <c r="Q102" s="8">
        <v>1498.7257027654152</v>
      </c>
      <c r="R102" s="8">
        <v>13010.941191097849</v>
      </c>
      <c r="S102" s="8">
        <v>16903.622147758098</v>
      </c>
      <c r="T102" s="8">
        <v>10767.471958584987</v>
      </c>
      <c r="U102" s="8">
        <v>15029.846087821626</v>
      </c>
      <c r="V102" s="8">
        <v>5184.0537402002155</v>
      </c>
    </row>
    <row r="103" spans="1:22" ht="15.75" x14ac:dyDescent="0.25">
      <c r="A103" s="7">
        <v>1971</v>
      </c>
      <c r="B103" s="8">
        <v>10200.14447071535</v>
      </c>
      <c r="C103" s="8">
        <v>10969.55285603515</v>
      </c>
      <c r="D103" s="8">
        <v>3278.4714801811429</v>
      </c>
      <c r="E103" s="8">
        <v>12561.925689172991</v>
      </c>
      <c r="F103" s="8">
        <v>12933.582584846727</v>
      </c>
      <c r="G103" s="8">
        <v>9764.6984339536393</v>
      </c>
      <c r="H103" s="8">
        <v>11844.961092462618</v>
      </c>
      <c r="I103" s="8">
        <v>11076.768851250534</v>
      </c>
      <c r="J103" s="8">
        <v>9839.460795659701</v>
      </c>
      <c r="K103" s="8">
        <v>10040.324215724026</v>
      </c>
      <c r="L103" s="8">
        <v>12319.369375378208</v>
      </c>
      <c r="M103" s="8">
        <v>11576.183354780371</v>
      </c>
      <c r="N103" s="8">
        <v>10472.391642294197</v>
      </c>
      <c r="O103" s="8">
        <v>5870.7851108676432</v>
      </c>
      <c r="P103" s="8">
        <v>6618.4713953970422</v>
      </c>
      <c r="Q103" s="8">
        <v>1457.0978623196374</v>
      </c>
      <c r="R103" s="8">
        <v>13226.969622128921</v>
      </c>
      <c r="S103" s="8">
        <v>17381.035370745132</v>
      </c>
      <c r="T103" s="8">
        <v>10941.474233995743</v>
      </c>
      <c r="U103" s="8">
        <v>15304.298833194485</v>
      </c>
      <c r="V103" s="8">
        <v>5130.1431472002187</v>
      </c>
    </row>
    <row r="104" spans="1:22" ht="15.75" x14ac:dyDescent="0.25">
      <c r="A104" s="7">
        <v>1972</v>
      </c>
      <c r="B104" s="8">
        <v>10770.656826349139</v>
      </c>
      <c r="C104" s="8">
        <v>11502.507956453224</v>
      </c>
      <c r="D104" s="8">
        <v>3537.8789380811704</v>
      </c>
      <c r="E104" s="8">
        <v>13072.494334627207</v>
      </c>
      <c r="F104" s="8">
        <v>13538.355267533672</v>
      </c>
      <c r="G104" s="8">
        <v>10447.53954872095</v>
      </c>
      <c r="H104" s="8">
        <v>12263.545959844218</v>
      </c>
      <c r="I104" s="8">
        <v>11480.848986690156</v>
      </c>
      <c r="J104" s="8">
        <v>10060.283748734768</v>
      </c>
      <c r="K104" s="8">
        <v>10733.599560840017</v>
      </c>
      <c r="L104" s="8">
        <v>12597.193341812534</v>
      </c>
      <c r="M104" s="8">
        <v>11850.397733092077</v>
      </c>
      <c r="N104" s="8">
        <v>10921.915849894231</v>
      </c>
      <c r="O104" s="8">
        <v>6355.4225261831907</v>
      </c>
      <c r="P104" s="8">
        <v>7099.2917745204504</v>
      </c>
      <c r="Q104" s="8">
        <v>1459.7756594626314</v>
      </c>
      <c r="R104" s="8">
        <v>13532.996798818025</v>
      </c>
      <c r="S104" s="8">
        <v>17774.393101509046</v>
      </c>
      <c r="T104" s="8">
        <v>11293.924642022861</v>
      </c>
      <c r="U104" s="8">
        <v>15943.867439112702</v>
      </c>
      <c r="V104" s="8">
        <v>4944.9978547643677</v>
      </c>
    </row>
    <row r="105" spans="1:22" ht="15.75" x14ac:dyDescent="0.25">
      <c r="A105" s="7">
        <v>1973</v>
      </c>
      <c r="B105" s="8">
        <v>11234.604273729045</v>
      </c>
      <c r="C105" s="8">
        <v>12169.966318902489</v>
      </c>
      <c r="D105" s="8">
        <v>3880.1213374165563</v>
      </c>
      <c r="E105" s="8">
        <v>13837.895343425165</v>
      </c>
      <c r="F105" s="8">
        <v>13945.427800570347</v>
      </c>
      <c r="G105" s="8">
        <v>11085.105466450324</v>
      </c>
      <c r="H105" s="8">
        <v>12824.423902649391</v>
      </c>
      <c r="I105" s="8">
        <v>11966.464437971166</v>
      </c>
      <c r="J105" s="8">
        <v>10634.061527960652</v>
      </c>
      <c r="K105" s="8">
        <v>11433.802064833166</v>
      </c>
      <c r="L105" s="8">
        <v>13081.24089735656</v>
      </c>
      <c r="M105" s="8">
        <v>12424.222170236941</v>
      </c>
      <c r="N105" s="8">
        <v>11324.423065573739</v>
      </c>
      <c r="O105" s="8">
        <v>7062.9849765205909</v>
      </c>
      <c r="P105" s="8">
        <v>7661.3421311009906</v>
      </c>
      <c r="Q105" s="8">
        <v>1492.0988862659945</v>
      </c>
      <c r="R105" s="8">
        <v>14017.942730736144</v>
      </c>
      <c r="S105" s="8">
        <v>18203.567713589295</v>
      </c>
      <c r="T105" s="8">
        <v>12025.280199252802</v>
      </c>
      <c r="U105" s="8">
        <v>16689.343067071241</v>
      </c>
      <c r="V105" s="8">
        <v>4974.3923588139505</v>
      </c>
    </row>
    <row r="106" spans="1:22" ht="15.75" x14ac:dyDescent="0.25">
      <c r="A106" s="7">
        <v>1974</v>
      </c>
      <c r="B106" s="8">
        <v>11657.791420440326</v>
      </c>
      <c r="C106" s="8">
        <v>12642.969757775551</v>
      </c>
      <c r="D106" s="8">
        <v>4080.9365052457106</v>
      </c>
      <c r="E106" s="8">
        <v>14204.68902324402</v>
      </c>
      <c r="F106" s="8">
        <v>13751.222177802418</v>
      </c>
      <c r="G106" s="8">
        <v>11361.296080181231</v>
      </c>
      <c r="H106" s="8">
        <v>13112.534922704413</v>
      </c>
      <c r="I106" s="8">
        <v>12063.031524512842</v>
      </c>
      <c r="J106" s="8">
        <v>11046.194528584672</v>
      </c>
      <c r="K106" s="8">
        <v>11144.520200748892</v>
      </c>
      <c r="L106" s="8">
        <v>13497.423744795646</v>
      </c>
      <c r="M106" s="8">
        <v>12879.283285377975</v>
      </c>
      <c r="N106" s="8">
        <v>11726.198839657483</v>
      </c>
      <c r="O106" s="8">
        <v>7047.6902278447633</v>
      </c>
      <c r="P106" s="8">
        <v>8149.4332967440832</v>
      </c>
      <c r="Q106" s="8">
        <v>1516.7374969067992</v>
      </c>
      <c r="R106" s="8">
        <v>14484.98958460973</v>
      </c>
      <c r="S106" s="8">
        <v>18414.39628482972</v>
      </c>
      <c r="T106" s="8">
        <v>11858.903671030164</v>
      </c>
      <c r="U106" s="8">
        <v>16491.269744779151</v>
      </c>
      <c r="V106" s="8">
        <v>5123.2941290875624</v>
      </c>
    </row>
    <row r="107" spans="1:22" ht="15.75" x14ac:dyDescent="0.25">
      <c r="A107" s="7">
        <v>1975</v>
      </c>
      <c r="B107" s="8">
        <v>11646.408457793957</v>
      </c>
      <c r="C107" s="8">
        <v>12440.7849062768</v>
      </c>
      <c r="D107" s="8">
        <v>4187.3823234967258</v>
      </c>
      <c r="E107" s="8">
        <v>14316.262516588249</v>
      </c>
      <c r="F107" s="8">
        <v>13621.125165296044</v>
      </c>
      <c r="G107" s="8">
        <v>11441.302752725864</v>
      </c>
      <c r="H107" s="8">
        <v>12957.205078305997</v>
      </c>
      <c r="I107" s="8">
        <v>12040.607595161939</v>
      </c>
      <c r="J107" s="8">
        <v>10741.868902290787</v>
      </c>
      <c r="K107" s="8">
        <v>11343.781059229359</v>
      </c>
      <c r="L107" s="8">
        <v>13373.627946309201</v>
      </c>
      <c r="M107" s="8">
        <v>12488.613766117132</v>
      </c>
      <c r="N107" s="8">
        <v>12271.31778843432</v>
      </c>
      <c r="O107" s="8">
        <v>6517.2047021120825</v>
      </c>
      <c r="P107" s="8">
        <v>8346.3019072766529</v>
      </c>
      <c r="Q107" s="8">
        <v>1527.4479427060787</v>
      </c>
      <c r="R107" s="8">
        <v>14575.003051385329</v>
      </c>
      <c r="S107" s="8">
        <v>17224.018115093309</v>
      </c>
      <c r="T107" s="8">
        <v>11847.087076403095</v>
      </c>
      <c r="U107" s="8">
        <v>16283.632676306759</v>
      </c>
      <c r="V107" s="8">
        <v>5417.0182841068918</v>
      </c>
    </row>
    <row r="108" spans="1:22" ht="15.75" x14ac:dyDescent="0.25">
      <c r="A108" s="7">
        <v>1976</v>
      </c>
      <c r="B108" s="8">
        <v>12201.003895962276</v>
      </c>
      <c r="C108" s="8">
        <v>13122.311690959128</v>
      </c>
      <c r="D108" s="8">
        <v>4469.6199922941141</v>
      </c>
      <c r="E108" s="8">
        <v>14902.391835866907</v>
      </c>
      <c r="F108" s="8">
        <v>14466.360025517508</v>
      </c>
      <c r="G108" s="8">
        <v>11358.403813728612</v>
      </c>
      <c r="H108" s="8">
        <v>13466.386011558559</v>
      </c>
      <c r="I108" s="8">
        <v>12683.847116890714</v>
      </c>
      <c r="J108" s="8">
        <v>11385.273424790363</v>
      </c>
      <c r="K108" s="8">
        <v>11668.967903931694</v>
      </c>
      <c r="L108" s="8">
        <v>13884.909802988588</v>
      </c>
      <c r="M108" s="8">
        <v>12648.285265811544</v>
      </c>
      <c r="N108" s="8">
        <v>12930.006027314492</v>
      </c>
      <c r="O108" s="8">
        <v>6814.1970926951553</v>
      </c>
      <c r="P108" s="8">
        <v>8599.2691568523642</v>
      </c>
      <c r="Q108" s="8">
        <v>1546.338120899107</v>
      </c>
      <c r="R108" s="8">
        <v>14824.981756263682</v>
      </c>
      <c r="S108" s="8">
        <v>17170.318283653436</v>
      </c>
      <c r="T108" s="8">
        <v>12114.952140340889</v>
      </c>
      <c r="U108" s="8">
        <v>16975.086568670169</v>
      </c>
      <c r="V108" s="8">
        <v>5601.5379238028654</v>
      </c>
    </row>
    <row r="109" spans="1:22" ht="15.75" x14ac:dyDescent="0.25">
      <c r="A109" s="7">
        <v>1977</v>
      </c>
      <c r="B109" s="8">
        <v>12766.716478847</v>
      </c>
      <c r="C109" s="8">
        <v>13189.944816632391</v>
      </c>
      <c r="D109" s="8">
        <v>4565.3607057609752</v>
      </c>
      <c r="E109" s="8">
        <v>15222.680741624783</v>
      </c>
      <c r="F109" s="8">
        <v>14655.436197372899</v>
      </c>
      <c r="G109" s="8">
        <v>11354.528960506041</v>
      </c>
      <c r="H109" s="8">
        <v>13912.703666924124</v>
      </c>
      <c r="I109" s="8">
        <v>13071.902449071224</v>
      </c>
      <c r="J109" s="8">
        <v>11668.15571633189</v>
      </c>
      <c r="K109" s="8">
        <v>12063.854975732371</v>
      </c>
      <c r="L109" s="8">
        <v>14176.868255652265</v>
      </c>
      <c r="M109" s="8">
        <v>11989.004391923914</v>
      </c>
      <c r="N109" s="8">
        <v>13424.932833440329</v>
      </c>
      <c r="O109" s="8">
        <v>7165.6696955270836</v>
      </c>
      <c r="P109" s="8">
        <v>8833.0634759461009</v>
      </c>
      <c r="Q109" s="8">
        <v>1619.8342606806111</v>
      </c>
      <c r="R109" s="8">
        <v>14559.985458070771</v>
      </c>
      <c r="S109" s="8">
        <v>17635.294907371641</v>
      </c>
      <c r="T109" s="8">
        <v>12383.613093860695</v>
      </c>
      <c r="U109" s="8">
        <v>17566.502753826528</v>
      </c>
      <c r="V109" s="8">
        <v>5628.6905175408128</v>
      </c>
    </row>
    <row r="110" spans="1:22" ht="15.75" x14ac:dyDescent="0.25">
      <c r="A110" s="7">
        <v>1978</v>
      </c>
      <c r="B110" s="8">
        <v>12730.642310776939</v>
      </c>
      <c r="C110" s="8">
        <v>13553.923314038067</v>
      </c>
      <c r="D110" s="8">
        <v>4678.4065798117863</v>
      </c>
      <c r="E110" s="8">
        <v>15680.200363616697</v>
      </c>
      <c r="F110" s="8">
        <v>14825.693192355306</v>
      </c>
      <c r="G110" s="8">
        <v>11558.900862867087</v>
      </c>
      <c r="H110" s="8">
        <v>14240.210981282737</v>
      </c>
      <c r="I110" s="8">
        <v>13455.319912719066</v>
      </c>
      <c r="J110" s="8">
        <v>12064.229637538441</v>
      </c>
      <c r="K110" s="8">
        <v>12584.878299706463</v>
      </c>
      <c r="L110" s="8">
        <v>14424.018677519885</v>
      </c>
      <c r="M110" s="8">
        <v>12033.925074230841</v>
      </c>
      <c r="N110" s="8">
        <v>13840.21049120456</v>
      </c>
      <c r="O110" s="8">
        <v>7339.9953396200344</v>
      </c>
      <c r="P110" s="8">
        <v>9022.9970217330319</v>
      </c>
      <c r="Q110" s="8">
        <v>1689.9490927213728</v>
      </c>
      <c r="R110" s="8">
        <v>14497.945867568873</v>
      </c>
      <c r="S110" s="8">
        <v>17662.186967435646</v>
      </c>
      <c r="T110" s="8">
        <v>12827.834849644809</v>
      </c>
      <c r="U110" s="8">
        <v>18372.972123009189</v>
      </c>
      <c r="V110" s="8">
        <v>5888.1601656886432</v>
      </c>
    </row>
    <row r="111" spans="1:22" ht="15.75" x14ac:dyDescent="0.25">
      <c r="A111" s="7">
        <v>1979</v>
      </c>
      <c r="B111" s="8">
        <v>13448.044056335415</v>
      </c>
      <c r="C111" s="8">
        <v>13860.651404871303</v>
      </c>
      <c r="D111" s="8">
        <v>4889.9592842690736</v>
      </c>
      <c r="E111" s="8">
        <v>16170.145282140635</v>
      </c>
      <c r="F111" s="8">
        <v>15313.47717323327</v>
      </c>
      <c r="G111" s="8">
        <v>12331.547277997101</v>
      </c>
      <c r="H111" s="8">
        <v>14634.38252243052</v>
      </c>
      <c r="I111" s="8">
        <v>13993.300725607871</v>
      </c>
      <c r="J111" s="8">
        <v>12719.764560242025</v>
      </c>
      <c r="K111" s="8">
        <v>13163.097132670082</v>
      </c>
      <c r="L111" s="8">
        <v>14647.25379226603</v>
      </c>
      <c r="M111" s="8">
        <v>12284.211025264256</v>
      </c>
      <c r="N111" s="8">
        <v>14411.262152057463</v>
      </c>
      <c r="O111" s="8">
        <v>7733.3061855754913</v>
      </c>
      <c r="P111" s="8">
        <v>9068.087985128177</v>
      </c>
      <c r="Q111" s="8">
        <v>1765.602826478379</v>
      </c>
      <c r="R111" s="8">
        <v>14928.984808295154</v>
      </c>
      <c r="S111" s="8">
        <v>18050.210680791832</v>
      </c>
      <c r="T111" s="8">
        <v>13167.283204097603</v>
      </c>
      <c r="U111" s="8">
        <v>18789.393703761303</v>
      </c>
      <c r="V111" s="8">
        <v>6214.8249828414555</v>
      </c>
    </row>
    <row r="112" spans="1:22" ht="15.75" x14ac:dyDescent="0.25">
      <c r="A112" s="7">
        <v>1980</v>
      </c>
      <c r="B112" s="8">
        <v>13759.179000595144</v>
      </c>
      <c r="C112" s="8">
        <v>14467.441199171306</v>
      </c>
      <c r="D112" s="8">
        <v>5195.0333279141605</v>
      </c>
      <c r="E112" s="8">
        <v>16175.706391578196</v>
      </c>
      <c r="F112" s="8">
        <v>15227.325563577939</v>
      </c>
      <c r="G112" s="8">
        <v>12948.958423779721</v>
      </c>
      <c r="H112" s="8">
        <v>14766.158591907095</v>
      </c>
      <c r="I112" s="8">
        <v>14114.030434326825</v>
      </c>
      <c r="J112" s="8">
        <v>13149.381801964446</v>
      </c>
      <c r="K112" s="8">
        <v>13427.729937687376</v>
      </c>
      <c r="L112" s="8">
        <v>14704.500547621197</v>
      </c>
      <c r="M112" s="8">
        <v>12346.734381653863</v>
      </c>
      <c r="N112" s="8">
        <v>15076.032937750795</v>
      </c>
      <c r="O112" s="8">
        <v>8044.2430812657249</v>
      </c>
      <c r="P112" s="8">
        <v>9202.5097923728863</v>
      </c>
      <c r="Q112" s="8">
        <v>1829.838927681179</v>
      </c>
      <c r="R112" s="8">
        <v>15016.004813477737</v>
      </c>
      <c r="S112" s="8">
        <v>18779.122878756578</v>
      </c>
      <c r="T112" s="8">
        <v>12931.49128103136</v>
      </c>
      <c r="U112" s="8">
        <v>18577.36665413365</v>
      </c>
      <c r="V112" s="8">
        <v>6554.6075085324228</v>
      </c>
    </row>
    <row r="113" spans="1:22" ht="15.75" x14ac:dyDescent="0.25">
      <c r="A113" s="7">
        <v>1981</v>
      </c>
      <c r="B113" s="8">
        <v>13717.923245145268</v>
      </c>
      <c r="C113" s="8">
        <v>14278.754415167878</v>
      </c>
      <c r="D113" s="8">
        <v>4849.569813956442</v>
      </c>
      <c r="E113" s="8">
        <v>16472.449799196787</v>
      </c>
      <c r="F113" s="8">
        <v>15096.146261343198</v>
      </c>
      <c r="G113" s="8">
        <v>13134.056838759625</v>
      </c>
      <c r="H113" s="8">
        <v>14839.906857524504</v>
      </c>
      <c r="I113" s="8">
        <v>14148.598317156628</v>
      </c>
      <c r="J113" s="8">
        <v>13199.701698096875</v>
      </c>
      <c r="K113" s="8">
        <v>13754.451708405097</v>
      </c>
      <c r="L113" s="8">
        <v>14525.079901101</v>
      </c>
      <c r="M113" s="8">
        <v>12883.893955328134</v>
      </c>
      <c r="N113" s="8">
        <v>15169.384798937581</v>
      </c>
      <c r="O113" s="8">
        <v>8114.4526861155127</v>
      </c>
      <c r="P113" s="8">
        <v>9185.7126206596931</v>
      </c>
      <c r="Q113" s="8">
        <v>1913.2262883377359</v>
      </c>
      <c r="R113" s="8">
        <v>14909.014423076924</v>
      </c>
      <c r="S113" s="8">
        <v>18956.182057287817</v>
      </c>
      <c r="T113" s="8">
        <v>12747.426302481243</v>
      </c>
      <c r="U113" s="8">
        <v>18855.55486999598</v>
      </c>
      <c r="V113" s="8">
        <v>6873.2443820224717</v>
      </c>
    </row>
    <row r="114" spans="1:22" ht="15.75" x14ac:dyDescent="0.25">
      <c r="A114" s="7">
        <v>1982</v>
      </c>
      <c r="B114" s="8">
        <v>13961.109300237516</v>
      </c>
      <c r="C114" s="8">
        <v>14474.494138420865</v>
      </c>
      <c r="D114" s="8">
        <v>4762.8266732802176</v>
      </c>
      <c r="E114" s="8">
        <v>15779.405521012304</v>
      </c>
      <c r="F114" s="8">
        <v>15563.29758236433</v>
      </c>
      <c r="G114" s="8">
        <v>13484.753154850088</v>
      </c>
      <c r="H114" s="8">
        <v>15131.64084241521</v>
      </c>
      <c r="I114" s="8">
        <v>14039.640843244217</v>
      </c>
      <c r="J114" s="8">
        <v>13252.402431627372</v>
      </c>
      <c r="K114" s="8">
        <v>14078.37040258014</v>
      </c>
      <c r="L114" s="8">
        <v>14291.493299174495</v>
      </c>
      <c r="M114" s="8">
        <v>12996.269816599315</v>
      </c>
      <c r="N114" s="8">
        <v>15145.301405013772</v>
      </c>
      <c r="O114" s="8">
        <v>8279.6042455868101</v>
      </c>
      <c r="P114" s="8">
        <v>9293.0026372109241</v>
      </c>
      <c r="Q114" s="8">
        <v>1976.6984820871492</v>
      </c>
      <c r="R114" s="8">
        <v>15076.036036036037</v>
      </c>
      <c r="S114" s="8">
        <v>18560.399101687257</v>
      </c>
      <c r="T114" s="8">
        <v>12954.64740105841</v>
      </c>
      <c r="U114" s="8">
        <v>18325.120263083551</v>
      </c>
      <c r="V114" s="8">
        <v>5971.6981132075471</v>
      </c>
    </row>
    <row r="115" spans="1:22" ht="15.75" x14ac:dyDescent="0.25">
      <c r="A115" s="7">
        <v>1983</v>
      </c>
      <c r="B115" s="8">
        <v>14393.949022997273</v>
      </c>
      <c r="C115" s="8">
        <v>14473.919184375862</v>
      </c>
      <c r="D115" s="8">
        <v>4498.143376780843</v>
      </c>
      <c r="E115" s="8">
        <v>16076.413304368663</v>
      </c>
      <c r="F115" s="8">
        <v>15966.221750516252</v>
      </c>
      <c r="G115" s="8">
        <v>13766.872393702606</v>
      </c>
      <c r="H115" s="8">
        <v>15245.114341397128</v>
      </c>
      <c r="I115" s="8">
        <v>14328.856704328653</v>
      </c>
      <c r="J115" s="8">
        <v>13391.4581052782</v>
      </c>
      <c r="K115" s="8">
        <v>14306.872890504885</v>
      </c>
      <c r="L115" s="8">
        <v>14483.253159765085</v>
      </c>
      <c r="M115" s="8">
        <v>13184.468999386127</v>
      </c>
      <c r="N115" s="8">
        <v>15635.782902852028</v>
      </c>
      <c r="O115" s="8">
        <v>8254.6590475943503</v>
      </c>
      <c r="P115" s="8">
        <v>9477.8029196709449</v>
      </c>
      <c r="Q115" s="8">
        <v>2050.4972484336495</v>
      </c>
      <c r="R115" s="8">
        <v>15337.015247928923</v>
      </c>
      <c r="S115" s="8">
        <v>18559.859272461636</v>
      </c>
      <c r="T115" s="8">
        <v>13404.466833690942</v>
      </c>
      <c r="U115" s="8">
        <v>18920.156391092147</v>
      </c>
      <c r="V115" s="8">
        <v>5583.138173302108</v>
      </c>
    </row>
    <row r="116" spans="1:22" ht="15.75" x14ac:dyDescent="0.25">
      <c r="A116" s="7">
        <v>1984</v>
      </c>
      <c r="B116" s="8">
        <v>14439.382314208966</v>
      </c>
      <c r="C116" s="8">
        <v>14832.628129027022</v>
      </c>
      <c r="D116" s="8">
        <v>4643.2267500129919</v>
      </c>
      <c r="E116" s="8">
        <v>16835.824728229152</v>
      </c>
      <c r="F116" s="8">
        <v>16675.929876620306</v>
      </c>
      <c r="G116" s="8">
        <v>14106.716637428746</v>
      </c>
      <c r="H116" s="8">
        <v>15381.929381644917</v>
      </c>
      <c r="I116" s="8">
        <v>14783.183629779824</v>
      </c>
      <c r="J116" s="8">
        <v>13719.270995167764</v>
      </c>
      <c r="K116" s="8">
        <v>14772.586962917898</v>
      </c>
      <c r="L116" s="8">
        <v>14899.699875631257</v>
      </c>
      <c r="M116" s="8">
        <v>13666.464523953911</v>
      </c>
      <c r="N116" s="8">
        <v>16512.699864445018</v>
      </c>
      <c r="O116" s="8">
        <v>8088.8082580884293</v>
      </c>
      <c r="P116" s="8">
        <v>9570.9754285531526</v>
      </c>
      <c r="Q116" s="8">
        <v>2125.0032155765721</v>
      </c>
      <c r="R116" s="8">
        <v>15804.006237255608</v>
      </c>
      <c r="S116" s="8">
        <v>19037.827864258055</v>
      </c>
      <c r="T116" s="8">
        <v>13720.057238973992</v>
      </c>
      <c r="U116" s="8">
        <v>20122.667101821073</v>
      </c>
      <c r="V116" s="8">
        <v>5487.0345744680853</v>
      </c>
    </row>
    <row r="117" spans="1:22" ht="15.75" x14ac:dyDescent="0.25">
      <c r="A117" s="7">
        <v>1985</v>
      </c>
      <c r="B117" s="8">
        <v>14752.421235761483</v>
      </c>
      <c r="C117" s="8">
        <v>14977.37923758901</v>
      </c>
      <c r="D117" s="8">
        <v>4913.9625278420754</v>
      </c>
      <c r="E117" s="8">
        <v>17582.068954883274</v>
      </c>
      <c r="F117" s="8">
        <v>17384.116482595447</v>
      </c>
      <c r="G117" s="8">
        <v>14522.062686169502</v>
      </c>
      <c r="H117" s="8">
        <v>15530.270844397239</v>
      </c>
      <c r="I117" s="8">
        <v>15139.761961741166</v>
      </c>
      <c r="J117" s="8">
        <v>14096.243135282755</v>
      </c>
      <c r="K117" s="8">
        <v>15331.250840808323</v>
      </c>
      <c r="L117" s="8">
        <v>15282.878511225295</v>
      </c>
      <c r="M117" s="8">
        <v>13664.259927797835</v>
      </c>
      <c r="N117" s="8">
        <v>17319.678159731928</v>
      </c>
      <c r="O117" s="8">
        <v>8305.9922450731483</v>
      </c>
      <c r="P117" s="8">
        <v>9721.7705748092503</v>
      </c>
      <c r="Q117" s="8">
        <v>2185.6164802438329</v>
      </c>
      <c r="R117" s="8">
        <v>16048.982035928144</v>
      </c>
      <c r="S117" s="8">
        <v>19586.457173240375</v>
      </c>
      <c r="T117" s="8">
        <v>14164.54610577419</v>
      </c>
      <c r="U117" s="8">
        <v>20717.322960076497</v>
      </c>
      <c r="V117" s="8">
        <v>5559.7609561752988</v>
      </c>
    </row>
    <row r="118" spans="1:22" ht="15.75" x14ac:dyDescent="0.25">
      <c r="A118" s="7">
        <v>1986</v>
      </c>
      <c r="B118" s="8">
        <v>15080.780979255156</v>
      </c>
      <c r="C118" s="8">
        <v>15195.400433997853</v>
      </c>
      <c r="D118" s="8">
        <v>5201.6605323975009</v>
      </c>
      <c r="E118" s="8">
        <v>17862.103969653257</v>
      </c>
      <c r="F118" s="8">
        <v>17993.240548739646</v>
      </c>
      <c r="G118" s="8">
        <v>14819.458956445556</v>
      </c>
      <c r="H118" s="8">
        <v>15833.036579991185</v>
      </c>
      <c r="I118" s="8">
        <v>15469.014161441866</v>
      </c>
      <c r="J118" s="8">
        <v>14495.830027912974</v>
      </c>
      <c r="K118" s="8">
        <v>15679.381063001287</v>
      </c>
      <c r="L118" s="8">
        <v>15617.070555436416</v>
      </c>
      <c r="M118" s="8">
        <v>13879.676743489974</v>
      </c>
      <c r="N118" s="8">
        <v>17882.070235102492</v>
      </c>
      <c r="O118" s="8">
        <v>8641.0062124201759</v>
      </c>
      <c r="P118" s="8">
        <v>9997.9962568548635</v>
      </c>
      <c r="Q118" s="8">
        <v>2262.7543498032028</v>
      </c>
      <c r="R118" s="8">
        <v>16442.054958183991</v>
      </c>
      <c r="S118" s="8">
        <v>19786.339697528107</v>
      </c>
      <c r="T118" s="8">
        <v>14741.815746318507</v>
      </c>
      <c r="U118" s="8">
        <v>21236.085463351239</v>
      </c>
      <c r="V118" s="8">
        <v>6014.8465852853842</v>
      </c>
    </row>
    <row r="119" spans="1:22" ht="15.75" x14ac:dyDescent="0.25">
      <c r="A119" s="7">
        <v>1987</v>
      </c>
      <c r="B119" s="8">
        <v>15312.638253847554</v>
      </c>
      <c r="C119" s="8">
        <v>15540.921156612834</v>
      </c>
      <c r="D119" s="8">
        <v>5269.529529389556</v>
      </c>
      <c r="E119" s="8">
        <v>18348.154593083917</v>
      </c>
      <c r="F119" s="8">
        <v>18023.321131322966</v>
      </c>
      <c r="G119" s="8">
        <v>15382.232073173524</v>
      </c>
      <c r="H119" s="8">
        <v>16157.890119145801</v>
      </c>
      <c r="I119" s="8">
        <v>15701.373182413234</v>
      </c>
      <c r="J119" s="8">
        <v>14945.785984460381</v>
      </c>
      <c r="K119" s="8">
        <v>16251.293857282653</v>
      </c>
      <c r="L119" s="8">
        <v>15737.035465676136</v>
      </c>
      <c r="M119" s="8">
        <v>13891.408114558473</v>
      </c>
      <c r="N119" s="8">
        <v>18164.348236951617</v>
      </c>
      <c r="O119" s="8">
        <v>9185.1079681086449</v>
      </c>
      <c r="P119" s="8">
        <v>10520.051824167167</v>
      </c>
      <c r="Q119" s="8">
        <v>2252.2198129089415</v>
      </c>
      <c r="R119" s="8">
        <v>16904.97737556561</v>
      </c>
      <c r="S119" s="8">
        <v>19791.751567156523</v>
      </c>
      <c r="T119" s="8">
        <v>15393.437392618882</v>
      </c>
      <c r="U119" s="8">
        <v>21787.693674127881</v>
      </c>
      <c r="V119" s="8">
        <v>6453.2633650377174</v>
      </c>
    </row>
    <row r="120" spans="1:22" ht="15.75" x14ac:dyDescent="0.25">
      <c r="A120" s="7">
        <v>1988</v>
      </c>
      <c r="B120" s="8">
        <v>15754.380613887934</v>
      </c>
      <c r="C120" s="8">
        <v>16251.719951436666</v>
      </c>
      <c r="D120" s="8">
        <v>5154.5522475029647</v>
      </c>
      <c r="E120" s="8">
        <v>18993.076728586937</v>
      </c>
      <c r="F120" s="8">
        <v>18224.331496382896</v>
      </c>
      <c r="G120" s="8">
        <v>16087.912727707921</v>
      </c>
      <c r="H120" s="8">
        <v>16789.572963059996</v>
      </c>
      <c r="I120" s="8">
        <v>16160.114781678136</v>
      </c>
      <c r="J120" s="8">
        <v>15522.800805238097</v>
      </c>
      <c r="K120" s="8">
        <v>17184.637844274261</v>
      </c>
      <c r="L120" s="8">
        <v>16043.531010296558</v>
      </c>
      <c r="M120" s="8">
        <v>13815.828622433801</v>
      </c>
      <c r="N120" s="8">
        <v>18059.107969077719</v>
      </c>
      <c r="O120" s="8">
        <v>9867.73899309226</v>
      </c>
      <c r="P120" s="8">
        <v>11045.995659176613</v>
      </c>
      <c r="Q120" s="8">
        <v>2278.8747541202401</v>
      </c>
      <c r="R120" s="8">
        <v>17298.00853485064</v>
      </c>
      <c r="S120" s="8">
        <v>20242.651077428298</v>
      </c>
      <c r="T120" s="8">
        <v>16109.99642527258</v>
      </c>
      <c r="U120" s="8">
        <v>22499.441620233243</v>
      </c>
      <c r="V120" s="8">
        <v>6413.2985658409389</v>
      </c>
    </row>
    <row r="121" spans="1:22" ht="15.75" x14ac:dyDescent="0.25">
      <c r="A121" s="7">
        <v>1989</v>
      </c>
      <c r="B121" s="8">
        <v>16359.894339972896</v>
      </c>
      <c r="C121" s="8">
        <v>16743.919642548975</v>
      </c>
      <c r="D121" s="8">
        <v>5223.6796964865898</v>
      </c>
      <c r="E121" s="8">
        <v>19108.487068697887</v>
      </c>
      <c r="F121" s="8">
        <v>18261.334962659228</v>
      </c>
      <c r="G121" s="8">
        <v>16945.69265407891</v>
      </c>
      <c r="H121" s="8">
        <v>17299.70080074713</v>
      </c>
      <c r="I121" s="8">
        <v>16558.120973976776</v>
      </c>
      <c r="J121" s="8">
        <v>15969.20091461861</v>
      </c>
      <c r="K121" s="8">
        <v>17942.5136567634</v>
      </c>
      <c r="L121" s="8">
        <v>16695.235548313423</v>
      </c>
      <c r="M121" s="8">
        <v>13869.15334517466</v>
      </c>
      <c r="N121" s="8">
        <v>18156.699661229533</v>
      </c>
      <c r="O121" s="8">
        <v>10371.911249525981</v>
      </c>
      <c r="P121" s="8">
        <v>11581.576550095993</v>
      </c>
      <c r="Q121" s="8">
        <v>2306.7509113279066</v>
      </c>
      <c r="R121" s="8">
        <v>17709.996467679266</v>
      </c>
      <c r="S121" s="8">
        <v>20935.284527458756</v>
      </c>
      <c r="T121" s="8">
        <v>16413.722920989137</v>
      </c>
      <c r="U121" s="8">
        <v>23059.278193599523</v>
      </c>
      <c r="V121" s="8">
        <v>6454.015544041451</v>
      </c>
    </row>
    <row r="122" spans="1:22" ht="15.75" x14ac:dyDescent="0.25">
      <c r="A122" s="7">
        <v>1990</v>
      </c>
      <c r="B122" s="8">
        <v>16894.57387608082</v>
      </c>
      <c r="C122" s="8">
        <v>17196.977524021222</v>
      </c>
      <c r="D122" s="8">
        <v>4920.0568895944962</v>
      </c>
      <c r="E122" s="8">
        <v>18872.388505465879</v>
      </c>
      <c r="F122" s="8">
        <v>18452.411750815125</v>
      </c>
      <c r="G122" s="8">
        <v>16866.371960225664</v>
      </c>
      <c r="H122" s="8">
        <v>17647.005226241236</v>
      </c>
      <c r="I122" s="8">
        <v>15928.845099962591</v>
      </c>
      <c r="J122" s="8">
        <v>16313.128662507581</v>
      </c>
      <c r="K122" s="8">
        <v>18789.07131596643</v>
      </c>
      <c r="L122" s="8">
        <v>17262.069182310013</v>
      </c>
      <c r="M122" s="8">
        <v>13687.46338605741</v>
      </c>
      <c r="N122" s="8">
        <v>18466.027629381002</v>
      </c>
      <c r="O122" s="8">
        <v>10826.399980892276</v>
      </c>
      <c r="P122" s="8">
        <v>12054.808890774155</v>
      </c>
      <c r="Q122" s="8">
        <v>2423.7723062606101</v>
      </c>
      <c r="R122" s="8">
        <v>17781.049187989251</v>
      </c>
      <c r="S122" s="8">
        <v>21487.20728616718</v>
      </c>
      <c r="T122" s="8">
        <v>16429.912441808228</v>
      </c>
      <c r="U122" s="8">
        <v>23200.559941388365</v>
      </c>
      <c r="V122" s="8">
        <v>6464.6302250803856</v>
      </c>
    </row>
    <row r="123" spans="1:22" ht="15.75" x14ac:dyDescent="0.25">
      <c r="A123" s="7">
        <v>1991</v>
      </c>
      <c r="B123" s="8">
        <v>17288.512276228801</v>
      </c>
      <c r="C123" s="8">
        <v>17450.635823414563</v>
      </c>
      <c r="D123" s="8">
        <v>4891.1540264610894</v>
      </c>
      <c r="E123" s="8">
        <v>18255.182523769548</v>
      </c>
      <c r="F123" s="8">
        <v>18643.779300210022</v>
      </c>
      <c r="G123" s="8">
        <v>15702.913452073202</v>
      </c>
      <c r="H123" s="8">
        <v>17755.101805057468</v>
      </c>
      <c r="I123" s="8">
        <v>16649.523501724379</v>
      </c>
      <c r="J123" s="8">
        <v>16538.57348133764</v>
      </c>
      <c r="K123" s="8">
        <v>19354.578465298484</v>
      </c>
      <c r="L123" s="8">
        <v>17519.676138949781</v>
      </c>
      <c r="M123" s="8">
        <v>13346.643383766708</v>
      </c>
      <c r="N123" s="8">
        <v>19045.235972039343</v>
      </c>
      <c r="O123" s="8">
        <v>11303.5006911851</v>
      </c>
      <c r="P123" s="8">
        <v>12327.06195601531</v>
      </c>
      <c r="Q123" s="8">
        <v>2507.2602127737223</v>
      </c>
      <c r="R123" s="8">
        <v>17437.971451781363</v>
      </c>
      <c r="S123" s="8">
        <v>21050.587443721717</v>
      </c>
      <c r="T123" s="8">
        <v>16157.216156419012</v>
      </c>
      <c r="U123" s="8">
        <v>22848.529180676011</v>
      </c>
      <c r="V123" s="8">
        <v>6607.1542638134779</v>
      </c>
    </row>
    <row r="124" spans="1:22" ht="15.75" x14ac:dyDescent="0.25">
      <c r="A124" s="7">
        <v>1992</v>
      </c>
      <c r="B124" s="8">
        <v>17480.905529514996</v>
      </c>
      <c r="C124" s="8">
        <v>17645.19386867241</v>
      </c>
      <c r="D124" s="8">
        <v>4799.9705188679245</v>
      </c>
      <c r="E124" s="8">
        <v>18139.035226907145</v>
      </c>
      <c r="F124" s="8">
        <v>18949.427489258374</v>
      </c>
      <c r="G124" s="8">
        <v>15022.908081008856</v>
      </c>
      <c r="H124" s="8">
        <v>17994.268663693751</v>
      </c>
      <c r="I124" s="8">
        <v>16890.560511864001</v>
      </c>
      <c r="J124" s="8">
        <v>16636.982096475338</v>
      </c>
      <c r="K124" s="8">
        <v>19482.498448268896</v>
      </c>
      <c r="L124" s="8">
        <v>17747.286509251149</v>
      </c>
      <c r="M124" s="8">
        <v>13343.14598860086</v>
      </c>
      <c r="N124" s="8">
        <v>19560.717485857571</v>
      </c>
      <c r="O124" s="8">
        <v>11416.670668827068</v>
      </c>
      <c r="P124" s="8">
        <v>12413.917676939862</v>
      </c>
      <c r="Q124" s="8">
        <v>2586.1107239479088</v>
      </c>
      <c r="R124" s="8">
        <v>16997.000461467465</v>
      </c>
      <c r="S124" s="8">
        <v>20830.842195160927</v>
      </c>
      <c r="T124" s="8">
        <v>16132.603086575276</v>
      </c>
      <c r="U124" s="8">
        <v>23298.119448949757</v>
      </c>
      <c r="V124" s="8">
        <v>7046.6222645099897</v>
      </c>
    </row>
    <row r="125" spans="1:22" ht="15.75" x14ac:dyDescent="0.25">
      <c r="A125" s="7">
        <v>1993</v>
      </c>
      <c r="B125" s="8">
        <v>17377.49235016642</v>
      </c>
      <c r="C125" s="8">
        <v>17406.49932286211</v>
      </c>
      <c r="D125" s="8">
        <v>4937.4936913293632</v>
      </c>
      <c r="E125" s="8">
        <v>18302.790632474665</v>
      </c>
      <c r="F125" s="8">
        <v>18870.436974959637</v>
      </c>
      <c r="G125" s="8">
        <v>14766.532904230105</v>
      </c>
      <c r="H125" s="8">
        <v>17722.815815211154</v>
      </c>
      <c r="I125" s="8">
        <v>16644.680242702154</v>
      </c>
      <c r="J125" s="8">
        <v>16436.19890104666</v>
      </c>
      <c r="K125" s="8">
        <v>19477.665653177362</v>
      </c>
      <c r="L125" s="8">
        <v>17764.547809037718</v>
      </c>
      <c r="M125" s="8">
        <v>14030.911555795787</v>
      </c>
      <c r="N125" s="8">
        <v>19974.48054498799</v>
      </c>
      <c r="O125" s="8">
        <v>11138.352029217796</v>
      </c>
      <c r="P125" s="8">
        <v>12261.639422871111</v>
      </c>
      <c r="Q125" s="8">
        <v>2727.4557314003187</v>
      </c>
      <c r="R125" s="8">
        <v>16596.972129831403</v>
      </c>
      <c r="S125" s="8">
        <v>20598.24597499027</v>
      </c>
      <c r="T125" s="8">
        <v>16463.132857746637</v>
      </c>
      <c r="U125" s="8">
        <v>23616.074711866208</v>
      </c>
      <c r="V125" s="8">
        <v>7214.8031496062995</v>
      </c>
    </row>
    <row r="126" spans="1:22" ht="15.75" x14ac:dyDescent="0.25">
      <c r="A126" s="7">
        <v>1994</v>
      </c>
      <c r="B126" s="8">
        <v>17753.351966381346</v>
      </c>
      <c r="C126" s="8">
        <v>17901.660779581147</v>
      </c>
      <c r="D126" s="8">
        <v>5162.0387909351193</v>
      </c>
      <c r="E126" s="8">
        <v>18935.979054378622</v>
      </c>
      <c r="F126" s="8">
        <v>19847.246385420305</v>
      </c>
      <c r="G126" s="8">
        <v>15283.664122807653</v>
      </c>
      <c r="H126" s="8">
        <v>18007.78334291463</v>
      </c>
      <c r="I126" s="8">
        <v>17027.786172939646</v>
      </c>
      <c r="J126" s="8">
        <v>16754.154089030992</v>
      </c>
      <c r="K126" s="8">
        <v>19637.148299110933</v>
      </c>
      <c r="L126" s="8">
        <v>18054.602518936026</v>
      </c>
      <c r="M126" s="8">
        <v>14571.558703507821</v>
      </c>
      <c r="N126" s="8">
        <v>20904.763867746504</v>
      </c>
      <c r="O126" s="8">
        <v>11178.691106002756</v>
      </c>
      <c r="P126" s="8">
        <v>12533.812202205516</v>
      </c>
      <c r="Q126" s="8">
        <v>2840.7516290393055</v>
      </c>
      <c r="R126" s="8">
        <v>17066.051702539575</v>
      </c>
      <c r="S126" s="8">
        <v>20653.124478815193</v>
      </c>
      <c r="T126" s="8">
        <v>17136.987200058611</v>
      </c>
      <c r="U126" s="8">
        <v>24278.634744145471</v>
      </c>
      <c r="V126" s="8">
        <v>7563.6932707355245</v>
      </c>
    </row>
    <row r="127" spans="1:22" ht="15.75" x14ac:dyDescent="0.25">
      <c r="A127" s="7">
        <v>1995</v>
      </c>
      <c r="B127" s="8">
        <v>18047.700195488193</v>
      </c>
      <c r="C127" s="8">
        <v>18269.834713382123</v>
      </c>
      <c r="D127" s="8">
        <v>5295.736927065499</v>
      </c>
      <c r="E127" s="8">
        <v>19226.978741073053</v>
      </c>
      <c r="F127" s="8">
        <v>20350.023828644404</v>
      </c>
      <c r="G127" s="8">
        <v>15752.678133567295</v>
      </c>
      <c r="H127" s="8">
        <v>18349.274261343075</v>
      </c>
      <c r="I127" s="8">
        <v>17298.819108314681</v>
      </c>
      <c r="J127" s="8">
        <v>17215.400921868444</v>
      </c>
      <c r="K127" s="8">
        <v>19979.411246403939</v>
      </c>
      <c r="L127" s="8">
        <v>18509.724982330197</v>
      </c>
      <c r="M127" s="8">
        <v>14940.552053798687</v>
      </c>
      <c r="N127" s="8">
        <v>21703.234496288816</v>
      </c>
      <c r="O127" s="8">
        <v>11613.604280103307</v>
      </c>
      <c r="P127" s="8">
        <v>12860.397895744887</v>
      </c>
      <c r="Q127" s="8">
        <v>2959.8810755338382</v>
      </c>
      <c r="R127" s="8">
        <v>17592.047128129605</v>
      </c>
      <c r="S127" s="8">
        <v>20608.125002628683</v>
      </c>
      <c r="T127" s="8">
        <v>17561.419187255928</v>
      </c>
      <c r="U127" s="8">
        <v>24603.174663290505</v>
      </c>
      <c r="V127" s="8">
        <v>7357.2538055296682</v>
      </c>
    </row>
    <row r="128" spans="1:22" ht="15.75" x14ac:dyDescent="0.25">
      <c r="A128" s="7">
        <v>1996</v>
      </c>
      <c r="B128" s="8">
        <v>18489.559845999043</v>
      </c>
      <c r="C128" s="8">
        <v>18438.55629657775</v>
      </c>
      <c r="D128" s="8">
        <v>5365.9068193586454</v>
      </c>
      <c r="E128" s="8">
        <v>19318.582152748651</v>
      </c>
      <c r="F128" s="8">
        <v>20809.68712767362</v>
      </c>
      <c r="G128" s="8">
        <v>16300.089751979567</v>
      </c>
      <c r="H128" s="8">
        <v>18466.911463408334</v>
      </c>
      <c r="I128" s="8">
        <v>17420.220809056824</v>
      </c>
      <c r="J128" s="8">
        <v>17375.518410457076</v>
      </c>
      <c r="K128" s="8">
        <v>20615.693127615799</v>
      </c>
      <c r="L128" s="8">
        <v>18987.851378941185</v>
      </c>
      <c r="M128" s="8">
        <v>15237.383514094176</v>
      </c>
      <c r="N128" s="8">
        <v>22727.936270201681</v>
      </c>
      <c r="O128" s="8">
        <v>11994.419110733599</v>
      </c>
      <c r="P128" s="8">
        <v>13152.49525516</v>
      </c>
      <c r="Q128" s="8">
        <v>3038.8415597400322</v>
      </c>
      <c r="R128" s="8">
        <v>17824.001809750029</v>
      </c>
      <c r="S128" s="8">
        <v>20646.656923240713</v>
      </c>
      <c r="T128" s="8">
        <v>17996.80011055278</v>
      </c>
      <c r="U128" s="8">
        <v>25230.224231062657</v>
      </c>
      <c r="V128" s="8">
        <v>7670.2652683528686</v>
      </c>
    </row>
    <row r="129" spans="1:22" ht="15.75" x14ac:dyDescent="0.25">
      <c r="A129" s="7">
        <v>1997</v>
      </c>
      <c r="B129" s="8">
        <v>18808.619515935719</v>
      </c>
      <c r="C129" s="8">
        <v>19015.124380236186</v>
      </c>
      <c r="D129" s="8">
        <v>5485.4926796292675</v>
      </c>
      <c r="E129" s="8">
        <v>19952.647049497067</v>
      </c>
      <c r="F129" s="8">
        <v>21387.543114619457</v>
      </c>
      <c r="G129" s="8">
        <v>17261.581599203648</v>
      </c>
      <c r="H129" s="8">
        <v>18824.680075038963</v>
      </c>
      <c r="I129" s="8">
        <v>17708.525215602687</v>
      </c>
      <c r="J129" s="8">
        <v>17692.918340068776</v>
      </c>
      <c r="K129" s="8">
        <v>20929.031406352686</v>
      </c>
      <c r="L129" s="8">
        <v>19619.857555380197</v>
      </c>
      <c r="M129" s="8">
        <v>15289.175455109491</v>
      </c>
      <c r="N129" s="8">
        <v>23774.844560535326</v>
      </c>
      <c r="O129" s="8">
        <v>12426.638748927875</v>
      </c>
      <c r="P129" s="8">
        <v>13643.24990259365</v>
      </c>
      <c r="Q129" s="8">
        <v>3201.0192676030106</v>
      </c>
      <c r="R129" s="8">
        <v>18361.971512548047</v>
      </c>
      <c r="S129" s="8">
        <v>21003.253880545537</v>
      </c>
      <c r="T129" s="8">
        <v>18526.683578830798</v>
      </c>
      <c r="U129" s="8">
        <v>26051.550692973986</v>
      </c>
      <c r="V129" s="8">
        <v>7992.653810835629</v>
      </c>
    </row>
    <row r="130" spans="1:22" ht="15.75" x14ac:dyDescent="0.25">
      <c r="A130" s="7">
        <v>1998</v>
      </c>
      <c r="B130" s="8">
        <v>19462.848985879027</v>
      </c>
      <c r="C130" s="8">
        <v>19338.985987121501</v>
      </c>
      <c r="D130" s="8">
        <v>5414.2090291528675</v>
      </c>
      <c r="E130" s="8">
        <v>20612.562189054726</v>
      </c>
      <c r="F130" s="8">
        <v>21771.086679840919</v>
      </c>
      <c r="G130" s="8">
        <v>18193.182297279782</v>
      </c>
      <c r="H130" s="8">
        <v>19213.165937061207</v>
      </c>
      <c r="I130" s="8">
        <v>18028.880735795392</v>
      </c>
      <c r="J130" s="8">
        <v>17834.21943906548</v>
      </c>
      <c r="K130" s="8">
        <v>20266.725713245025</v>
      </c>
      <c r="L130" s="8">
        <v>20636.324300401691</v>
      </c>
      <c r="M130" s="8">
        <v>15262.752391073325</v>
      </c>
      <c r="N130" s="8">
        <v>24137.560747153326</v>
      </c>
      <c r="O130" s="8">
        <v>12939.092960781347</v>
      </c>
      <c r="P130" s="8">
        <v>14236.246541423914</v>
      </c>
      <c r="Q130" s="8">
        <v>3318.4987481446065</v>
      </c>
      <c r="R130" s="8">
        <v>19072.986103265168</v>
      </c>
      <c r="S130" s="8">
        <v>21594.215867241859</v>
      </c>
      <c r="T130" s="8">
        <v>19023.199743775171</v>
      </c>
      <c r="U130" s="8">
        <v>26848.774125103857</v>
      </c>
      <c r="V130" s="8">
        <v>8304.3478260869579</v>
      </c>
    </row>
    <row r="131" spans="1:22" ht="15.75" x14ac:dyDescent="0.25">
      <c r="A131" s="7">
        <v>1999</v>
      </c>
      <c r="B131" s="8">
        <v>20065.093877607498</v>
      </c>
      <c r="C131" s="8">
        <v>19964.428265704537</v>
      </c>
      <c r="D131" s="8">
        <v>5377.0228585898121</v>
      </c>
      <c r="E131" s="8">
        <v>21563.349664189998</v>
      </c>
      <c r="F131" s="8">
        <v>22254.890572305132</v>
      </c>
      <c r="G131" s="8">
        <v>18855.985065810124</v>
      </c>
      <c r="H131" s="8">
        <v>19753.847165592528</v>
      </c>
      <c r="I131" s="8">
        <v>18380.04362314571</v>
      </c>
      <c r="J131" s="8">
        <v>18160.156354024468</v>
      </c>
      <c r="K131" s="8">
        <v>20197.676256079092</v>
      </c>
      <c r="L131" s="8">
        <v>21460.96300664722</v>
      </c>
      <c r="M131" s="8">
        <v>15975.951374207189</v>
      </c>
      <c r="N131" s="8">
        <v>24470.485016166011</v>
      </c>
      <c r="O131" s="8">
        <v>13355.626909087587</v>
      </c>
      <c r="P131" s="8">
        <v>14871.801584766681</v>
      </c>
      <c r="Q131" s="8">
        <v>3427.8472646173814</v>
      </c>
      <c r="R131" s="8">
        <v>19917.024158952358</v>
      </c>
      <c r="S131" s="8">
        <v>21796.925648112647</v>
      </c>
      <c r="T131" s="8">
        <v>19516.431193260891</v>
      </c>
      <c r="U131" s="8">
        <v>27734.749851852728</v>
      </c>
      <c r="V131" s="8">
        <v>8025.392986698911</v>
      </c>
    </row>
    <row r="132" spans="1:22" ht="15.75" x14ac:dyDescent="0.25">
      <c r="A132" s="7">
        <v>2000</v>
      </c>
      <c r="B132" s="8">
        <v>20691.415560874324</v>
      </c>
      <c r="C132" s="8">
        <v>20656.458570457318</v>
      </c>
      <c r="D132" s="8">
        <v>5532.2368421052633</v>
      </c>
      <c r="E132" s="8">
        <v>22488.167202572349</v>
      </c>
      <c r="F132" s="8">
        <v>22975.162513096224</v>
      </c>
      <c r="G132" s="8">
        <v>19770.363125762415</v>
      </c>
      <c r="H132" s="8">
        <v>20421.692264913228</v>
      </c>
      <c r="I132" s="8">
        <v>18943.516375383148</v>
      </c>
      <c r="J132" s="8">
        <v>18773.569765709541</v>
      </c>
      <c r="K132" s="8">
        <v>20737.60544153272</v>
      </c>
      <c r="L132" s="8">
        <v>22161.444413649031</v>
      </c>
      <c r="M132" s="8">
        <v>16245.660178853235</v>
      </c>
      <c r="N132" s="8">
        <v>25101.949959932335</v>
      </c>
      <c r="O132" s="8">
        <v>13813.425581512129</v>
      </c>
      <c r="P132" s="8">
        <v>15621.719678146395</v>
      </c>
      <c r="Q132" s="8">
        <v>3597.0949732534759</v>
      </c>
      <c r="R132" s="8">
        <v>20709.986474301171</v>
      </c>
      <c r="S132" s="8">
        <v>22474.85867465171</v>
      </c>
      <c r="T132" s="8">
        <v>20352.869104822737</v>
      </c>
      <c r="U132" s="8">
        <v>28467.061008371198</v>
      </c>
      <c r="V132" s="8">
        <v>7873.4975961538457</v>
      </c>
    </row>
    <row r="133" spans="1:22" ht="15.75" x14ac:dyDescent="0.25">
      <c r="A133" s="7">
        <v>2001</v>
      </c>
      <c r="B133" s="8">
        <v>20812.893752713153</v>
      </c>
      <c r="C133" s="8">
        <v>20761.23827803024</v>
      </c>
      <c r="D133" s="8">
        <v>5524.6659585173584</v>
      </c>
      <c r="E133" s="8">
        <v>22598.527583899035</v>
      </c>
      <c r="F133" s="8">
        <v>23059.374968492255</v>
      </c>
      <c r="G133" s="8">
        <v>20245.896528566154</v>
      </c>
      <c r="H133" s="8">
        <v>20683.761934969662</v>
      </c>
      <c r="I133" s="8">
        <v>19156.689896255069</v>
      </c>
      <c r="J133" s="8">
        <v>19068.708604405805</v>
      </c>
      <c r="K133" s="8">
        <v>20736.122924739313</v>
      </c>
      <c r="L133" s="8">
        <v>22433.415566590054</v>
      </c>
      <c r="M133" s="8">
        <v>16675.351745700886</v>
      </c>
      <c r="N133" s="8">
        <v>25468.003043057943</v>
      </c>
      <c r="O133" s="8">
        <v>14021.32119633537</v>
      </c>
      <c r="P133" s="8">
        <v>16163.327737518781</v>
      </c>
      <c r="Q133" s="8">
        <v>3503.5941602121366</v>
      </c>
      <c r="R133" s="8">
        <v>20890.044742729304</v>
      </c>
      <c r="S133" s="8">
        <v>22594.124633081927</v>
      </c>
      <c r="T133" s="8">
        <v>20589.973655650279</v>
      </c>
      <c r="U133" s="8">
        <v>28405.464787743713</v>
      </c>
      <c r="V133" s="8">
        <v>7561.5292712066903</v>
      </c>
    </row>
    <row r="134" spans="1:22" ht="15.75" x14ac:dyDescent="0.25">
      <c r="A134" s="7">
        <v>2002</v>
      </c>
      <c r="B134" s="8">
        <v>20955.874050969083</v>
      </c>
      <c r="C134" s="8">
        <v>21032.935510867468</v>
      </c>
      <c r="D134" s="8">
        <v>5552.3432073994863</v>
      </c>
      <c r="E134" s="8">
        <v>23156.410985746341</v>
      </c>
      <c r="F134" s="8">
        <v>23082.620718988044</v>
      </c>
      <c r="G134" s="8">
        <v>20521.702224843684</v>
      </c>
      <c r="H134" s="8">
        <v>20777.515405392292</v>
      </c>
      <c r="I134" s="8">
        <v>19140.378346158221</v>
      </c>
      <c r="J134" s="8">
        <v>19107.204224406651</v>
      </c>
      <c r="K134" s="8">
        <v>20755.27373080582</v>
      </c>
      <c r="L134" s="8">
        <v>22300.861573309401</v>
      </c>
      <c r="M134" s="8">
        <v>17170.343766033864</v>
      </c>
      <c r="N134" s="8">
        <v>25733.360878438994</v>
      </c>
      <c r="O134" s="8">
        <v>14067.842727916697</v>
      </c>
      <c r="P134" s="8">
        <v>16572.834026818295</v>
      </c>
      <c r="Q134" s="8">
        <v>3601.4737117933123</v>
      </c>
      <c r="R134" s="8">
        <v>21360.955997319634</v>
      </c>
      <c r="S134" s="8">
        <v>22536.332019652375</v>
      </c>
      <c r="T134" s="8">
        <v>20945.65316503348</v>
      </c>
      <c r="U134" s="8">
        <v>28603.924855913545</v>
      </c>
      <c r="V134" s="8">
        <v>6689.7268408551063</v>
      </c>
    </row>
    <row r="135" spans="1:22" ht="15.75" x14ac:dyDescent="0.25">
      <c r="A135" s="7">
        <v>2003</v>
      </c>
      <c r="B135" s="8">
        <v>21165.047259127423</v>
      </c>
      <c r="C135" s="8">
        <v>21205.859280924735</v>
      </c>
      <c r="D135" s="8">
        <v>5535.850184822787</v>
      </c>
      <c r="E135" s="8">
        <v>23409.043870927278</v>
      </c>
      <c r="F135" s="8">
        <v>23088.582457475135</v>
      </c>
      <c r="G135" s="8">
        <v>20845.802738257305</v>
      </c>
      <c r="H135" s="8">
        <v>20891.074616782746</v>
      </c>
      <c r="I135" s="8">
        <v>19087.572240241872</v>
      </c>
      <c r="J135" s="8">
        <v>19090.076575105504</v>
      </c>
      <c r="K135" s="8">
        <v>21091.914131817397</v>
      </c>
      <c r="L135" s="8">
        <v>22237.162373403899</v>
      </c>
      <c r="M135" s="8">
        <v>17485.60606060606</v>
      </c>
      <c r="N135" s="8">
        <v>25879.3958818106</v>
      </c>
      <c r="O135" s="8">
        <v>13896.624556116893</v>
      </c>
      <c r="P135" s="8">
        <v>17059.177824292179</v>
      </c>
      <c r="Q135" s="8">
        <v>3770.9345935797483</v>
      </c>
      <c r="R135" s="8">
        <v>21732.998885172798</v>
      </c>
      <c r="S135" s="8">
        <v>22341.775509396935</v>
      </c>
      <c r="T135" s="8">
        <v>21460.896151683923</v>
      </c>
      <c r="U135" s="8">
        <v>29074.234618222948</v>
      </c>
      <c r="V135" s="8">
        <v>6798.641865958075</v>
      </c>
    </row>
    <row r="136" spans="1:22" ht="15.75" x14ac:dyDescent="0.25">
      <c r="A136" s="7">
        <v>2004</v>
      </c>
      <c r="B136" s="8">
        <v>21626.929322223696</v>
      </c>
      <c r="C136" s="8">
        <v>21801.602508475811</v>
      </c>
      <c r="D136" s="8">
        <v>5772.0455361978456</v>
      </c>
      <c r="E136" s="8">
        <v>23942.89715263731</v>
      </c>
      <c r="F136" s="8">
        <v>23492.664118911027</v>
      </c>
      <c r="G136" s="8">
        <v>21574.406195632499</v>
      </c>
      <c r="H136" s="8">
        <v>21262.257332011388</v>
      </c>
      <c r="I136" s="8">
        <v>19283.670487293424</v>
      </c>
      <c r="J136" s="8">
        <v>19299.908606087032</v>
      </c>
      <c r="K136" s="8">
        <v>21576.270787574522</v>
      </c>
      <c r="L136" s="8">
        <v>22602.004056942802</v>
      </c>
      <c r="M136" s="8">
        <v>17911.676646706586</v>
      </c>
      <c r="N136" s="8">
        <v>26765.197089993355</v>
      </c>
      <c r="O136" s="8">
        <v>14047.792005906418</v>
      </c>
      <c r="P136" s="8">
        <v>17588.189702384116</v>
      </c>
      <c r="Q136" s="8">
        <v>3934.1451796895544</v>
      </c>
      <c r="R136" s="8">
        <v>22292.009793011348</v>
      </c>
      <c r="S136" s="8">
        <v>22786.744146687895</v>
      </c>
      <c r="T136" s="8">
        <v>22095.658806596399</v>
      </c>
      <c r="U136" s="8">
        <v>29845.238827073219</v>
      </c>
      <c r="V136" s="8">
        <v>7558.4263065179093</v>
      </c>
    </row>
    <row r="137" spans="1:22" ht="15.75" x14ac:dyDescent="0.25">
      <c r="A137" s="7">
        <v>2005</v>
      </c>
      <c r="B137" s="8">
        <v>22140.725899120687</v>
      </c>
      <c r="C137" s="8">
        <v>22246.561977417288</v>
      </c>
      <c r="D137" s="8">
        <v>5877.8261628737573</v>
      </c>
      <c r="E137" s="8">
        <v>24470.048786512692</v>
      </c>
      <c r="F137" s="8">
        <v>23972.564284050964</v>
      </c>
      <c r="G137" s="8">
        <v>22140.573208240847</v>
      </c>
      <c r="H137" s="8">
        <v>21536.066251271615</v>
      </c>
      <c r="I137" s="8">
        <v>19417.057021603057</v>
      </c>
      <c r="J137" s="8">
        <v>19419.777965807738</v>
      </c>
      <c r="K137" s="8">
        <v>21976.391164916848</v>
      </c>
      <c r="L137" s="8">
        <v>22928.551354987791</v>
      </c>
      <c r="M137" s="8">
        <v>18231.225296442688</v>
      </c>
      <c r="N137" s="8">
        <v>27377.286638634403</v>
      </c>
      <c r="O137" s="8">
        <v>14117.831442337139</v>
      </c>
      <c r="P137" s="8">
        <v>18193.961339328751</v>
      </c>
      <c r="Q137" s="8">
        <v>4137.0907046456286</v>
      </c>
      <c r="R137" s="8">
        <v>22986.669628971336</v>
      </c>
      <c r="S137" s="8">
        <v>23258.96570739595</v>
      </c>
      <c r="T137" s="8">
        <v>22517.971398340047</v>
      </c>
      <c r="U137" s="8">
        <v>30481.353799102111</v>
      </c>
      <c r="V137" s="8">
        <v>8012.554744525547</v>
      </c>
    </row>
    <row r="138" spans="1:22" ht="15.75" x14ac:dyDescent="0.25">
      <c r="A138" s="7">
        <v>2006</v>
      </c>
      <c r="B138" s="8">
        <v>22892.682426692449</v>
      </c>
      <c r="C138" s="8">
        <v>22881.632809577201</v>
      </c>
      <c r="D138" s="8">
        <v>6033.8906037008601</v>
      </c>
      <c r="E138" s="8">
        <v>24970.726031172489</v>
      </c>
      <c r="F138" s="8">
        <v>24680.492879670925</v>
      </c>
      <c r="G138" s="8">
        <v>23190.283543208167</v>
      </c>
      <c r="H138" s="8">
        <v>21920.180746686048</v>
      </c>
      <c r="I138" s="8">
        <v>20040.620318052523</v>
      </c>
      <c r="J138" s="8">
        <v>19797.77274411562</v>
      </c>
      <c r="K138" s="8">
        <v>22419.785907540292</v>
      </c>
      <c r="L138" s="8">
        <v>23587.418967913152</v>
      </c>
      <c r="M138" s="8">
        <v>18404.889975550122</v>
      </c>
      <c r="N138" s="8">
        <v>27898.942053691102</v>
      </c>
      <c r="O138" s="8">
        <v>14261.913449815998</v>
      </c>
      <c r="P138" s="8">
        <v>18895.316239912023</v>
      </c>
      <c r="Q138" s="8">
        <v>4409.7065286245752</v>
      </c>
      <c r="R138" s="8">
        <v>23912.276810469113</v>
      </c>
      <c r="S138" s="8">
        <v>23985.590516875876</v>
      </c>
      <c r="T138" s="8">
        <v>23106.872983359463</v>
      </c>
      <c r="U138" s="8">
        <v>31004.463178775106</v>
      </c>
      <c r="V138" s="8">
        <v>8528.6087714202731</v>
      </c>
    </row>
    <row r="139" spans="1:22" ht="15.75" x14ac:dyDescent="0.25">
      <c r="A139" s="7">
        <v>2007</v>
      </c>
      <c r="B139" s="8">
        <v>23674.041130112837</v>
      </c>
      <c r="C139" s="8">
        <v>23446.949671802748</v>
      </c>
      <c r="D139" s="8">
        <v>6195.9581062196075</v>
      </c>
      <c r="E139" s="8">
        <v>25809.176804792194</v>
      </c>
      <c r="F139" s="8">
        <v>24995.245166528901</v>
      </c>
      <c r="G139" s="8">
        <v>24131.519568728214</v>
      </c>
      <c r="H139" s="8">
        <v>22287.365346565748</v>
      </c>
      <c r="I139" s="8">
        <v>20546.936107422782</v>
      </c>
      <c r="J139" s="8">
        <v>20109.623190297032</v>
      </c>
      <c r="K139" s="8">
        <v>22950.201282242433</v>
      </c>
      <c r="L139" s="8">
        <v>24319.860707627409</v>
      </c>
      <c r="M139" s="8">
        <v>18800.82284607938</v>
      </c>
      <c r="N139" s="8">
        <v>28013.196408067026</v>
      </c>
      <c r="O139" s="8">
        <v>14482.230112349755</v>
      </c>
      <c r="P139" s="8">
        <v>19551.158666156418</v>
      </c>
      <c r="Q139" s="8">
        <v>4662.6938378782888</v>
      </c>
      <c r="R139" s="8">
        <v>24495.9583656295</v>
      </c>
      <c r="S139" s="8">
        <v>24748.033035499542</v>
      </c>
      <c r="T139" s="8">
        <v>23642.480141663258</v>
      </c>
      <c r="U139" s="8">
        <v>31357.365241635685</v>
      </c>
      <c r="V139" s="8">
        <v>9129.1534238659351</v>
      </c>
    </row>
    <row r="140" spans="1:22" ht="15.75" x14ac:dyDescent="0.25">
      <c r="A140" s="7">
        <v>2008</v>
      </c>
      <c r="B140" s="8">
        <v>24130.547034543644</v>
      </c>
      <c r="C140" s="8">
        <v>23654.763464380027</v>
      </c>
      <c r="D140" s="8">
        <v>6428.9483200317809</v>
      </c>
      <c r="E140" s="8">
        <v>25267.184536175595</v>
      </c>
      <c r="F140" s="8">
        <v>24620.568805389077</v>
      </c>
      <c r="G140" s="8">
        <v>24343.586318430109</v>
      </c>
      <c r="H140" s="8">
        <v>22223.016641168939</v>
      </c>
      <c r="I140" s="8">
        <v>20801.437443847575</v>
      </c>
      <c r="J140" s="8">
        <v>19909.35779682083</v>
      </c>
      <c r="K140" s="8">
        <v>22815.512852743384</v>
      </c>
      <c r="L140" s="8">
        <v>24694.939650579119</v>
      </c>
      <c r="M140" s="8">
        <v>18653.247064462019</v>
      </c>
      <c r="N140" s="8">
        <v>28499.56410404919</v>
      </c>
      <c r="O140" s="8">
        <v>14436.011917305663</v>
      </c>
      <c r="P140" s="8">
        <v>19706.255587191354</v>
      </c>
      <c r="Q140" s="8">
        <v>4895.0783843434729</v>
      </c>
      <c r="R140" s="8">
        <v>24409.176340519625</v>
      </c>
      <c r="S140" s="8">
        <v>25104.200740748558</v>
      </c>
      <c r="T140" s="8">
        <v>23742.469961560724</v>
      </c>
      <c r="U140" s="8">
        <v>31177.721971679133</v>
      </c>
      <c r="V140" s="8">
        <v>9893.0419781483615</v>
      </c>
    </row>
    <row r="141" spans="1:22" ht="15.75" x14ac:dyDescent="0.25">
      <c r="A141" s="7">
        <v>2009</v>
      </c>
      <c r="B141" s="8">
        <v>24642.677914376691</v>
      </c>
      <c r="C141" s="8">
        <v>24110.949974907431</v>
      </c>
      <c r="D141" s="8">
        <v>5114.1662173290315</v>
      </c>
      <c r="E141" s="8">
        <v>26882.187535588775</v>
      </c>
      <c r="F141" s="8">
        <v>22121.723787390983</v>
      </c>
      <c r="G141" s="8">
        <v>25148.477222712892</v>
      </c>
      <c r="H141" s="8">
        <v>22650.328107936111</v>
      </c>
      <c r="I141" s="8">
        <v>21133.509131295694</v>
      </c>
      <c r="J141" s="8">
        <v>19649.243191935708</v>
      </c>
      <c r="K141" s="8">
        <v>22485.156476968536</v>
      </c>
      <c r="L141" s="8">
        <v>25686.237203454984</v>
      </c>
      <c r="M141" s="8">
        <v>19192.221143996561</v>
      </c>
      <c r="N141" s="8">
        <v>29122.473194590042</v>
      </c>
      <c r="O141" s="8">
        <v>15136.505136952306</v>
      </c>
      <c r="P141" s="8">
        <v>20030.56497671099</v>
      </c>
      <c r="Q141" s="8">
        <v>4874.3855470626459</v>
      </c>
      <c r="R141" s="8">
        <v>24669.739970379051</v>
      </c>
      <c r="S141" s="8">
        <v>25977.025701193117</v>
      </c>
      <c r="T141" s="8">
        <v>24403.505383948963</v>
      </c>
      <c r="U141" s="8">
        <v>32167.823301002478</v>
      </c>
      <c r="V141" s="8">
        <v>10075.676787613786</v>
      </c>
    </row>
    <row r="142" spans="1:22" ht="15.75" x14ac:dyDescent="0.25">
      <c r="A142" s="7">
        <v>2010</v>
      </c>
      <c r="B142" s="8">
        <v>25387.772761930719</v>
      </c>
      <c r="C142" s="8">
        <v>24893.867391521693</v>
      </c>
      <c r="D142" s="8">
        <v>5432.5769324815474</v>
      </c>
      <c r="E142" s="8">
        <v>27663.179204445667</v>
      </c>
      <c r="F142" s="8">
        <v>22798.964278165826</v>
      </c>
      <c r="G142" s="8">
        <v>26516.559271456244</v>
      </c>
      <c r="H142" s="8">
        <v>22958.563741375641</v>
      </c>
      <c r="I142" s="8">
        <v>22492.674562888235</v>
      </c>
      <c r="J142" s="8">
        <v>19882.398312127596</v>
      </c>
      <c r="K142" s="8">
        <v>24286.761169777761</v>
      </c>
      <c r="L142" s="8">
        <v>26196.599877905588</v>
      </c>
      <c r="M142" s="8">
        <v>19617.464728176004</v>
      </c>
      <c r="N142" s="8">
        <v>29195.851280196657</v>
      </c>
      <c r="O142" s="8">
        <v>15340.712304136745</v>
      </c>
      <c r="P142" s="8">
        <v>19878.349664582256</v>
      </c>
      <c r="Q142" s="8">
        <v>4977.049419489791</v>
      </c>
      <c r="R142" s="8">
        <v>26896.065650785473</v>
      </c>
      <c r="S142" s="8">
        <v>26777.537398121291</v>
      </c>
      <c r="T142" s="8">
        <v>24654.468302509238</v>
      </c>
      <c r="U142" s="8">
        <v>32887.913414854615</v>
      </c>
      <c r="V142" s="8">
        <v>10616.687202009216</v>
      </c>
    </row>
    <row r="143" spans="1:22" ht="15.75" x14ac:dyDescent="0.25">
      <c r="A143" s="7">
        <v>2011</v>
      </c>
      <c r="B143" s="8">
        <v>26550.983106428415</v>
      </c>
      <c r="C143" s="8">
        <v>25642.570885385532</v>
      </c>
      <c r="D143" s="8">
        <v>5517.1974729878166</v>
      </c>
      <c r="E143" s="8">
        <v>28230.423381949986</v>
      </c>
      <c r="F143" s="8">
        <v>23143.459970655756</v>
      </c>
      <c r="G143" s="8">
        <v>27647.437444142597</v>
      </c>
      <c r="H143" s="8">
        <v>23347.226881102979</v>
      </c>
      <c r="I143" s="8">
        <v>23667.784698266725</v>
      </c>
      <c r="J143" s="8">
        <v>19911.271104906707</v>
      </c>
      <c r="K143" s="8">
        <v>24058.283239731456</v>
      </c>
      <c r="L143" s="8">
        <v>26441.753672393665</v>
      </c>
      <c r="M143" s="8">
        <v>19760.156806478681</v>
      </c>
      <c r="N143" s="8">
        <v>30005.997151295742</v>
      </c>
      <c r="O143" s="8">
        <v>14997.189364541438</v>
      </c>
      <c r="P143" s="8">
        <v>19922.029157740326</v>
      </c>
      <c r="Q143" s="8">
        <v>5089.8574899586993</v>
      </c>
      <c r="R143" s="8">
        <v>28556.581707168392</v>
      </c>
      <c r="S143" s="8">
        <v>27331.820305071116</v>
      </c>
      <c r="T143" s="8">
        <v>24689.009462806134</v>
      </c>
      <c r="U143" s="8">
        <v>33374.854939814642</v>
      </c>
      <c r="V143" s="8">
        <v>10990.511960689459</v>
      </c>
    </row>
    <row r="144" spans="1:22" ht="15.75" x14ac:dyDescent="0.25">
      <c r="A144" s="7">
        <v>2012</v>
      </c>
      <c r="B144" s="8">
        <v>26779.163128796674</v>
      </c>
      <c r="C144" s="8">
        <v>25663.672806238967</v>
      </c>
      <c r="D144" s="8">
        <v>5537.6963115132467</v>
      </c>
      <c r="E144" s="8">
        <v>28670.788903169559</v>
      </c>
      <c r="F144" s="8">
        <v>23277.347395951896</v>
      </c>
      <c r="G144" s="8">
        <v>27618.735833101891</v>
      </c>
      <c r="H144" s="8">
        <v>23172.1180551902</v>
      </c>
      <c r="I144" s="8">
        <v>23996.030470626669</v>
      </c>
      <c r="J144" s="8">
        <v>19139.160453378572</v>
      </c>
      <c r="K144" s="8">
        <v>24822.819492095252</v>
      </c>
      <c r="L144" s="8">
        <v>25966.643612309905</v>
      </c>
      <c r="M144" s="8">
        <v>20206.978443126925</v>
      </c>
      <c r="N144" s="8">
        <v>32041.691769808574</v>
      </c>
      <c r="O144" s="8">
        <v>14358.358494516062</v>
      </c>
      <c r="P144" s="8">
        <v>19319.072614068678</v>
      </c>
      <c r="Q144" s="8">
        <v>5199.9016394224072</v>
      </c>
      <c r="R144" s="8">
        <v>29002.288117749544</v>
      </c>
      <c r="S144" s="8">
        <v>27637.824316637278</v>
      </c>
      <c r="T144" s="8">
        <v>24522.492447606783</v>
      </c>
      <c r="U144" s="8">
        <v>34282.654920166227</v>
      </c>
      <c r="V144" s="8">
        <v>11267.323857955334</v>
      </c>
    </row>
    <row r="145" spans="1:22" ht="15.75" x14ac:dyDescent="0.25">
      <c r="A145" s="7">
        <v>2013</v>
      </c>
      <c r="B145" s="8">
        <v>27001.736285242354</v>
      </c>
      <c r="C145" s="8">
        <v>25531.529692071927</v>
      </c>
      <c r="D145" s="8">
        <v>5625.747786141178</v>
      </c>
      <c r="E145" s="8">
        <v>29004.920266371788</v>
      </c>
      <c r="F145" s="8">
        <v>23069.954888777509</v>
      </c>
      <c r="G145" s="8">
        <v>27321.314757448832</v>
      </c>
      <c r="H145" s="8">
        <v>22835.808139584151</v>
      </c>
      <c r="I145" s="8">
        <v>24218.992254268211</v>
      </c>
      <c r="J145" s="8">
        <v>18507.524510706513</v>
      </c>
      <c r="K145" s="8">
        <v>25408.941946428116</v>
      </c>
      <c r="L145" s="8">
        <v>24539.200224606466</v>
      </c>
      <c r="M145" s="8">
        <v>20700.518559377175</v>
      </c>
      <c r="N145" s="8">
        <v>32361.957079044922</v>
      </c>
      <c r="O145" s="8">
        <v>14012.174128784758</v>
      </c>
      <c r="P145" s="8">
        <v>18695.805641707608</v>
      </c>
      <c r="Q145" s="8">
        <v>5300.4199134605888</v>
      </c>
      <c r="R145" s="8">
        <v>29596.740350485794</v>
      </c>
      <c r="S145" s="8">
        <v>28010.974027271979</v>
      </c>
      <c r="T145" s="8">
        <v>24724.103501833204</v>
      </c>
      <c r="U145" s="8">
        <v>34633.306132049249</v>
      </c>
      <c r="V145" s="8">
        <v>11521.628700591982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42"/>
  <sheetViews>
    <sheetView workbookViewId="0">
      <selection activeCell="B1" sqref="B1:V1"/>
    </sheetView>
  </sheetViews>
  <sheetFormatPr defaultRowHeight="12.75" x14ac:dyDescent="0.2"/>
  <sheetData>
    <row r="1" spans="1:22" ht="31.5" x14ac:dyDescent="0.25">
      <c r="A1" s="39" t="s">
        <v>33</v>
      </c>
      <c r="B1" s="2" t="s">
        <v>4</v>
      </c>
      <c r="C1" s="2" t="s">
        <v>5</v>
      </c>
      <c r="D1" s="2" t="s">
        <v>15</v>
      </c>
      <c r="E1" s="2" t="s">
        <v>2</v>
      </c>
      <c r="F1" s="2" t="s">
        <v>6</v>
      </c>
      <c r="G1" s="2" t="s">
        <v>7</v>
      </c>
      <c r="H1" s="2" t="s">
        <v>0</v>
      </c>
      <c r="I1" s="2" t="s">
        <v>8</v>
      </c>
      <c r="J1" s="2" t="s">
        <v>9</v>
      </c>
      <c r="K1" s="2" t="s">
        <v>16</v>
      </c>
      <c r="L1" s="2" t="s">
        <v>10</v>
      </c>
      <c r="M1" s="2" t="s">
        <v>20</v>
      </c>
      <c r="N1" s="2" t="s">
        <v>11</v>
      </c>
      <c r="O1" s="2" t="s">
        <v>1</v>
      </c>
      <c r="P1" s="2" t="s">
        <v>14</v>
      </c>
      <c r="Q1" s="2" t="s">
        <v>3</v>
      </c>
      <c r="R1" s="2" t="s">
        <v>12</v>
      </c>
      <c r="S1" s="2" t="s">
        <v>13</v>
      </c>
      <c r="T1" s="2" t="s">
        <v>18</v>
      </c>
      <c r="U1" s="2" t="s">
        <v>19</v>
      </c>
      <c r="V1" s="2" t="s">
        <v>32</v>
      </c>
    </row>
    <row r="2" spans="1:22" ht="15.75" x14ac:dyDescent="0.25">
      <c r="A2" s="31">
        <v>1870</v>
      </c>
      <c r="B2">
        <v>2010</v>
      </c>
      <c r="C2">
        <v>6754</v>
      </c>
      <c r="E2">
        <v>334</v>
      </c>
      <c r="F2">
        <v>312</v>
      </c>
      <c r="G2">
        <v>25</v>
      </c>
      <c r="H2">
        <v>13793</v>
      </c>
      <c r="I2">
        <v>20917</v>
      </c>
      <c r="J2">
        <v>731</v>
      </c>
      <c r="L2">
        <v>1349</v>
      </c>
      <c r="N2">
        <v>172</v>
      </c>
      <c r="O2">
        <v>6</v>
      </c>
      <c r="P2">
        <v>839</v>
      </c>
      <c r="R2">
        <v>366</v>
      </c>
      <c r="S2">
        <v>245</v>
      </c>
      <c r="T2">
        <v>62362</v>
      </c>
      <c r="U2">
        <v>26916</v>
      </c>
    </row>
    <row r="3" spans="1:22" ht="15.75" x14ac:dyDescent="0.25">
      <c r="A3" s="7">
        <v>1871</v>
      </c>
      <c r="B3">
        <v>2768</v>
      </c>
      <c r="C3">
        <v>6473</v>
      </c>
      <c r="E3">
        <v>486</v>
      </c>
      <c r="F3">
        <v>324</v>
      </c>
      <c r="G3">
        <v>31</v>
      </c>
      <c r="H3">
        <v>13718</v>
      </c>
      <c r="I3">
        <v>23294</v>
      </c>
      <c r="J3">
        <v>630</v>
      </c>
      <c r="L3">
        <v>1359</v>
      </c>
      <c r="N3">
        <v>167</v>
      </c>
      <c r="O3">
        <v>10</v>
      </c>
      <c r="P3">
        <v>802</v>
      </c>
      <c r="R3">
        <v>391</v>
      </c>
      <c r="S3">
        <v>303</v>
      </c>
      <c r="T3">
        <v>66058</v>
      </c>
      <c r="U3">
        <v>28117</v>
      </c>
    </row>
    <row r="4" spans="1:22" ht="15.75" x14ac:dyDescent="0.25">
      <c r="A4" s="7">
        <v>1872</v>
      </c>
      <c r="B4">
        <v>2731</v>
      </c>
      <c r="C4">
        <v>6984</v>
      </c>
      <c r="E4">
        <v>504</v>
      </c>
      <c r="F4">
        <v>311</v>
      </c>
      <c r="G4">
        <v>25</v>
      </c>
      <c r="H4">
        <v>16628</v>
      </c>
      <c r="I4">
        <v>25139</v>
      </c>
      <c r="J4">
        <v>812</v>
      </c>
      <c r="L4">
        <v>1455</v>
      </c>
      <c r="N4">
        <v>179</v>
      </c>
      <c r="O4">
        <v>142</v>
      </c>
      <c r="P4">
        <v>890</v>
      </c>
      <c r="R4">
        <v>467</v>
      </c>
      <c r="S4">
        <v>348</v>
      </c>
      <c r="T4">
        <v>69593</v>
      </c>
      <c r="U4">
        <v>34472</v>
      </c>
    </row>
    <row r="5" spans="1:22" ht="15.75" x14ac:dyDescent="0.25">
      <c r="A5" s="7">
        <v>1873</v>
      </c>
      <c r="B5">
        <v>2928</v>
      </c>
      <c r="C5">
        <v>7671</v>
      </c>
      <c r="E5">
        <v>439</v>
      </c>
      <c r="F5">
        <v>314</v>
      </c>
      <c r="G5">
        <v>24</v>
      </c>
      <c r="H5">
        <v>17972</v>
      </c>
      <c r="I5">
        <v>26847</v>
      </c>
      <c r="J5">
        <v>756</v>
      </c>
      <c r="L5">
        <v>1403</v>
      </c>
      <c r="N5">
        <v>180</v>
      </c>
      <c r="O5">
        <v>198</v>
      </c>
      <c r="P5">
        <v>856</v>
      </c>
      <c r="R5">
        <v>474</v>
      </c>
      <c r="S5">
        <v>338</v>
      </c>
      <c r="T5">
        <v>72232</v>
      </c>
      <c r="U5">
        <v>38075</v>
      </c>
    </row>
    <row r="6" spans="1:22" ht="15.75" x14ac:dyDescent="0.25">
      <c r="A6" s="7">
        <v>1874</v>
      </c>
      <c r="B6">
        <v>2498</v>
      </c>
      <c r="C6">
        <v>7073</v>
      </c>
      <c r="E6">
        <v>443</v>
      </c>
      <c r="F6">
        <v>339</v>
      </c>
      <c r="G6">
        <v>34</v>
      </c>
      <c r="H6">
        <v>17097</v>
      </c>
      <c r="I6">
        <v>19540</v>
      </c>
      <c r="J6">
        <v>818</v>
      </c>
      <c r="L6">
        <v>1294</v>
      </c>
      <c r="N6">
        <v>223</v>
      </c>
      <c r="O6">
        <v>145</v>
      </c>
      <c r="P6">
        <v>851</v>
      </c>
      <c r="R6">
        <v>511</v>
      </c>
      <c r="S6">
        <v>319</v>
      </c>
      <c r="T6">
        <v>70193</v>
      </c>
      <c r="U6">
        <v>36653</v>
      </c>
    </row>
    <row r="7" spans="1:22" ht="15.75" x14ac:dyDescent="0.25">
      <c r="A7" s="7">
        <v>1875</v>
      </c>
      <c r="B7">
        <v>2145</v>
      </c>
      <c r="C7">
        <v>7350</v>
      </c>
      <c r="E7">
        <v>512</v>
      </c>
      <c r="F7">
        <v>398</v>
      </c>
      <c r="G7">
        <v>23</v>
      </c>
      <c r="H7">
        <v>17811</v>
      </c>
      <c r="I7">
        <v>27707</v>
      </c>
      <c r="J7">
        <v>837</v>
      </c>
      <c r="L7">
        <v>1479</v>
      </c>
      <c r="N7">
        <v>280</v>
      </c>
      <c r="O7">
        <v>319</v>
      </c>
      <c r="P7">
        <v>898</v>
      </c>
      <c r="R7">
        <v>621</v>
      </c>
      <c r="S7">
        <v>349</v>
      </c>
      <c r="T7">
        <v>74096</v>
      </c>
      <c r="U7">
        <v>37049</v>
      </c>
    </row>
    <row r="8" spans="1:22" ht="15.75" x14ac:dyDescent="0.25">
      <c r="A8" s="7">
        <v>1876</v>
      </c>
      <c r="B8">
        <v>2208</v>
      </c>
      <c r="C8">
        <v>7183</v>
      </c>
      <c r="E8">
        <v>507</v>
      </c>
      <c r="F8">
        <v>421</v>
      </c>
      <c r="G8">
        <v>26</v>
      </c>
      <c r="H8">
        <v>17838</v>
      </c>
      <c r="I8">
        <v>28231</v>
      </c>
      <c r="J8">
        <v>1121</v>
      </c>
      <c r="L8">
        <v>1695</v>
      </c>
      <c r="N8">
        <v>247</v>
      </c>
      <c r="O8">
        <v>313</v>
      </c>
      <c r="P8">
        <v>974</v>
      </c>
      <c r="R8">
        <v>663</v>
      </c>
      <c r="S8">
        <v>408</v>
      </c>
      <c r="T8">
        <v>73968</v>
      </c>
      <c r="U8">
        <v>36250</v>
      </c>
    </row>
    <row r="9" spans="1:22" ht="15.75" x14ac:dyDescent="0.25">
      <c r="A9" s="7">
        <v>1877</v>
      </c>
      <c r="B9">
        <v>1988</v>
      </c>
      <c r="C9">
        <v>6837</v>
      </c>
      <c r="E9">
        <v>552</v>
      </c>
      <c r="F9">
        <v>416</v>
      </c>
      <c r="G9">
        <v>31</v>
      </c>
      <c r="H9">
        <v>17447</v>
      </c>
      <c r="I9">
        <v>27648</v>
      </c>
      <c r="J9">
        <v>1038</v>
      </c>
      <c r="L9">
        <v>1722</v>
      </c>
      <c r="N9">
        <v>333</v>
      </c>
      <c r="O9">
        <v>183</v>
      </c>
      <c r="P9">
        <v>1032</v>
      </c>
      <c r="R9">
        <v>702</v>
      </c>
      <c r="S9">
        <v>387</v>
      </c>
      <c r="T9">
        <v>75300</v>
      </c>
      <c r="U9">
        <v>40168</v>
      </c>
    </row>
    <row r="10" spans="1:22" ht="15.75" x14ac:dyDescent="0.25">
      <c r="A10" s="7">
        <v>1878</v>
      </c>
      <c r="B10">
        <v>1976</v>
      </c>
      <c r="C10">
        <v>7434</v>
      </c>
      <c r="E10">
        <v>528</v>
      </c>
      <c r="F10">
        <v>395</v>
      </c>
      <c r="G10">
        <v>35</v>
      </c>
      <c r="H10">
        <v>17801</v>
      </c>
      <c r="I10">
        <v>28533</v>
      </c>
      <c r="J10">
        <v>1033</v>
      </c>
      <c r="L10">
        <v>1825</v>
      </c>
      <c r="M10">
        <v>97</v>
      </c>
      <c r="N10">
        <v>297</v>
      </c>
      <c r="O10">
        <v>175</v>
      </c>
      <c r="P10">
        <v>1025</v>
      </c>
      <c r="R10">
        <v>595</v>
      </c>
      <c r="S10">
        <v>370</v>
      </c>
      <c r="T10">
        <v>73956</v>
      </c>
      <c r="U10">
        <v>39275</v>
      </c>
    </row>
    <row r="11" spans="1:22" ht="15.75" x14ac:dyDescent="0.25">
      <c r="A11" s="7">
        <v>1879</v>
      </c>
      <c r="B11">
        <v>2419</v>
      </c>
      <c r="C11">
        <v>7569</v>
      </c>
      <c r="E11">
        <v>596</v>
      </c>
      <c r="F11">
        <v>446</v>
      </c>
      <c r="G11">
        <v>21</v>
      </c>
      <c r="H11">
        <v>18422</v>
      </c>
      <c r="I11">
        <v>30253</v>
      </c>
      <c r="J11">
        <v>1189</v>
      </c>
      <c r="L11">
        <v>1968</v>
      </c>
      <c r="M11">
        <v>138</v>
      </c>
      <c r="N11">
        <v>312</v>
      </c>
      <c r="O11">
        <v>193</v>
      </c>
      <c r="P11">
        <v>1084</v>
      </c>
      <c r="R11">
        <v>604</v>
      </c>
      <c r="S11">
        <v>395</v>
      </c>
      <c r="T11">
        <v>74412</v>
      </c>
      <c r="U11">
        <v>47890</v>
      </c>
    </row>
    <row r="12" spans="1:22" ht="15.75" x14ac:dyDescent="0.25">
      <c r="A12" s="7">
        <v>1880</v>
      </c>
      <c r="B12">
        <v>6454</v>
      </c>
      <c r="C12">
        <v>8304</v>
      </c>
      <c r="E12">
        <v>1428</v>
      </c>
      <c r="F12">
        <v>508</v>
      </c>
      <c r="G12">
        <v>27</v>
      </c>
      <c r="H12">
        <v>20783</v>
      </c>
      <c r="I12">
        <v>33980</v>
      </c>
      <c r="J12">
        <v>1383</v>
      </c>
      <c r="L12">
        <v>2176</v>
      </c>
      <c r="M12">
        <v>179</v>
      </c>
      <c r="N12">
        <v>341</v>
      </c>
      <c r="O12">
        <v>240</v>
      </c>
      <c r="P12">
        <v>1205</v>
      </c>
      <c r="R12">
        <v>772</v>
      </c>
      <c r="S12">
        <v>456</v>
      </c>
      <c r="T12">
        <v>81093</v>
      </c>
      <c r="U12">
        <v>54226</v>
      </c>
    </row>
    <row r="13" spans="1:22" ht="15.75" x14ac:dyDescent="0.25">
      <c r="A13" s="7">
        <v>1881</v>
      </c>
      <c r="B13">
        <v>2815</v>
      </c>
      <c r="C13">
        <v>8360</v>
      </c>
      <c r="E13">
        <v>1526</v>
      </c>
      <c r="F13">
        <v>538</v>
      </c>
      <c r="G13">
        <v>27</v>
      </c>
      <c r="H13">
        <v>21284</v>
      </c>
      <c r="I13">
        <v>36644</v>
      </c>
      <c r="J13">
        <v>1626</v>
      </c>
      <c r="L13">
        <v>2191</v>
      </c>
      <c r="M13">
        <v>201</v>
      </c>
      <c r="N13">
        <v>353</v>
      </c>
      <c r="O13">
        <v>243</v>
      </c>
      <c r="P13">
        <v>1346</v>
      </c>
      <c r="R13">
        <v>751</v>
      </c>
      <c r="S13">
        <v>427</v>
      </c>
      <c r="T13">
        <v>85238</v>
      </c>
      <c r="U13">
        <v>57367</v>
      </c>
    </row>
    <row r="14" spans="1:22" ht="15.75" x14ac:dyDescent="0.25">
      <c r="A14" s="7">
        <v>1882</v>
      </c>
      <c r="B14">
        <v>2893</v>
      </c>
      <c r="C14">
        <v>8853</v>
      </c>
      <c r="E14">
        <v>1806</v>
      </c>
      <c r="F14">
        <v>577</v>
      </c>
      <c r="G14">
        <v>33</v>
      </c>
      <c r="H14">
        <v>22464</v>
      </c>
      <c r="I14">
        <v>39210</v>
      </c>
      <c r="J14">
        <v>1712</v>
      </c>
      <c r="L14">
        <v>2219</v>
      </c>
      <c r="M14">
        <v>226</v>
      </c>
      <c r="N14">
        <v>386</v>
      </c>
      <c r="O14">
        <v>296</v>
      </c>
      <c r="P14">
        <v>1469</v>
      </c>
      <c r="R14">
        <v>859</v>
      </c>
      <c r="S14">
        <v>472</v>
      </c>
      <c r="T14">
        <v>85962</v>
      </c>
      <c r="U14">
        <v>64245</v>
      </c>
    </row>
    <row r="15" spans="1:22" ht="15.75" x14ac:dyDescent="0.25">
      <c r="A15" s="7">
        <v>1883</v>
      </c>
      <c r="B15">
        <v>3210</v>
      </c>
      <c r="C15">
        <v>9384</v>
      </c>
      <c r="E15">
        <v>2028</v>
      </c>
      <c r="F15">
        <v>663</v>
      </c>
      <c r="G15">
        <v>32</v>
      </c>
      <c r="H15">
        <v>23559</v>
      </c>
      <c r="I15">
        <v>41783</v>
      </c>
      <c r="J15">
        <v>1814</v>
      </c>
      <c r="L15">
        <v>2459</v>
      </c>
      <c r="M15">
        <v>253</v>
      </c>
      <c r="N15">
        <v>416</v>
      </c>
      <c r="O15">
        <v>311</v>
      </c>
      <c r="P15">
        <v>1611</v>
      </c>
      <c r="R15">
        <v>878</v>
      </c>
      <c r="S15">
        <v>522</v>
      </c>
      <c r="T15">
        <v>89446</v>
      </c>
      <c r="U15">
        <v>69291</v>
      </c>
    </row>
    <row r="16" spans="1:22" ht="15.75" x14ac:dyDescent="0.25">
      <c r="A16" s="7">
        <v>1884</v>
      </c>
      <c r="B16">
        <v>3128</v>
      </c>
      <c r="C16">
        <v>9244</v>
      </c>
      <c r="E16">
        <v>2347</v>
      </c>
      <c r="F16">
        <v>660</v>
      </c>
      <c r="G16">
        <v>39</v>
      </c>
      <c r="H16">
        <v>22629</v>
      </c>
      <c r="I16">
        <v>42993</v>
      </c>
      <c r="J16">
        <v>2009</v>
      </c>
      <c r="L16">
        <v>2461</v>
      </c>
      <c r="M16">
        <v>289</v>
      </c>
      <c r="N16">
        <v>426</v>
      </c>
      <c r="O16">
        <v>328</v>
      </c>
      <c r="P16">
        <v>1602</v>
      </c>
      <c r="R16">
        <v>969</v>
      </c>
      <c r="S16">
        <v>536</v>
      </c>
      <c r="T16">
        <v>87090</v>
      </c>
      <c r="U16">
        <v>73032</v>
      </c>
    </row>
    <row r="17" spans="1:21" ht="15.75" x14ac:dyDescent="0.25">
      <c r="A17" s="7">
        <v>1885</v>
      </c>
      <c r="B17">
        <v>3288</v>
      </c>
      <c r="C17">
        <v>9029</v>
      </c>
      <c r="E17">
        <v>2250</v>
      </c>
      <c r="F17">
        <v>692</v>
      </c>
      <c r="G17">
        <v>60</v>
      </c>
      <c r="H17">
        <v>21756</v>
      </c>
      <c r="I17">
        <v>43991</v>
      </c>
      <c r="J17">
        <v>2286</v>
      </c>
      <c r="L17">
        <v>2571</v>
      </c>
      <c r="M17">
        <v>308</v>
      </c>
      <c r="N17">
        <v>487</v>
      </c>
      <c r="O17">
        <v>304</v>
      </c>
      <c r="P17">
        <v>1572</v>
      </c>
      <c r="R17">
        <v>1045</v>
      </c>
      <c r="S17">
        <v>558</v>
      </c>
      <c r="T17">
        <v>86051</v>
      </c>
      <c r="U17">
        <v>74280</v>
      </c>
    </row>
    <row r="18" spans="1:21" ht="15.75" x14ac:dyDescent="0.25">
      <c r="A18" s="7">
        <v>1886</v>
      </c>
      <c r="B18">
        <v>3103</v>
      </c>
      <c r="C18">
        <v>8762</v>
      </c>
      <c r="E18">
        <v>2401</v>
      </c>
      <c r="F18">
        <v>663</v>
      </c>
      <c r="G18">
        <v>35</v>
      </c>
      <c r="H18">
        <v>21581</v>
      </c>
      <c r="I18">
        <v>44496</v>
      </c>
      <c r="J18">
        <v>2273</v>
      </c>
      <c r="L18">
        <v>2625</v>
      </c>
      <c r="M18">
        <v>322</v>
      </c>
      <c r="N18">
        <v>476</v>
      </c>
      <c r="O18">
        <v>336</v>
      </c>
      <c r="P18">
        <v>1663</v>
      </c>
      <c r="R18">
        <v>1024</v>
      </c>
      <c r="S18">
        <v>569</v>
      </c>
      <c r="T18">
        <v>85270</v>
      </c>
      <c r="U18">
        <v>78456</v>
      </c>
    </row>
    <row r="19" spans="1:21" ht="15.75" x14ac:dyDescent="0.25">
      <c r="A19" s="7">
        <v>1887</v>
      </c>
      <c r="B19">
        <v>3345</v>
      </c>
      <c r="C19">
        <v>9271</v>
      </c>
      <c r="E19">
        <v>2770</v>
      </c>
      <c r="F19">
        <v>680</v>
      </c>
      <c r="G19">
        <v>35</v>
      </c>
      <c r="H19">
        <v>22732</v>
      </c>
      <c r="I19">
        <v>46504</v>
      </c>
      <c r="J19">
        <v>2770</v>
      </c>
      <c r="L19">
        <v>2671</v>
      </c>
      <c r="M19">
        <v>338</v>
      </c>
      <c r="N19">
        <v>459</v>
      </c>
      <c r="O19">
        <v>346</v>
      </c>
      <c r="P19">
        <v>1676</v>
      </c>
      <c r="R19">
        <v>1038</v>
      </c>
      <c r="S19">
        <v>616</v>
      </c>
      <c r="T19">
        <v>87457</v>
      </c>
      <c r="U19">
        <v>83892</v>
      </c>
    </row>
    <row r="20" spans="1:21" ht="15.75" x14ac:dyDescent="0.25">
      <c r="A20" s="7">
        <v>1888</v>
      </c>
      <c r="B20">
        <v>3262</v>
      </c>
      <c r="C20">
        <v>9840</v>
      </c>
      <c r="E20">
        <v>3633</v>
      </c>
      <c r="F20">
        <v>765</v>
      </c>
      <c r="G20">
        <v>33</v>
      </c>
      <c r="H20">
        <v>23650</v>
      </c>
      <c r="I20">
        <v>50859</v>
      </c>
      <c r="J20">
        <v>2974</v>
      </c>
      <c r="L20">
        <v>2964</v>
      </c>
      <c r="M20">
        <v>372</v>
      </c>
      <c r="N20">
        <v>531</v>
      </c>
      <c r="O20">
        <v>373</v>
      </c>
      <c r="P20">
        <v>1756</v>
      </c>
      <c r="R20">
        <v>1159</v>
      </c>
      <c r="S20">
        <v>629</v>
      </c>
      <c r="T20">
        <v>90930</v>
      </c>
      <c r="U20">
        <v>102040</v>
      </c>
    </row>
    <row r="21" spans="1:21" ht="15.75" x14ac:dyDescent="0.25">
      <c r="A21" s="7">
        <v>1889</v>
      </c>
      <c r="B21">
        <v>3514</v>
      </c>
      <c r="C21">
        <v>10053</v>
      </c>
      <c r="E21">
        <v>3082</v>
      </c>
      <c r="F21">
        <v>817</v>
      </c>
      <c r="G21">
        <v>44</v>
      </c>
      <c r="H21">
        <v>24235</v>
      </c>
      <c r="I21">
        <v>54271</v>
      </c>
      <c r="J21">
        <v>3072</v>
      </c>
      <c r="L21">
        <v>2896</v>
      </c>
      <c r="M21">
        <v>358</v>
      </c>
      <c r="N21">
        <v>606</v>
      </c>
      <c r="O21">
        <v>429</v>
      </c>
      <c r="P21">
        <v>1862</v>
      </c>
      <c r="R21">
        <v>1353</v>
      </c>
      <c r="S21">
        <v>694</v>
      </c>
      <c r="T21">
        <v>94166</v>
      </c>
      <c r="U21">
        <v>91578</v>
      </c>
    </row>
    <row r="22" spans="1:21" ht="15.75" x14ac:dyDescent="0.25">
      <c r="A22" s="7">
        <v>1890</v>
      </c>
      <c r="B22">
        <v>3558</v>
      </c>
      <c r="C22">
        <v>10869</v>
      </c>
      <c r="E22">
        <v>3388</v>
      </c>
      <c r="F22">
        <v>783</v>
      </c>
      <c r="G22">
        <v>57</v>
      </c>
      <c r="H22">
        <v>26697</v>
      </c>
      <c r="I22">
        <v>56832</v>
      </c>
      <c r="J22">
        <v>3332</v>
      </c>
      <c r="L22">
        <v>2807</v>
      </c>
      <c r="M22">
        <v>388</v>
      </c>
      <c r="N22">
        <v>567</v>
      </c>
      <c r="O22">
        <v>458</v>
      </c>
      <c r="P22">
        <v>2003</v>
      </c>
      <c r="R22">
        <v>1350</v>
      </c>
      <c r="S22">
        <v>785</v>
      </c>
      <c r="T22">
        <v>96349</v>
      </c>
      <c r="U22">
        <v>109647</v>
      </c>
    </row>
    <row r="23" spans="1:21" ht="15.75" x14ac:dyDescent="0.25">
      <c r="A23" s="7">
        <v>1891</v>
      </c>
      <c r="B23">
        <v>4079</v>
      </c>
      <c r="C23">
        <v>10311</v>
      </c>
      <c r="E23">
        <v>3805</v>
      </c>
      <c r="F23">
        <v>842</v>
      </c>
      <c r="G23">
        <v>60</v>
      </c>
      <c r="H23">
        <v>26742</v>
      </c>
      <c r="I23">
        <v>60273</v>
      </c>
      <c r="J23">
        <v>3002</v>
      </c>
      <c r="L23">
        <v>3250</v>
      </c>
      <c r="M23">
        <v>407</v>
      </c>
      <c r="N23">
        <v>659</v>
      </c>
      <c r="O23">
        <v>475</v>
      </c>
      <c r="P23">
        <v>2167</v>
      </c>
      <c r="R23">
        <v>1441</v>
      </c>
      <c r="S23">
        <v>961</v>
      </c>
      <c r="T23">
        <v>98382</v>
      </c>
      <c r="U23">
        <v>116655</v>
      </c>
    </row>
    <row r="24" spans="1:21" ht="15.75" x14ac:dyDescent="0.25">
      <c r="A24" s="7">
        <v>1892</v>
      </c>
      <c r="B24">
        <v>3948</v>
      </c>
      <c r="C24">
        <v>10297</v>
      </c>
      <c r="E24">
        <v>3791</v>
      </c>
      <c r="F24">
        <v>865</v>
      </c>
      <c r="G24">
        <v>53</v>
      </c>
      <c r="H24">
        <v>26780</v>
      </c>
      <c r="I24">
        <v>58676</v>
      </c>
      <c r="J24">
        <v>2972</v>
      </c>
      <c r="L24">
        <v>3090</v>
      </c>
      <c r="M24">
        <v>410</v>
      </c>
      <c r="N24">
        <v>673</v>
      </c>
      <c r="O24">
        <v>462</v>
      </c>
      <c r="P24">
        <v>2265</v>
      </c>
      <c r="R24">
        <v>1433</v>
      </c>
      <c r="S24">
        <v>947</v>
      </c>
      <c r="T24">
        <v>96345</v>
      </c>
      <c r="U24">
        <v>122939</v>
      </c>
    </row>
    <row r="25" spans="1:21" ht="15.75" x14ac:dyDescent="0.25">
      <c r="A25" s="7">
        <v>1893</v>
      </c>
      <c r="B25">
        <v>4831</v>
      </c>
      <c r="C25">
        <v>9846</v>
      </c>
      <c r="E25">
        <v>4054</v>
      </c>
      <c r="F25">
        <v>818</v>
      </c>
      <c r="G25">
        <v>53</v>
      </c>
      <c r="H25">
        <v>26291</v>
      </c>
      <c r="I25">
        <v>60238</v>
      </c>
      <c r="J25">
        <v>2872</v>
      </c>
      <c r="L25">
        <v>3128</v>
      </c>
      <c r="M25">
        <v>421</v>
      </c>
      <c r="N25">
        <v>672</v>
      </c>
      <c r="O25">
        <v>413</v>
      </c>
      <c r="P25">
        <v>2216</v>
      </c>
      <c r="R25">
        <v>1441</v>
      </c>
      <c r="S25">
        <v>785</v>
      </c>
      <c r="T25">
        <v>86302</v>
      </c>
      <c r="U25">
        <v>123934</v>
      </c>
    </row>
    <row r="26" spans="1:21" ht="15.75" x14ac:dyDescent="0.25">
      <c r="A26" s="7">
        <v>1894</v>
      </c>
      <c r="B26">
        <v>4948</v>
      </c>
      <c r="C26">
        <v>10871</v>
      </c>
      <c r="E26">
        <v>3870</v>
      </c>
      <c r="F26">
        <v>928</v>
      </c>
      <c r="G26">
        <v>60</v>
      </c>
      <c r="H26">
        <v>27811</v>
      </c>
      <c r="I26">
        <v>62636</v>
      </c>
      <c r="J26">
        <v>3565</v>
      </c>
      <c r="L26">
        <v>3171</v>
      </c>
      <c r="M26">
        <v>439</v>
      </c>
      <c r="N26">
        <v>793</v>
      </c>
      <c r="O26">
        <v>485</v>
      </c>
      <c r="P26">
        <v>2384</v>
      </c>
      <c r="R26">
        <v>1608</v>
      </c>
      <c r="S26">
        <v>978</v>
      </c>
      <c r="T26">
        <v>98827</v>
      </c>
      <c r="U26">
        <v>116007</v>
      </c>
    </row>
    <row r="27" spans="1:21" ht="15.75" x14ac:dyDescent="0.25">
      <c r="A27" s="7">
        <v>1895</v>
      </c>
      <c r="B27">
        <v>5560</v>
      </c>
      <c r="C27">
        <v>10953</v>
      </c>
      <c r="E27">
        <v>3693</v>
      </c>
      <c r="F27">
        <v>962</v>
      </c>
      <c r="G27">
        <v>64</v>
      </c>
      <c r="H27">
        <v>28050</v>
      </c>
      <c r="I27">
        <v>65034</v>
      </c>
      <c r="J27">
        <v>3281</v>
      </c>
      <c r="L27">
        <v>3173</v>
      </c>
      <c r="M27">
        <v>443</v>
      </c>
      <c r="N27">
        <v>835</v>
      </c>
      <c r="O27">
        <v>463</v>
      </c>
      <c r="P27">
        <v>2348</v>
      </c>
      <c r="R27">
        <v>1625</v>
      </c>
      <c r="S27">
        <v>1050</v>
      </c>
      <c r="T27">
        <v>99768</v>
      </c>
      <c r="U27">
        <v>130990</v>
      </c>
    </row>
    <row r="28" spans="1:21" ht="15.75" x14ac:dyDescent="0.25">
      <c r="A28" s="7">
        <v>1896</v>
      </c>
      <c r="B28">
        <v>5813</v>
      </c>
      <c r="C28">
        <v>11539</v>
      </c>
      <c r="E28">
        <v>3998</v>
      </c>
      <c r="F28">
        <v>1177</v>
      </c>
      <c r="G28">
        <v>81</v>
      </c>
      <c r="H28">
        <v>29007</v>
      </c>
      <c r="I28">
        <v>69940</v>
      </c>
      <c r="J28">
        <v>3118</v>
      </c>
      <c r="L28">
        <v>3410</v>
      </c>
      <c r="M28">
        <v>483</v>
      </c>
      <c r="N28">
        <v>853</v>
      </c>
      <c r="O28">
        <v>472</v>
      </c>
      <c r="P28">
        <v>2539</v>
      </c>
      <c r="R28">
        <v>1680</v>
      </c>
      <c r="S28">
        <v>1149</v>
      </c>
      <c r="T28">
        <v>102615</v>
      </c>
      <c r="U28">
        <v>131245</v>
      </c>
    </row>
    <row r="29" spans="1:21" ht="15.75" x14ac:dyDescent="0.25">
      <c r="A29" s="7">
        <v>1897</v>
      </c>
      <c r="B29">
        <v>6283</v>
      </c>
      <c r="C29">
        <v>11939</v>
      </c>
      <c r="E29">
        <v>4039</v>
      </c>
      <c r="F29">
        <v>1262</v>
      </c>
      <c r="G29">
        <v>141</v>
      </c>
      <c r="H29">
        <v>30366</v>
      </c>
      <c r="I29">
        <v>74660</v>
      </c>
      <c r="J29">
        <v>3253</v>
      </c>
      <c r="L29">
        <v>3576</v>
      </c>
      <c r="M29">
        <v>512</v>
      </c>
      <c r="N29">
        <v>924</v>
      </c>
      <c r="O29">
        <v>496</v>
      </c>
      <c r="P29">
        <v>2605</v>
      </c>
      <c r="R29">
        <v>1871</v>
      </c>
      <c r="S29">
        <v>1212</v>
      </c>
      <c r="T29">
        <v>105341</v>
      </c>
      <c r="U29">
        <v>136541</v>
      </c>
    </row>
    <row r="30" spans="1:21" ht="15.75" x14ac:dyDescent="0.25">
      <c r="A30" s="7">
        <v>1898</v>
      </c>
      <c r="B30">
        <v>6674</v>
      </c>
      <c r="C30">
        <v>12305</v>
      </c>
      <c r="E30">
        <v>4287</v>
      </c>
      <c r="F30">
        <v>1311</v>
      </c>
      <c r="G30">
        <v>133</v>
      </c>
      <c r="H30">
        <v>31399</v>
      </c>
      <c r="I30">
        <v>77887</v>
      </c>
      <c r="J30">
        <v>3385</v>
      </c>
      <c r="L30">
        <v>3530</v>
      </c>
      <c r="M30">
        <v>552</v>
      </c>
      <c r="N30">
        <v>924</v>
      </c>
      <c r="O30">
        <v>568</v>
      </c>
      <c r="P30">
        <v>2558</v>
      </c>
      <c r="R30">
        <v>1992</v>
      </c>
      <c r="S30">
        <v>1296</v>
      </c>
      <c r="T30">
        <v>105589</v>
      </c>
      <c r="U30">
        <v>148832</v>
      </c>
    </row>
    <row r="31" spans="1:21" ht="15.75" x14ac:dyDescent="0.25">
      <c r="A31" s="7">
        <v>1899</v>
      </c>
      <c r="B31">
        <v>6773</v>
      </c>
      <c r="C31">
        <v>12862</v>
      </c>
      <c r="E31">
        <v>5232</v>
      </c>
      <c r="F31">
        <v>1433</v>
      </c>
      <c r="G31">
        <v>201</v>
      </c>
      <c r="H31">
        <v>32833</v>
      </c>
      <c r="I31">
        <v>82774</v>
      </c>
      <c r="J31">
        <v>3709</v>
      </c>
      <c r="L31">
        <v>3624</v>
      </c>
      <c r="M31">
        <v>594</v>
      </c>
      <c r="N31">
        <v>1105</v>
      </c>
      <c r="O31">
        <v>585</v>
      </c>
      <c r="P31">
        <v>2900</v>
      </c>
      <c r="R31">
        <v>2493</v>
      </c>
      <c r="S31">
        <v>1398</v>
      </c>
      <c r="T31">
        <v>113142</v>
      </c>
      <c r="U31">
        <v>170724</v>
      </c>
    </row>
    <row r="32" spans="1:21" ht="15.75" x14ac:dyDescent="0.25">
      <c r="A32" s="7">
        <v>1900</v>
      </c>
      <c r="B32">
        <v>7553</v>
      </c>
      <c r="C32">
        <v>13555</v>
      </c>
      <c r="E32">
        <v>5630</v>
      </c>
      <c r="F32">
        <v>1405</v>
      </c>
      <c r="G32">
        <v>164</v>
      </c>
      <c r="H32">
        <v>35283</v>
      </c>
      <c r="I32">
        <v>89181</v>
      </c>
      <c r="J32">
        <v>3796</v>
      </c>
      <c r="L32">
        <v>3994</v>
      </c>
      <c r="M32">
        <v>666</v>
      </c>
      <c r="N32">
        <v>1134</v>
      </c>
      <c r="O32">
        <v>673</v>
      </c>
      <c r="P32">
        <v>3062</v>
      </c>
      <c r="R32">
        <v>2503</v>
      </c>
      <c r="S32">
        <v>1549</v>
      </c>
      <c r="T32">
        <v>114558</v>
      </c>
      <c r="U32">
        <v>180878</v>
      </c>
    </row>
    <row r="33" spans="1:21" ht="15.75" x14ac:dyDescent="0.25">
      <c r="A33" s="7">
        <v>1901</v>
      </c>
      <c r="B33">
        <v>7741</v>
      </c>
      <c r="C33">
        <v>12748</v>
      </c>
      <c r="D33">
        <v>574</v>
      </c>
      <c r="E33">
        <v>6508</v>
      </c>
      <c r="F33">
        <v>1463</v>
      </c>
      <c r="G33">
        <v>115</v>
      </c>
      <c r="H33">
        <v>34117</v>
      </c>
      <c r="I33">
        <v>88853</v>
      </c>
      <c r="J33">
        <v>3690</v>
      </c>
      <c r="L33">
        <v>3906</v>
      </c>
      <c r="M33">
        <v>748</v>
      </c>
      <c r="N33">
        <v>1063</v>
      </c>
      <c r="O33">
        <v>652</v>
      </c>
      <c r="P33">
        <v>3222</v>
      </c>
      <c r="R33">
        <v>2326</v>
      </c>
      <c r="S33">
        <v>1415</v>
      </c>
      <c r="T33">
        <v>112091</v>
      </c>
      <c r="U33">
        <v>196923</v>
      </c>
    </row>
    <row r="34" spans="1:21" ht="15.75" x14ac:dyDescent="0.25">
      <c r="A34" s="7">
        <v>1902</v>
      </c>
      <c r="B34">
        <v>7002</v>
      </c>
      <c r="C34">
        <v>13334</v>
      </c>
      <c r="D34">
        <v>684</v>
      </c>
      <c r="E34">
        <v>7000</v>
      </c>
      <c r="F34">
        <v>1502</v>
      </c>
      <c r="G34">
        <v>109</v>
      </c>
      <c r="H34">
        <v>32113</v>
      </c>
      <c r="I34">
        <v>87115</v>
      </c>
      <c r="J34">
        <v>4098</v>
      </c>
      <c r="L34">
        <v>3903</v>
      </c>
      <c r="M34">
        <v>830</v>
      </c>
      <c r="N34">
        <v>1158</v>
      </c>
      <c r="O34">
        <v>715</v>
      </c>
      <c r="P34">
        <v>3367</v>
      </c>
      <c r="R34">
        <v>2436</v>
      </c>
      <c r="S34">
        <v>1429</v>
      </c>
      <c r="T34">
        <v>116441</v>
      </c>
      <c r="U34">
        <v>208650</v>
      </c>
    </row>
    <row r="35" spans="1:21" ht="15.75" x14ac:dyDescent="0.25">
      <c r="A35" s="7">
        <v>1903</v>
      </c>
      <c r="B35">
        <v>6973</v>
      </c>
      <c r="C35">
        <v>14364</v>
      </c>
      <c r="D35">
        <v>666</v>
      </c>
      <c r="E35">
        <v>7631</v>
      </c>
      <c r="F35">
        <v>1563</v>
      </c>
      <c r="G35">
        <v>140</v>
      </c>
      <c r="H35">
        <v>35301</v>
      </c>
      <c r="I35">
        <v>93777</v>
      </c>
      <c r="J35">
        <v>4180</v>
      </c>
      <c r="L35">
        <v>4175</v>
      </c>
      <c r="M35">
        <v>865</v>
      </c>
      <c r="N35">
        <v>1157</v>
      </c>
      <c r="O35">
        <v>688</v>
      </c>
      <c r="P35">
        <v>3323</v>
      </c>
      <c r="R35">
        <v>2676</v>
      </c>
      <c r="S35">
        <v>1548</v>
      </c>
      <c r="T35">
        <v>117354</v>
      </c>
      <c r="U35">
        <v>244106</v>
      </c>
    </row>
    <row r="36" spans="1:21" ht="15.75" x14ac:dyDescent="0.25">
      <c r="A36" s="7">
        <v>1904</v>
      </c>
      <c r="B36">
        <v>7349</v>
      </c>
      <c r="C36">
        <v>13742</v>
      </c>
      <c r="D36">
        <v>715</v>
      </c>
      <c r="E36">
        <v>9033</v>
      </c>
      <c r="F36">
        <v>1686</v>
      </c>
      <c r="G36">
        <v>144</v>
      </c>
      <c r="H36">
        <v>34388</v>
      </c>
      <c r="I36">
        <v>97195</v>
      </c>
      <c r="J36">
        <v>4418</v>
      </c>
      <c r="L36">
        <v>4412</v>
      </c>
      <c r="M36">
        <v>937</v>
      </c>
      <c r="N36">
        <v>1135</v>
      </c>
      <c r="O36">
        <v>704</v>
      </c>
      <c r="P36">
        <v>3546</v>
      </c>
      <c r="R36">
        <v>2818</v>
      </c>
      <c r="S36">
        <v>1627</v>
      </c>
      <c r="T36">
        <v>117902</v>
      </c>
      <c r="U36">
        <v>240235</v>
      </c>
    </row>
    <row r="37" spans="1:21" ht="15.75" x14ac:dyDescent="0.25">
      <c r="A37" s="7">
        <v>1905</v>
      </c>
      <c r="B37">
        <v>7671</v>
      </c>
      <c r="C37">
        <v>13719</v>
      </c>
      <c r="D37">
        <v>764</v>
      </c>
      <c r="E37">
        <v>9658</v>
      </c>
      <c r="F37">
        <v>1640</v>
      </c>
      <c r="G37">
        <v>160</v>
      </c>
      <c r="H37">
        <v>34778</v>
      </c>
      <c r="I37">
        <v>104346</v>
      </c>
      <c r="J37">
        <v>4870</v>
      </c>
      <c r="L37">
        <v>4529</v>
      </c>
      <c r="M37">
        <v>966</v>
      </c>
      <c r="N37">
        <v>1132</v>
      </c>
      <c r="O37">
        <v>688</v>
      </c>
      <c r="P37">
        <v>3704</v>
      </c>
      <c r="R37">
        <v>2774</v>
      </c>
      <c r="S37">
        <v>1703</v>
      </c>
      <c r="T37">
        <v>119452</v>
      </c>
      <c r="U37">
        <v>268695</v>
      </c>
    </row>
    <row r="38" spans="1:21" ht="15.75" x14ac:dyDescent="0.25">
      <c r="A38" s="7">
        <v>1906</v>
      </c>
      <c r="B38">
        <v>9153</v>
      </c>
      <c r="C38">
        <v>15692</v>
      </c>
      <c r="D38">
        <v>875</v>
      </c>
      <c r="E38">
        <v>10204</v>
      </c>
      <c r="F38">
        <v>1786</v>
      </c>
      <c r="G38">
        <v>168</v>
      </c>
      <c r="H38">
        <v>37273</v>
      </c>
      <c r="I38">
        <v>98782</v>
      </c>
      <c r="J38">
        <v>5756</v>
      </c>
      <c r="L38">
        <v>4928</v>
      </c>
      <c r="M38">
        <v>1054</v>
      </c>
      <c r="N38">
        <v>1153</v>
      </c>
      <c r="O38">
        <v>791</v>
      </c>
      <c r="P38">
        <v>3783</v>
      </c>
      <c r="R38">
        <v>3082</v>
      </c>
      <c r="S38">
        <v>1882</v>
      </c>
      <c r="T38">
        <v>123731</v>
      </c>
      <c r="U38">
        <v>282025</v>
      </c>
    </row>
    <row r="39" spans="1:21" ht="15.75" x14ac:dyDescent="0.25">
      <c r="A39" s="7">
        <v>1907</v>
      </c>
      <c r="B39">
        <v>11495</v>
      </c>
      <c r="C39">
        <v>15918</v>
      </c>
      <c r="D39">
        <v>942</v>
      </c>
      <c r="E39">
        <v>12825</v>
      </c>
      <c r="F39">
        <v>1592</v>
      </c>
      <c r="G39">
        <v>242</v>
      </c>
      <c r="H39">
        <v>39737</v>
      </c>
      <c r="I39">
        <v>120683</v>
      </c>
      <c r="J39">
        <v>6225</v>
      </c>
      <c r="L39">
        <v>5070</v>
      </c>
      <c r="M39">
        <v>1115</v>
      </c>
      <c r="N39">
        <v>1305</v>
      </c>
      <c r="O39">
        <v>863</v>
      </c>
      <c r="P39">
        <v>3847</v>
      </c>
      <c r="R39">
        <v>3486</v>
      </c>
      <c r="S39">
        <v>2183</v>
      </c>
      <c r="T39">
        <v>129249</v>
      </c>
      <c r="U39">
        <v>328003</v>
      </c>
    </row>
    <row r="40" spans="1:21" ht="15.75" x14ac:dyDescent="0.25">
      <c r="A40" s="7">
        <v>1908</v>
      </c>
      <c r="B40">
        <v>16087</v>
      </c>
      <c r="C40">
        <v>15788</v>
      </c>
      <c r="D40">
        <v>981</v>
      </c>
      <c r="E40">
        <v>12939</v>
      </c>
      <c r="F40">
        <v>1975</v>
      </c>
      <c r="G40">
        <v>384</v>
      </c>
      <c r="H40">
        <v>40042</v>
      </c>
      <c r="I40">
        <v>121900</v>
      </c>
      <c r="J40">
        <v>6349</v>
      </c>
      <c r="L40">
        <v>5164</v>
      </c>
      <c r="M40">
        <v>1133</v>
      </c>
      <c r="N40">
        <v>1560</v>
      </c>
      <c r="O40">
        <v>858</v>
      </c>
      <c r="P40">
        <v>4035</v>
      </c>
      <c r="R40">
        <v>3724</v>
      </c>
      <c r="S40">
        <v>2185</v>
      </c>
      <c r="T40">
        <v>126082</v>
      </c>
      <c r="U40">
        <v>286838</v>
      </c>
    </row>
    <row r="41" spans="1:21" ht="15.75" x14ac:dyDescent="0.25">
      <c r="A41" s="7">
        <v>1909</v>
      </c>
      <c r="B41">
        <v>11509</v>
      </c>
      <c r="C41">
        <v>15765</v>
      </c>
      <c r="D41">
        <v>985</v>
      </c>
      <c r="E41">
        <v>12387</v>
      </c>
      <c r="F41">
        <v>2185</v>
      </c>
      <c r="G41">
        <v>350</v>
      </c>
      <c r="H41">
        <v>40965</v>
      </c>
      <c r="I41">
        <v>121608</v>
      </c>
      <c r="J41">
        <v>7015</v>
      </c>
      <c r="L41">
        <v>5436</v>
      </c>
      <c r="M41">
        <v>1164</v>
      </c>
      <c r="N41">
        <v>1573</v>
      </c>
      <c r="O41">
        <v>872</v>
      </c>
      <c r="P41">
        <v>4139</v>
      </c>
      <c r="R41">
        <v>3428</v>
      </c>
      <c r="S41">
        <v>2202</v>
      </c>
      <c r="T41">
        <v>127207</v>
      </c>
      <c r="U41">
        <v>317509</v>
      </c>
    </row>
    <row r="42" spans="1:21" ht="15.75" x14ac:dyDescent="0.25">
      <c r="A42" s="7">
        <v>1910</v>
      </c>
      <c r="B42">
        <v>15698</v>
      </c>
      <c r="C42">
        <v>16727</v>
      </c>
      <c r="D42">
        <v>1146</v>
      </c>
      <c r="E42">
        <v>14089</v>
      </c>
      <c r="F42">
        <v>2006</v>
      </c>
      <c r="G42">
        <v>290</v>
      </c>
      <c r="H42">
        <v>41106</v>
      </c>
      <c r="I42">
        <v>121552</v>
      </c>
      <c r="J42">
        <v>7024</v>
      </c>
      <c r="L42">
        <v>5686</v>
      </c>
      <c r="M42">
        <v>1338</v>
      </c>
      <c r="N42">
        <v>1621</v>
      </c>
      <c r="O42">
        <v>887</v>
      </c>
      <c r="P42">
        <v>4065</v>
      </c>
      <c r="R42">
        <v>3545</v>
      </c>
      <c r="S42">
        <v>2126</v>
      </c>
      <c r="T42">
        <v>128202</v>
      </c>
      <c r="U42">
        <v>346405</v>
      </c>
    </row>
    <row r="43" spans="1:21" ht="15.75" x14ac:dyDescent="0.25">
      <c r="A43" s="7">
        <v>1911</v>
      </c>
      <c r="B43">
        <v>13111</v>
      </c>
      <c r="C43">
        <v>16836</v>
      </c>
      <c r="D43">
        <v>1257</v>
      </c>
      <c r="E43">
        <v>16449</v>
      </c>
      <c r="F43">
        <v>2137</v>
      </c>
      <c r="G43">
        <v>359</v>
      </c>
      <c r="H43">
        <v>42824</v>
      </c>
      <c r="I43">
        <v>125160</v>
      </c>
      <c r="J43">
        <v>7243</v>
      </c>
      <c r="L43">
        <v>6026</v>
      </c>
      <c r="M43">
        <v>1258</v>
      </c>
      <c r="N43">
        <v>1659</v>
      </c>
      <c r="O43">
        <v>858</v>
      </c>
      <c r="P43">
        <v>4020</v>
      </c>
      <c r="R43">
        <v>3453</v>
      </c>
      <c r="S43">
        <v>2350</v>
      </c>
      <c r="T43">
        <v>131373</v>
      </c>
      <c r="U43">
        <v>342900</v>
      </c>
    </row>
    <row r="44" spans="1:21" ht="15.75" x14ac:dyDescent="0.25">
      <c r="A44" s="7">
        <v>1912</v>
      </c>
      <c r="B44">
        <v>13630</v>
      </c>
      <c r="C44">
        <v>17679</v>
      </c>
      <c r="D44">
        <v>1526</v>
      </c>
      <c r="E44">
        <v>18360</v>
      </c>
      <c r="F44">
        <v>2534</v>
      </c>
      <c r="G44">
        <v>405</v>
      </c>
      <c r="H44">
        <v>43280</v>
      </c>
      <c r="I44">
        <v>136223</v>
      </c>
      <c r="J44">
        <v>7601</v>
      </c>
      <c r="L44">
        <v>6802</v>
      </c>
      <c r="M44">
        <v>1327</v>
      </c>
      <c r="N44">
        <v>1877</v>
      </c>
      <c r="O44">
        <v>997</v>
      </c>
      <c r="P44">
        <v>4362</v>
      </c>
      <c r="R44">
        <v>3826</v>
      </c>
      <c r="S44">
        <v>2391</v>
      </c>
      <c r="T44">
        <v>124423</v>
      </c>
      <c r="U44">
        <v>366051</v>
      </c>
    </row>
    <row r="45" spans="1:21" ht="15.75" x14ac:dyDescent="0.25">
      <c r="A45" s="7">
        <v>1913</v>
      </c>
      <c r="B45">
        <v>16274</v>
      </c>
      <c r="C45">
        <v>18563</v>
      </c>
      <c r="D45">
        <v>1647</v>
      </c>
      <c r="E45">
        <v>21638</v>
      </c>
      <c r="F45">
        <v>2600</v>
      </c>
      <c r="G45">
        <v>454</v>
      </c>
      <c r="H45">
        <v>46701</v>
      </c>
      <c r="I45">
        <v>146038</v>
      </c>
      <c r="J45">
        <v>8178</v>
      </c>
      <c r="L45">
        <v>7519</v>
      </c>
      <c r="M45">
        <v>1150</v>
      </c>
      <c r="N45">
        <v>1888</v>
      </c>
      <c r="O45">
        <v>1053</v>
      </c>
      <c r="P45">
        <v>4754</v>
      </c>
      <c r="R45">
        <v>4301</v>
      </c>
      <c r="S45">
        <v>2525</v>
      </c>
      <c r="T45">
        <v>136005</v>
      </c>
      <c r="U45">
        <v>393044</v>
      </c>
    </row>
    <row r="46" spans="1:21" ht="15.75" x14ac:dyDescent="0.25">
      <c r="A46" s="7">
        <v>1914</v>
      </c>
      <c r="B46">
        <v>13328</v>
      </c>
      <c r="C46">
        <v>11074</v>
      </c>
      <c r="D46">
        <v>1121</v>
      </c>
      <c r="E46">
        <v>18663</v>
      </c>
      <c r="F46">
        <v>2665</v>
      </c>
      <c r="G46">
        <v>188</v>
      </c>
      <c r="H46">
        <v>32301</v>
      </c>
      <c r="I46">
        <v>135897</v>
      </c>
      <c r="J46">
        <v>7434</v>
      </c>
      <c r="L46">
        <v>7048</v>
      </c>
      <c r="M46">
        <v>1387</v>
      </c>
      <c r="N46">
        <v>2104</v>
      </c>
      <c r="O46">
        <v>921</v>
      </c>
      <c r="P46">
        <v>4722</v>
      </c>
      <c r="R46">
        <v>4052</v>
      </c>
      <c r="S46">
        <v>2300</v>
      </c>
      <c r="T46">
        <v>131873</v>
      </c>
      <c r="U46">
        <v>359088</v>
      </c>
    </row>
    <row r="47" spans="1:21" ht="15.75" x14ac:dyDescent="0.25">
      <c r="A47" s="7">
        <v>1915</v>
      </c>
      <c r="B47">
        <v>9525</v>
      </c>
      <c r="C47">
        <v>9394</v>
      </c>
      <c r="D47">
        <v>858</v>
      </c>
      <c r="E47">
        <v>16680</v>
      </c>
      <c r="F47">
        <v>2853</v>
      </c>
      <c r="G47">
        <v>29</v>
      </c>
      <c r="H47">
        <v>28175</v>
      </c>
      <c r="I47">
        <v>126339</v>
      </c>
      <c r="J47">
        <v>6490</v>
      </c>
      <c r="L47">
        <v>6696</v>
      </c>
      <c r="M47">
        <v>1346</v>
      </c>
      <c r="N47">
        <v>2306</v>
      </c>
      <c r="O47">
        <v>842</v>
      </c>
      <c r="P47">
        <v>4179</v>
      </c>
      <c r="R47">
        <v>4080</v>
      </c>
      <c r="S47">
        <v>2436</v>
      </c>
      <c r="T47">
        <v>133592</v>
      </c>
      <c r="U47">
        <v>372617</v>
      </c>
    </row>
    <row r="48" spans="1:21" ht="15.75" x14ac:dyDescent="0.25">
      <c r="A48" s="7">
        <v>1916</v>
      </c>
      <c r="B48">
        <v>2192</v>
      </c>
      <c r="C48">
        <v>12498</v>
      </c>
      <c r="D48">
        <v>786</v>
      </c>
      <c r="E48">
        <v>20867</v>
      </c>
      <c r="F48">
        <v>2788</v>
      </c>
      <c r="G48">
        <v>49</v>
      </c>
      <c r="H48">
        <v>29937</v>
      </c>
      <c r="I48">
        <v>136653</v>
      </c>
      <c r="J48">
        <v>6417</v>
      </c>
      <c r="L48">
        <v>6113</v>
      </c>
      <c r="M48">
        <v>1375</v>
      </c>
      <c r="N48">
        <v>2155</v>
      </c>
      <c r="O48">
        <v>816</v>
      </c>
      <c r="P48">
        <v>4876</v>
      </c>
      <c r="R48">
        <v>4301</v>
      </c>
      <c r="S48">
        <v>2315</v>
      </c>
      <c r="T48">
        <v>138393</v>
      </c>
      <c r="U48">
        <v>413826</v>
      </c>
    </row>
    <row r="49" spans="1:22" ht="15.75" x14ac:dyDescent="0.25">
      <c r="A49" s="7">
        <v>1917</v>
      </c>
      <c r="B49">
        <v>942</v>
      </c>
      <c r="C49">
        <v>9893</v>
      </c>
      <c r="D49">
        <v>682</v>
      </c>
      <c r="E49">
        <v>23265</v>
      </c>
      <c r="F49">
        <v>2029</v>
      </c>
      <c r="G49">
        <v>33</v>
      </c>
      <c r="H49">
        <v>33189</v>
      </c>
      <c r="I49">
        <v>143171</v>
      </c>
      <c r="J49">
        <v>4400</v>
      </c>
      <c r="L49">
        <v>2362</v>
      </c>
      <c r="M49">
        <v>1260</v>
      </c>
      <c r="N49">
        <v>954</v>
      </c>
      <c r="O49">
        <v>452</v>
      </c>
      <c r="P49">
        <v>4326</v>
      </c>
      <c r="R49">
        <v>1846</v>
      </c>
      <c r="S49">
        <v>1667</v>
      </c>
      <c r="T49">
        <v>136782</v>
      </c>
      <c r="U49">
        <v>455368</v>
      </c>
    </row>
    <row r="50" spans="1:22" ht="15.75" x14ac:dyDescent="0.25">
      <c r="A50" s="7">
        <v>1918</v>
      </c>
      <c r="B50">
        <v>911</v>
      </c>
      <c r="C50">
        <v>9204</v>
      </c>
      <c r="D50">
        <v>634</v>
      </c>
      <c r="E50">
        <v>24432</v>
      </c>
      <c r="F50">
        <v>2368</v>
      </c>
      <c r="G50">
        <v>20</v>
      </c>
      <c r="H50">
        <v>29599</v>
      </c>
      <c r="I50">
        <v>137397</v>
      </c>
      <c r="J50">
        <v>5180</v>
      </c>
      <c r="L50">
        <v>3965</v>
      </c>
      <c r="M50">
        <v>1240</v>
      </c>
      <c r="N50">
        <v>1215</v>
      </c>
      <c r="O50">
        <v>299</v>
      </c>
      <c r="P50">
        <v>4567</v>
      </c>
      <c r="R50">
        <v>2184</v>
      </c>
      <c r="S50">
        <v>1568</v>
      </c>
      <c r="T50">
        <v>127415</v>
      </c>
      <c r="U50">
        <v>476415</v>
      </c>
    </row>
    <row r="51" spans="1:22" ht="15.75" x14ac:dyDescent="0.25">
      <c r="A51" s="7">
        <v>1919</v>
      </c>
      <c r="B51">
        <v>823</v>
      </c>
      <c r="C51">
        <v>12246</v>
      </c>
      <c r="D51">
        <v>838</v>
      </c>
      <c r="E51">
        <v>20767</v>
      </c>
      <c r="F51">
        <v>2248</v>
      </c>
      <c r="G51">
        <v>65</v>
      </c>
      <c r="H51">
        <v>31698</v>
      </c>
      <c r="I51">
        <v>105739</v>
      </c>
      <c r="J51">
        <v>5079</v>
      </c>
      <c r="L51">
        <v>5999</v>
      </c>
      <c r="M51">
        <v>1127</v>
      </c>
      <c r="N51">
        <v>1444</v>
      </c>
      <c r="O51">
        <v>589</v>
      </c>
      <c r="P51">
        <v>4347</v>
      </c>
      <c r="R51">
        <v>2096</v>
      </c>
      <c r="S51">
        <v>1257</v>
      </c>
      <c r="T51">
        <v>124490</v>
      </c>
      <c r="U51">
        <v>403098</v>
      </c>
    </row>
    <row r="52" spans="1:22" ht="15.75" x14ac:dyDescent="0.25">
      <c r="A52" s="7">
        <v>1920</v>
      </c>
      <c r="B52">
        <v>3965</v>
      </c>
      <c r="C52">
        <v>15053</v>
      </c>
      <c r="D52">
        <v>995</v>
      </c>
      <c r="E52">
        <v>23029</v>
      </c>
      <c r="F52">
        <v>1963</v>
      </c>
      <c r="G52">
        <v>75</v>
      </c>
      <c r="H52">
        <v>41424</v>
      </c>
      <c r="I52">
        <v>117142</v>
      </c>
      <c r="J52">
        <v>4877</v>
      </c>
      <c r="L52">
        <v>6051</v>
      </c>
      <c r="M52">
        <v>971</v>
      </c>
      <c r="N52">
        <v>1447</v>
      </c>
      <c r="O52">
        <v>574</v>
      </c>
      <c r="P52">
        <v>3836</v>
      </c>
      <c r="R52">
        <v>2839</v>
      </c>
      <c r="S52">
        <v>1974</v>
      </c>
      <c r="T52">
        <v>128279</v>
      </c>
      <c r="U52">
        <v>473769</v>
      </c>
    </row>
    <row r="53" spans="1:22" ht="15.75" x14ac:dyDescent="0.25">
      <c r="A53" s="7">
        <v>1921</v>
      </c>
      <c r="B53">
        <v>5278</v>
      </c>
      <c r="C53">
        <v>13792</v>
      </c>
      <c r="D53">
        <v>789</v>
      </c>
      <c r="E53">
        <v>21966</v>
      </c>
      <c r="F53">
        <v>1854</v>
      </c>
      <c r="G53">
        <v>77</v>
      </c>
      <c r="H53">
        <v>37639</v>
      </c>
      <c r="I53">
        <v>129143</v>
      </c>
      <c r="J53">
        <v>5972</v>
      </c>
      <c r="L53">
        <v>6341</v>
      </c>
      <c r="M53">
        <v>955</v>
      </c>
      <c r="N53">
        <v>921</v>
      </c>
      <c r="O53">
        <v>586</v>
      </c>
      <c r="P53">
        <v>4052</v>
      </c>
      <c r="R53">
        <v>1641</v>
      </c>
      <c r="S53">
        <v>1219</v>
      </c>
      <c r="T53">
        <v>87283</v>
      </c>
      <c r="U53">
        <v>388093</v>
      </c>
    </row>
    <row r="54" spans="1:22" ht="15.75" x14ac:dyDescent="0.25">
      <c r="A54" s="7">
        <v>1922</v>
      </c>
      <c r="B54">
        <v>5073</v>
      </c>
      <c r="C54">
        <v>15259</v>
      </c>
      <c r="D54">
        <v>1032</v>
      </c>
      <c r="E54">
        <v>18889</v>
      </c>
      <c r="F54">
        <v>2634</v>
      </c>
      <c r="G54">
        <v>194</v>
      </c>
      <c r="H54">
        <v>44528</v>
      </c>
      <c r="I54">
        <v>124307</v>
      </c>
      <c r="J54">
        <v>7014</v>
      </c>
      <c r="L54">
        <v>7443</v>
      </c>
      <c r="M54">
        <v>972</v>
      </c>
      <c r="N54">
        <v>1769</v>
      </c>
      <c r="O54">
        <v>808</v>
      </c>
      <c r="P54">
        <v>4078</v>
      </c>
      <c r="R54">
        <v>2714</v>
      </c>
      <c r="S54">
        <v>1679</v>
      </c>
      <c r="T54">
        <v>116873</v>
      </c>
      <c r="U54">
        <v>391192</v>
      </c>
    </row>
    <row r="55" spans="1:22" ht="15.75" x14ac:dyDescent="0.25">
      <c r="A55" s="7">
        <v>1923</v>
      </c>
      <c r="B55">
        <v>4852</v>
      </c>
      <c r="C55">
        <v>19619</v>
      </c>
      <c r="D55">
        <v>1260</v>
      </c>
      <c r="E55">
        <v>25377</v>
      </c>
      <c r="F55">
        <v>2873</v>
      </c>
      <c r="G55">
        <v>403</v>
      </c>
      <c r="H55">
        <v>50270</v>
      </c>
      <c r="I55">
        <v>90592</v>
      </c>
      <c r="J55">
        <v>7321</v>
      </c>
      <c r="L55">
        <v>7423</v>
      </c>
      <c r="M55">
        <v>1047</v>
      </c>
      <c r="N55">
        <v>1854</v>
      </c>
      <c r="O55">
        <v>731</v>
      </c>
      <c r="P55">
        <v>4698</v>
      </c>
      <c r="R55">
        <v>3302</v>
      </c>
      <c r="S55">
        <v>2092</v>
      </c>
      <c r="T55">
        <v>124152</v>
      </c>
      <c r="U55">
        <v>516924</v>
      </c>
    </row>
    <row r="56" spans="1:22" ht="15.75" x14ac:dyDescent="0.25">
      <c r="A56" s="7">
        <v>1924</v>
      </c>
      <c r="B56">
        <v>5484</v>
      </c>
      <c r="C56">
        <v>20812</v>
      </c>
      <c r="D56">
        <v>1393</v>
      </c>
      <c r="E56">
        <v>21120</v>
      </c>
      <c r="F56">
        <v>3368</v>
      </c>
      <c r="G56">
        <v>476</v>
      </c>
      <c r="H56">
        <v>56396</v>
      </c>
      <c r="I56">
        <v>123306</v>
      </c>
      <c r="J56">
        <v>8783</v>
      </c>
      <c r="L56">
        <v>8350</v>
      </c>
      <c r="M56">
        <v>1089</v>
      </c>
      <c r="N56">
        <v>2109</v>
      </c>
      <c r="O56">
        <v>827</v>
      </c>
      <c r="P56">
        <v>5019</v>
      </c>
      <c r="R56">
        <v>3941</v>
      </c>
      <c r="S56">
        <v>1974</v>
      </c>
      <c r="T56">
        <v>129908</v>
      </c>
      <c r="U56">
        <v>462771</v>
      </c>
    </row>
    <row r="57" spans="1:22" ht="15.75" x14ac:dyDescent="0.25">
      <c r="A57" s="7">
        <v>1925</v>
      </c>
      <c r="B57">
        <v>5183</v>
      </c>
      <c r="C57">
        <v>21299</v>
      </c>
      <c r="D57">
        <v>1467</v>
      </c>
      <c r="E57">
        <v>20537</v>
      </c>
      <c r="F57">
        <v>2926</v>
      </c>
      <c r="G57">
        <v>467</v>
      </c>
      <c r="H57">
        <v>58359</v>
      </c>
      <c r="I57">
        <v>125018</v>
      </c>
      <c r="J57">
        <v>8452</v>
      </c>
      <c r="L57">
        <v>9168</v>
      </c>
      <c r="M57">
        <v>1116</v>
      </c>
      <c r="N57">
        <v>2073</v>
      </c>
      <c r="O57">
        <v>852</v>
      </c>
      <c r="P57">
        <v>5200</v>
      </c>
      <c r="R57">
        <v>3520</v>
      </c>
      <c r="S57">
        <v>2057</v>
      </c>
      <c r="T57">
        <v>122723</v>
      </c>
      <c r="U57">
        <v>475136</v>
      </c>
    </row>
    <row r="58" spans="1:22" ht="15.75" x14ac:dyDescent="0.25">
      <c r="A58" s="7">
        <v>1926</v>
      </c>
      <c r="B58">
        <v>5082</v>
      </c>
      <c r="C58">
        <v>21202</v>
      </c>
      <c r="D58">
        <v>1495</v>
      </c>
      <c r="E58">
        <v>23132</v>
      </c>
      <c r="F58">
        <v>2857</v>
      </c>
      <c r="G58">
        <v>436</v>
      </c>
      <c r="H58">
        <v>58333</v>
      </c>
      <c r="I58">
        <v>112783</v>
      </c>
      <c r="J58">
        <v>9782</v>
      </c>
      <c r="L58">
        <v>9369</v>
      </c>
      <c r="M58">
        <v>1166</v>
      </c>
      <c r="N58">
        <v>1736</v>
      </c>
      <c r="O58">
        <v>856</v>
      </c>
      <c r="P58">
        <v>5016</v>
      </c>
      <c r="R58">
        <v>3421</v>
      </c>
      <c r="S58">
        <v>2035</v>
      </c>
      <c r="T58">
        <v>67241</v>
      </c>
      <c r="U58">
        <v>515430</v>
      </c>
    </row>
    <row r="59" spans="1:22" ht="15.75" x14ac:dyDescent="0.25">
      <c r="A59" s="7">
        <v>1927</v>
      </c>
      <c r="B59">
        <v>5492</v>
      </c>
      <c r="C59">
        <v>24693</v>
      </c>
      <c r="D59">
        <v>1658</v>
      </c>
      <c r="E59">
        <v>25109</v>
      </c>
      <c r="F59">
        <v>3637</v>
      </c>
      <c r="G59">
        <v>778</v>
      </c>
      <c r="H59">
        <v>58144</v>
      </c>
      <c r="I59">
        <v>131289</v>
      </c>
      <c r="J59">
        <v>11022</v>
      </c>
      <c r="L59">
        <v>10362</v>
      </c>
      <c r="M59">
        <v>1227</v>
      </c>
      <c r="N59">
        <v>2329</v>
      </c>
      <c r="O59">
        <v>991</v>
      </c>
      <c r="P59">
        <v>5853</v>
      </c>
      <c r="R59">
        <v>4811</v>
      </c>
      <c r="S59">
        <v>2346</v>
      </c>
      <c r="T59">
        <v>127384</v>
      </c>
      <c r="U59">
        <v>503504</v>
      </c>
    </row>
    <row r="60" spans="1:22" ht="15.75" x14ac:dyDescent="0.25">
      <c r="A60" s="7">
        <v>1928</v>
      </c>
      <c r="B60">
        <v>5784</v>
      </c>
      <c r="C60">
        <v>24088</v>
      </c>
      <c r="D60">
        <v>1618</v>
      </c>
      <c r="E60">
        <v>25596</v>
      </c>
      <c r="F60">
        <v>3428</v>
      </c>
      <c r="G60">
        <v>854</v>
      </c>
      <c r="H60">
        <v>57761</v>
      </c>
      <c r="I60">
        <v>137797</v>
      </c>
      <c r="J60">
        <v>10415</v>
      </c>
      <c r="L60">
        <v>10373</v>
      </c>
      <c r="M60">
        <v>1287</v>
      </c>
      <c r="N60">
        <v>2307</v>
      </c>
      <c r="O60">
        <v>1090</v>
      </c>
      <c r="P60">
        <v>5872</v>
      </c>
      <c r="R60">
        <v>4434</v>
      </c>
      <c r="S60">
        <v>2447</v>
      </c>
      <c r="T60">
        <v>119448</v>
      </c>
      <c r="U60">
        <v>498850</v>
      </c>
    </row>
    <row r="61" spans="1:22" ht="15.75" x14ac:dyDescent="0.25">
      <c r="A61" s="7">
        <v>1929</v>
      </c>
      <c r="B61">
        <v>6598</v>
      </c>
      <c r="C61">
        <v>26465</v>
      </c>
      <c r="D61">
        <v>1732</v>
      </c>
      <c r="E61">
        <v>27030</v>
      </c>
      <c r="F61">
        <v>4129</v>
      </c>
      <c r="G61">
        <v>915</v>
      </c>
      <c r="H61">
        <v>63948</v>
      </c>
      <c r="I61">
        <v>147099</v>
      </c>
      <c r="J61">
        <v>12020</v>
      </c>
      <c r="L61">
        <v>11263</v>
      </c>
      <c r="M61">
        <v>1336</v>
      </c>
      <c r="N61">
        <v>2598</v>
      </c>
      <c r="O61">
        <v>1083</v>
      </c>
      <c r="P61">
        <v>6544</v>
      </c>
      <c r="R61">
        <v>5287</v>
      </c>
      <c r="S61">
        <v>2802</v>
      </c>
      <c r="T61">
        <v>125735</v>
      </c>
      <c r="U61">
        <v>535027</v>
      </c>
    </row>
    <row r="62" spans="1:22" ht="15.75" x14ac:dyDescent="0.25">
      <c r="A62" s="7">
        <v>1930</v>
      </c>
      <c r="B62">
        <v>5149</v>
      </c>
      <c r="C62">
        <v>25569</v>
      </c>
      <c r="D62">
        <v>1505</v>
      </c>
      <c r="E62">
        <v>25752</v>
      </c>
      <c r="F62">
        <v>3769</v>
      </c>
      <c r="G62">
        <v>723</v>
      </c>
      <c r="H62">
        <v>64862</v>
      </c>
      <c r="I62">
        <v>126019</v>
      </c>
      <c r="J62">
        <v>10798</v>
      </c>
      <c r="L62">
        <v>11130</v>
      </c>
      <c r="M62">
        <v>1328</v>
      </c>
      <c r="N62">
        <v>2382</v>
      </c>
      <c r="O62">
        <v>1180</v>
      </c>
      <c r="P62">
        <v>6453</v>
      </c>
      <c r="R62">
        <v>5167</v>
      </c>
      <c r="S62">
        <v>2609</v>
      </c>
      <c r="T62">
        <v>120386</v>
      </c>
      <c r="U62">
        <v>475494</v>
      </c>
    </row>
    <row r="63" spans="1:22" ht="15.75" x14ac:dyDescent="0.25">
      <c r="A63" s="7">
        <v>1931</v>
      </c>
      <c r="B63">
        <v>4941</v>
      </c>
      <c r="C63">
        <v>22962</v>
      </c>
      <c r="D63">
        <v>1138</v>
      </c>
      <c r="E63">
        <v>20703</v>
      </c>
      <c r="F63">
        <v>3909</v>
      </c>
      <c r="G63">
        <v>822</v>
      </c>
      <c r="H63">
        <v>59365</v>
      </c>
      <c r="I63">
        <v>105239</v>
      </c>
      <c r="J63">
        <v>9330</v>
      </c>
      <c r="L63">
        <v>12270</v>
      </c>
      <c r="M63">
        <v>1157</v>
      </c>
      <c r="N63">
        <v>2207</v>
      </c>
      <c r="O63">
        <v>1070</v>
      </c>
      <c r="P63">
        <v>6151</v>
      </c>
      <c r="R63">
        <v>5170</v>
      </c>
      <c r="S63">
        <v>2756</v>
      </c>
      <c r="T63">
        <v>112510</v>
      </c>
      <c r="U63">
        <v>404771</v>
      </c>
    </row>
    <row r="64" spans="1:22" ht="15.75" x14ac:dyDescent="0.25">
      <c r="A64" s="7">
        <v>1932</v>
      </c>
      <c r="B64">
        <v>4141</v>
      </c>
      <c r="C64">
        <v>18483</v>
      </c>
      <c r="D64">
        <v>1138</v>
      </c>
      <c r="E64">
        <v>19162</v>
      </c>
      <c r="F64">
        <v>3665</v>
      </c>
      <c r="G64">
        <v>825</v>
      </c>
      <c r="H64">
        <v>52346</v>
      </c>
      <c r="I64">
        <v>94792</v>
      </c>
      <c r="J64">
        <v>7663</v>
      </c>
      <c r="L64">
        <v>11304</v>
      </c>
      <c r="M64">
        <v>966</v>
      </c>
      <c r="N64">
        <v>2359</v>
      </c>
      <c r="O64">
        <v>925</v>
      </c>
      <c r="P64">
        <v>5781</v>
      </c>
      <c r="R64">
        <v>5114</v>
      </c>
      <c r="S64">
        <v>2791</v>
      </c>
      <c r="T64">
        <v>108056</v>
      </c>
      <c r="U64">
        <v>342904</v>
      </c>
      <c r="V64">
        <v>21</v>
      </c>
    </row>
    <row r="65" spans="1:22" ht="15.75" x14ac:dyDescent="0.25">
      <c r="A65" s="7">
        <v>1933</v>
      </c>
      <c r="B65">
        <v>3884</v>
      </c>
      <c r="C65">
        <v>19832</v>
      </c>
      <c r="D65">
        <v>1289</v>
      </c>
      <c r="E65">
        <v>18964</v>
      </c>
      <c r="F65">
        <v>3650</v>
      </c>
      <c r="G65">
        <v>880</v>
      </c>
      <c r="H65">
        <v>54423</v>
      </c>
      <c r="I65">
        <v>99578</v>
      </c>
      <c r="J65">
        <v>8321</v>
      </c>
      <c r="L65">
        <v>10527</v>
      </c>
      <c r="M65">
        <v>968</v>
      </c>
      <c r="N65">
        <v>2505</v>
      </c>
      <c r="O65">
        <v>1091</v>
      </c>
      <c r="P65">
        <v>5107</v>
      </c>
      <c r="R65">
        <v>5327</v>
      </c>
      <c r="S65">
        <v>2611</v>
      </c>
      <c r="T65">
        <v>107034</v>
      </c>
      <c r="U65">
        <v>367681</v>
      </c>
      <c r="V65">
        <v>18</v>
      </c>
    </row>
    <row r="66" spans="1:22" ht="15.75" x14ac:dyDescent="0.25">
      <c r="A66" s="7">
        <v>1934</v>
      </c>
      <c r="B66">
        <v>3754</v>
      </c>
      <c r="C66">
        <v>20460</v>
      </c>
      <c r="D66">
        <v>1262</v>
      </c>
      <c r="E66">
        <v>21811</v>
      </c>
      <c r="F66">
        <v>3997</v>
      </c>
      <c r="G66">
        <v>1079</v>
      </c>
      <c r="H66">
        <v>54959</v>
      </c>
      <c r="I66">
        <v>111530</v>
      </c>
      <c r="J66">
        <v>10829</v>
      </c>
      <c r="L66">
        <v>10543</v>
      </c>
      <c r="M66">
        <v>1087</v>
      </c>
      <c r="N66">
        <v>2589</v>
      </c>
      <c r="O66">
        <v>1118</v>
      </c>
      <c r="P66">
        <v>5527</v>
      </c>
      <c r="R66">
        <v>5932</v>
      </c>
      <c r="S66">
        <v>2608</v>
      </c>
      <c r="T66">
        <v>115509</v>
      </c>
      <c r="U66">
        <v>391482</v>
      </c>
      <c r="V66">
        <v>14</v>
      </c>
    </row>
    <row r="67" spans="1:22" ht="15.75" x14ac:dyDescent="0.25">
      <c r="A67" s="7">
        <v>1935</v>
      </c>
      <c r="B67">
        <v>3800</v>
      </c>
      <c r="C67">
        <v>19555</v>
      </c>
      <c r="D67">
        <v>1504</v>
      </c>
      <c r="E67">
        <v>21506</v>
      </c>
      <c r="F67">
        <v>4163</v>
      </c>
      <c r="G67">
        <v>960</v>
      </c>
      <c r="H67">
        <v>53327</v>
      </c>
      <c r="I67">
        <v>123463</v>
      </c>
      <c r="J67">
        <v>12389</v>
      </c>
      <c r="L67">
        <v>10171</v>
      </c>
      <c r="M67">
        <v>1133</v>
      </c>
      <c r="N67">
        <v>2670</v>
      </c>
      <c r="O67">
        <v>1195</v>
      </c>
      <c r="P67">
        <v>6130</v>
      </c>
      <c r="R67">
        <v>6241</v>
      </c>
      <c r="S67">
        <v>2586</v>
      </c>
      <c r="T67">
        <v>117121</v>
      </c>
      <c r="U67">
        <v>406731</v>
      </c>
      <c r="V67">
        <v>14</v>
      </c>
    </row>
    <row r="68" spans="1:22" ht="15.75" x14ac:dyDescent="0.25">
      <c r="A68" s="7">
        <v>1936</v>
      </c>
      <c r="B68">
        <v>3710</v>
      </c>
      <c r="C68">
        <v>20473</v>
      </c>
      <c r="D68">
        <v>1405</v>
      </c>
      <c r="E68">
        <v>23517</v>
      </c>
      <c r="F68">
        <v>4307</v>
      </c>
      <c r="G68">
        <v>1355</v>
      </c>
      <c r="H68">
        <v>54066</v>
      </c>
      <c r="I68">
        <v>136376</v>
      </c>
      <c r="J68">
        <v>8735</v>
      </c>
      <c r="L68">
        <v>10888</v>
      </c>
      <c r="M68">
        <v>1140</v>
      </c>
      <c r="N68">
        <v>2850</v>
      </c>
      <c r="O68">
        <v>1127</v>
      </c>
      <c r="P68">
        <v>2199</v>
      </c>
      <c r="R68">
        <v>6837</v>
      </c>
      <c r="S68">
        <v>2708</v>
      </c>
      <c r="T68">
        <v>123860</v>
      </c>
      <c r="U68">
        <v>466893</v>
      </c>
      <c r="V68">
        <v>15</v>
      </c>
    </row>
    <row r="69" spans="1:22" ht="15.75" x14ac:dyDescent="0.25">
      <c r="A69" s="7">
        <v>1937</v>
      </c>
      <c r="B69">
        <v>4165</v>
      </c>
      <c r="C69">
        <v>24648</v>
      </c>
      <c r="D69">
        <v>1662</v>
      </c>
      <c r="E69">
        <v>25515</v>
      </c>
      <c r="F69">
        <v>4448</v>
      </c>
      <c r="G69">
        <v>1851</v>
      </c>
      <c r="H69">
        <v>59422</v>
      </c>
      <c r="I69">
        <v>153811</v>
      </c>
      <c r="J69">
        <v>12334</v>
      </c>
      <c r="L69">
        <v>12009</v>
      </c>
      <c r="M69">
        <v>1196</v>
      </c>
      <c r="N69">
        <v>3210</v>
      </c>
      <c r="O69">
        <v>1346</v>
      </c>
      <c r="P69">
        <v>1432</v>
      </c>
      <c r="R69">
        <v>7900</v>
      </c>
      <c r="S69">
        <v>2856</v>
      </c>
      <c r="T69">
        <v>127773</v>
      </c>
      <c r="U69">
        <v>488418</v>
      </c>
      <c r="V69">
        <v>20</v>
      </c>
    </row>
    <row r="70" spans="1:22" ht="15.75" x14ac:dyDescent="0.25">
      <c r="A70" s="7">
        <v>1938</v>
      </c>
      <c r="B70">
        <v>1580</v>
      </c>
      <c r="C70">
        <v>21597</v>
      </c>
      <c r="D70">
        <v>1664</v>
      </c>
      <c r="E70">
        <v>23348</v>
      </c>
      <c r="F70">
        <v>3994</v>
      </c>
      <c r="G70">
        <v>1555</v>
      </c>
      <c r="H70">
        <v>55076</v>
      </c>
      <c r="I70">
        <v>164120</v>
      </c>
      <c r="J70">
        <v>12281</v>
      </c>
      <c r="L70">
        <v>11820</v>
      </c>
      <c r="M70">
        <v>1159</v>
      </c>
      <c r="N70">
        <v>2860</v>
      </c>
      <c r="O70">
        <v>1124</v>
      </c>
      <c r="P70">
        <v>3609</v>
      </c>
      <c r="R70">
        <v>7134</v>
      </c>
      <c r="S70">
        <v>2855</v>
      </c>
      <c r="T70">
        <v>122536</v>
      </c>
      <c r="U70">
        <v>413051</v>
      </c>
      <c r="V70">
        <v>21</v>
      </c>
    </row>
    <row r="71" spans="1:22" ht="15.75" x14ac:dyDescent="0.25">
      <c r="A71" s="7">
        <v>1939</v>
      </c>
      <c r="B71">
        <v>1730</v>
      </c>
      <c r="C71">
        <v>20120</v>
      </c>
      <c r="D71">
        <v>1624</v>
      </c>
      <c r="E71">
        <v>25930</v>
      </c>
      <c r="F71">
        <v>4450</v>
      </c>
      <c r="G71">
        <v>1330</v>
      </c>
      <c r="H71">
        <v>53116</v>
      </c>
      <c r="I71">
        <v>177042</v>
      </c>
      <c r="J71">
        <v>12593</v>
      </c>
      <c r="L71">
        <v>11109</v>
      </c>
      <c r="M71">
        <v>1218</v>
      </c>
      <c r="N71">
        <v>3416</v>
      </c>
      <c r="O71">
        <v>1297</v>
      </c>
      <c r="P71">
        <v>4290</v>
      </c>
      <c r="R71">
        <v>7998</v>
      </c>
      <c r="S71">
        <v>3237</v>
      </c>
      <c r="T71">
        <v>123487</v>
      </c>
      <c r="U71">
        <v>455203</v>
      </c>
      <c r="V71">
        <v>24</v>
      </c>
    </row>
    <row r="72" spans="1:22" ht="15.75" x14ac:dyDescent="0.25">
      <c r="A72" s="7">
        <v>1940</v>
      </c>
      <c r="B72">
        <v>2005</v>
      </c>
      <c r="C72">
        <v>16950</v>
      </c>
      <c r="D72">
        <v>1771</v>
      </c>
      <c r="E72">
        <v>29647</v>
      </c>
      <c r="F72">
        <v>4046</v>
      </c>
      <c r="G72">
        <v>632</v>
      </c>
      <c r="H72">
        <v>37592</v>
      </c>
      <c r="I72">
        <v>178594</v>
      </c>
      <c r="J72">
        <v>13387</v>
      </c>
      <c r="L72">
        <v>9126</v>
      </c>
      <c r="M72">
        <v>1299</v>
      </c>
      <c r="N72">
        <v>1777</v>
      </c>
      <c r="O72">
        <v>1064</v>
      </c>
      <c r="P72">
        <v>5902</v>
      </c>
      <c r="R72">
        <v>5043</v>
      </c>
      <c r="S72">
        <v>2269</v>
      </c>
      <c r="T72">
        <v>129679</v>
      </c>
      <c r="U72">
        <v>510778</v>
      </c>
      <c r="V72">
        <v>23</v>
      </c>
    </row>
    <row r="73" spans="1:22" ht="15.75" x14ac:dyDescent="0.25">
      <c r="A73" s="7">
        <v>1941</v>
      </c>
      <c r="B73">
        <v>2177</v>
      </c>
      <c r="C73">
        <v>17791</v>
      </c>
      <c r="D73">
        <v>1715</v>
      </c>
      <c r="E73">
        <v>32794</v>
      </c>
      <c r="F73">
        <v>4749</v>
      </c>
      <c r="G73">
        <v>886</v>
      </c>
      <c r="H73">
        <v>32730</v>
      </c>
      <c r="I73">
        <v>180360</v>
      </c>
      <c r="J73">
        <v>11710</v>
      </c>
      <c r="L73">
        <v>10133</v>
      </c>
      <c r="M73">
        <v>1365</v>
      </c>
      <c r="N73">
        <v>1314</v>
      </c>
      <c r="O73">
        <v>1032</v>
      </c>
      <c r="P73">
        <v>5872</v>
      </c>
      <c r="R73">
        <v>4106</v>
      </c>
      <c r="S73">
        <v>1809</v>
      </c>
      <c r="T73">
        <v>128188</v>
      </c>
      <c r="U73">
        <v>556554</v>
      </c>
      <c r="V73">
        <v>24</v>
      </c>
    </row>
    <row r="74" spans="1:22" ht="15.75" x14ac:dyDescent="0.25">
      <c r="A74" s="7">
        <v>1942</v>
      </c>
      <c r="B74">
        <v>2333</v>
      </c>
      <c r="C74">
        <v>16670</v>
      </c>
      <c r="D74">
        <v>1602</v>
      </c>
      <c r="E74">
        <v>35776</v>
      </c>
      <c r="F74">
        <v>4496</v>
      </c>
      <c r="G74">
        <v>767</v>
      </c>
      <c r="H74">
        <v>33435</v>
      </c>
      <c r="I74">
        <v>182295</v>
      </c>
      <c r="J74">
        <v>11435</v>
      </c>
      <c r="L74">
        <v>9442</v>
      </c>
      <c r="M74">
        <v>1391</v>
      </c>
      <c r="N74">
        <v>1263</v>
      </c>
      <c r="O74">
        <v>826</v>
      </c>
      <c r="P74">
        <v>6295</v>
      </c>
      <c r="R74">
        <v>3555</v>
      </c>
      <c r="S74">
        <v>1594</v>
      </c>
      <c r="T74">
        <v>127983</v>
      </c>
      <c r="U74">
        <v>598771</v>
      </c>
      <c r="V74">
        <v>20</v>
      </c>
    </row>
    <row r="75" spans="1:22" ht="15.75" x14ac:dyDescent="0.25">
      <c r="A75" s="7">
        <v>1943</v>
      </c>
      <c r="B75">
        <v>2624</v>
      </c>
      <c r="C75">
        <v>15790</v>
      </c>
      <c r="D75">
        <v>1768</v>
      </c>
      <c r="E75">
        <v>37682</v>
      </c>
      <c r="F75">
        <v>5629</v>
      </c>
      <c r="G75">
        <v>1077</v>
      </c>
      <c r="H75">
        <v>34186</v>
      </c>
      <c r="I75">
        <v>185444</v>
      </c>
      <c r="J75">
        <v>1943</v>
      </c>
      <c r="L75">
        <v>9533</v>
      </c>
      <c r="M75">
        <v>1466</v>
      </c>
      <c r="N75">
        <v>1486</v>
      </c>
      <c r="O75">
        <v>803</v>
      </c>
      <c r="P75">
        <v>6511</v>
      </c>
      <c r="R75">
        <v>4323</v>
      </c>
      <c r="S75">
        <v>1685</v>
      </c>
      <c r="T75">
        <v>124140</v>
      </c>
      <c r="U75">
        <v>618773</v>
      </c>
      <c r="V75">
        <v>18</v>
      </c>
    </row>
    <row r="76" spans="1:22" ht="15.75" x14ac:dyDescent="0.25">
      <c r="A76" s="7">
        <v>1944</v>
      </c>
      <c r="B76">
        <v>2563</v>
      </c>
      <c r="C76">
        <v>9045</v>
      </c>
      <c r="D76">
        <v>1610</v>
      </c>
      <c r="E76">
        <v>38322</v>
      </c>
      <c r="F76">
        <v>5536</v>
      </c>
      <c r="G76">
        <v>744</v>
      </c>
      <c r="H76">
        <v>21832</v>
      </c>
      <c r="I76">
        <v>163830</v>
      </c>
      <c r="J76">
        <v>978</v>
      </c>
      <c r="L76">
        <v>6369</v>
      </c>
      <c r="M76">
        <v>1493</v>
      </c>
      <c r="N76">
        <v>1332</v>
      </c>
      <c r="O76">
        <v>886</v>
      </c>
      <c r="P76">
        <v>7041</v>
      </c>
      <c r="R76">
        <v>3397</v>
      </c>
      <c r="S76">
        <v>1215</v>
      </c>
      <c r="T76">
        <v>120645</v>
      </c>
      <c r="U76">
        <v>666042</v>
      </c>
      <c r="V76">
        <v>26</v>
      </c>
    </row>
    <row r="77" spans="1:22" ht="15.75" x14ac:dyDescent="0.25">
      <c r="A77" s="7">
        <v>1945</v>
      </c>
      <c r="B77">
        <v>1245</v>
      </c>
      <c r="C77">
        <v>10578</v>
      </c>
      <c r="D77">
        <v>1863</v>
      </c>
      <c r="E77">
        <v>35624</v>
      </c>
      <c r="F77">
        <v>3833</v>
      </c>
      <c r="G77">
        <v>175</v>
      </c>
      <c r="H77">
        <v>29250</v>
      </c>
      <c r="I77">
        <v>492</v>
      </c>
      <c r="J77">
        <v>1189</v>
      </c>
      <c r="L77">
        <v>3999</v>
      </c>
      <c r="M77">
        <v>1534</v>
      </c>
      <c r="N77">
        <v>1095</v>
      </c>
      <c r="O77">
        <v>911</v>
      </c>
      <c r="P77">
        <v>7717</v>
      </c>
      <c r="R77">
        <v>1243</v>
      </c>
      <c r="S77">
        <v>443</v>
      </c>
      <c r="T77">
        <v>113985</v>
      </c>
      <c r="U77">
        <v>642833</v>
      </c>
      <c r="V77">
        <v>30</v>
      </c>
    </row>
    <row r="78" spans="1:22" ht="15.75" x14ac:dyDescent="0.25">
      <c r="A78" s="7">
        <v>1946</v>
      </c>
      <c r="B78">
        <v>3483</v>
      </c>
      <c r="C78">
        <v>15398</v>
      </c>
      <c r="D78">
        <v>2037</v>
      </c>
      <c r="E78">
        <v>37781</v>
      </c>
      <c r="F78">
        <v>4816</v>
      </c>
      <c r="G78">
        <v>896</v>
      </c>
      <c r="H78">
        <v>45102</v>
      </c>
      <c r="I78">
        <v>353</v>
      </c>
      <c r="J78">
        <v>6052</v>
      </c>
      <c r="L78">
        <v>8489</v>
      </c>
      <c r="M78">
        <v>1510</v>
      </c>
      <c r="N78">
        <v>1931</v>
      </c>
      <c r="O78">
        <v>1062</v>
      </c>
      <c r="P78">
        <v>7668</v>
      </c>
      <c r="R78">
        <v>4744</v>
      </c>
      <c r="S78">
        <v>1574</v>
      </c>
      <c r="T78">
        <v>119038</v>
      </c>
      <c r="U78">
        <v>614911</v>
      </c>
      <c r="V78">
        <v>39</v>
      </c>
    </row>
    <row r="79" spans="1:22" ht="15.75" x14ac:dyDescent="0.25">
      <c r="A79" s="7">
        <v>1947</v>
      </c>
      <c r="B79">
        <v>4812</v>
      </c>
      <c r="C79">
        <v>22391</v>
      </c>
      <c r="D79">
        <v>2443</v>
      </c>
      <c r="E79">
        <v>39180</v>
      </c>
      <c r="F79">
        <v>5856</v>
      </c>
      <c r="G79">
        <v>1488</v>
      </c>
      <c r="H79">
        <v>50120</v>
      </c>
      <c r="J79">
        <v>10043</v>
      </c>
      <c r="L79">
        <v>12174</v>
      </c>
      <c r="M79">
        <v>1488</v>
      </c>
      <c r="N79">
        <v>2901</v>
      </c>
      <c r="O79">
        <v>1513</v>
      </c>
      <c r="P79">
        <v>8510</v>
      </c>
      <c r="R79">
        <v>6850</v>
      </c>
      <c r="S79">
        <v>2579</v>
      </c>
      <c r="T79">
        <v>125900</v>
      </c>
      <c r="U79">
        <v>677064</v>
      </c>
      <c r="V79">
        <v>40</v>
      </c>
    </row>
    <row r="80" spans="1:22" ht="15.75" x14ac:dyDescent="0.25">
      <c r="A80" s="7">
        <v>1948</v>
      </c>
      <c r="B80">
        <v>6684</v>
      </c>
      <c r="C80">
        <v>23218</v>
      </c>
      <c r="D80">
        <v>2143</v>
      </c>
      <c r="E80">
        <v>43263</v>
      </c>
      <c r="F80">
        <v>4660</v>
      </c>
      <c r="G80">
        <v>2309</v>
      </c>
      <c r="H80">
        <v>53636</v>
      </c>
      <c r="J80">
        <v>9700</v>
      </c>
      <c r="L80">
        <v>12900</v>
      </c>
      <c r="M80">
        <v>1502</v>
      </c>
      <c r="N80">
        <v>2998</v>
      </c>
      <c r="O80">
        <v>1434</v>
      </c>
      <c r="P80">
        <v>8931</v>
      </c>
      <c r="R80">
        <v>8408</v>
      </c>
      <c r="S80">
        <v>2788</v>
      </c>
      <c r="T80">
        <v>129803</v>
      </c>
      <c r="U80">
        <v>703344</v>
      </c>
      <c r="V80">
        <v>40</v>
      </c>
    </row>
    <row r="81" spans="1:22" ht="15.75" x14ac:dyDescent="0.25">
      <c r="A81" s="7">
        <v>1949</v>
      </c>
      <c r="B81">
        <v>7254</v>
      </c>
      <c r="C81">
        <v>22048</v>
      </c>
      <c r="D81">
        <v>2012</v>
      </c>
      <c r="E81">
        <v>39583</v>
      </c>
      <c r="F81">
        <v>4608</v>
      </c>
      <c r="G81">
        <v>1347</v>
      </c>
      <c r="H81">
        <v>62521</v>
      </c>
      <c r="J81">
        <v>10859</v>
      </c>
      <c r="L81">
        <v>13783</v>
      </c>
      <c r="M81">
        <v>1531</v>
      </c>
      <c r="N81">
        <v>2841</v>
      </c>
      <c r="O81">
        <v>1507</v>
      </c>
      <c r="P81">
        <v>9761</v>
      </c>
      <c r="R81">
        <v>7325</v>
      </c>
      <c r="S81">
        <v>2329</v>
      </c>
      <c r="T81">
        <v>132409</v>
      </c>
      <c r="U81">
        <v>589517</v>
      </c>
      <c r="V81">
        <v>40</v>
      </c>
    </row>
    <row r="82" spans="1:22" ht="15.75" x14ac:dyDescent="0.25">
      <c r="A82" s="7">
        <v>1950</v>
      </c>
      <c r="B82">
        <v>5704</v>
      </c>
      <c r="C82">
        <v>20801</v>
      </c>
      <c r="D82">
        <v>5367</v>
      </c>
      <c r="E82">
        <v>42070</v>
      </c>
      <c r="F82">
        <v>6002</v>
      </c>
      <c r="G82">
        <v>1787</v>
      </c>
      <c r="H82">
        <v>55215</v>
      </c>
      <c r="J82">
        <v>11313</v>
      </c>
      <c r="K82">
        <v>27991</v>
      </c>
      <c r="L82">
        <v>13998</v>
      </c>
      <c r="M82">
        <v>2339</v>
      </c>
      <c r="N82">
        <v>2302</v>
      </c>
      <c r="O82">
        <v>1534</v>
      </c>
      <c r="P82">
        <v>9019</v>
      </c>
      <c r="Q82">
        <v>444</v>
      </c>
      <c r="R82">
        <v>7823</v>
      </c>
      <c r="S82">
        <v>2794</v>
      </c>
      <c r="T82">
        <v>136583</v>
      </c>
      <c r="U82">
        <v>692124</v>
      </c>
      <c r="V82">
        <v>670</v>
      </c>
    </row>
    <row r="83" spans="1:22" ht="15.75" x14ac:dyDescent="0.25">
      <c r="A83" s="7">
        <v>1951</v>
      </c>
      <c r="B83">
        <v>6351</v>
      </c>
      <c r="C83">
        <v>24418</v>
      </c>
      <c r="D83">
        <v>5913</v>
      </c>
      <c r="E83">
        <v>44402</v>
      </c>
      <c r="F83">
        <v>5984</v>
      </c>
      <c r="G83">
        <v>2178</v>
      </c>
      <c r="H83">
        <v>62435</v>
      </c>
      <c r="J83">
        <v>13331</v>
      </c>
      <c r="K83">
        <v>33702</v>
      </c>
      <c r="L83">
        <v>15003</v>
      </c>
      <c r="M83">
        <v>2230</v>
      </c>
      <c r="N83">
        <v>2587</v>
      </c>
      <c r="O83">
        <v>1473</v>
      </c>
      <c r="P83">
        <v>9041</v>
      </c>
      <c r="Q83">
        <v>422</v>
      </c>
      <c r="R83">
        <v>9128</v>
      </c>
      <c r="S83">
        <v>3358</v>
      </c>
      <c r="T83">
        <v>148700</v>
      </c>
      <c r="U83">
        <v>712983</v>
      </c>
      <c r="V83">
        <v>716</v>
      </c>
    </row>
    <row r="84" spans="1:22" ht="15.75" x14ac:dyDescent="0.25">
      <c r="A84" s="7">
        <v>1952</v>
      </c>
      <c r="B84">
        <v>6025</v>
      </c>
      <c r="C84">
        <v>22784</v>
      </c>
      <c r="D84">
        <v>6807</v>
      </c>
      <c r="E84">
        <v>43510</v>
      </c>
      <c r="F84">
        <v>6251</v>
      </c>
      <c r="G84">
        <v>2363</v>
      </c>
      <c r="H84">
        <v>61960</v>
      </c>
      <c r="J84">
        <v>13823</v>
      </c>
      <c r="K84">
        <v>35599</v>
      </c>
      <c r="L84">
        <v>14934</v>
      </c>
      <c r="M84">
        <v>2544</v>
      </c>
      <c r="N84">
        <v>2644</v>
      </c>
      <c r="O84">
        <v>1461</v>
      </c>
      <c r="P84">
        <v>10266</v>
      </c>
      <c r="Q84">
        <v>529</v>
      </c>
      <c r="R84">
        <v>9424</v>
      </c>
      <c r="S84">
        <v>3065</v>
      </c>
      <c r="T84">
        <v>144221</v>
      </c>
      <c r="U84">
        <v>694618</v>
      </c>
      <c r="V84">
        <v>861</v>
      </c>
    </row>
    <row r="85" spans="1:22" ht="15.75" x14ac:dyDescent="0.25">
      <c r="A85" s="7">
        <v>1953</v>
      </c>
      <c r="B85">
        <v>5928</v>
      </c>
      <c r="C85">
        <v>22487</v>
      </c>
      <c r="D85">
        <v>6885</v>
      </c>
      <c r="E85">
        <v>43838</v>
      </c>
      <c r="F85">
        <v>6320</v>
      </c>
      <c r="G85">
        <v>2066</v>
      </c>
      <c r="H85">
        <v>58566</v>
      </c>
      <c r="J85">
        <v>15291</v>
      </c>
      <c r="K85">
        <v>39794</v>
      </c>
      <c r="L85">
        <v>15084</v>
      </c>
      <c r="M85">
        <v>2334</v>
      </c>
      <c r="N85">
        <v>2671</v>
      </c>
      <c r="O85">
        <v>1619</v>
      </c>
      <c r="P85">
        <v>10629</v>
      </c>
      <c r="Q85">
        <v>564</v>
      </c>
      <c r="R85">
        <v>8886</v>
      </c>
      <c r="S85">
        <v>2822</v>
      </c>
      <c r="T85">
        <v>147404</v>
      </c>
      <c r="U85">
        <v>711175</v>
      </c>
      <c r="V85">
        <v>957</v>
      </c>
    </row>
    <row r="86" spans="1:22" ht="15.75" x14ac:dyDescent="0.25">
      <c r="A86" s="7">
        <v>1954</v>
      </c>
      <c r="B86">
        <v>6690</v>
      </c>
      <c r="C86">
        <v>23404</v>
      </c>
      <c r="D86">
        <v>8102</v>
      </c>
      <c r="E86">
        <v>44482</v>
      </c>
      <c r="F86">
        <v>6982</v>
      </c>
      <c r="G86">
        <v>2499</v>
      </c>
      <c r="H86">
        <v>61788</v>
      </c>
      <c r="J86">
        <v>17733</v>
      </c>
      <c r="K86">
        <v>38913</v>
      </c>
      <c r="L86">
        <v>15938</v>
      </c>
      <c r="M86">
        <v>2475</v>
      </c>
      <c r="N86">
        <v>2698</v>
      </c>
      <c r="O86">
        <v>1581</v>
      </c>
      <c r="P86">
        <v>10846</v>
      </c>
      <c r="Q86">
        <v>487</v>
      </c>
      <c r="R86">
        <v>9417</v>
      </c>
      <c r="S86">
        <v>3439</v>
      </c>
      <c r="T86">
        <v>150849</v>
      </c>
      <c r="U86">
        <v>677689</v>
      </c>
      <c r="V86">
        <v>1020</v>
      </c>
    </row>
    <row r="87" spans="1:22" ht="15.75" x14ac:dyDescent="0.25">
      <c r="A87" s="7">
        <v>1955</v>
      </c>
      <c r="B87">
        <v>7936</v>
      </c>
      <c r="C87">
        <v>25119</v>
      </c>
      <c r="D87">
        <v>9289</v>
      </c>
      <c r="E87">
        <v>46258</v>
      </c>
      <c r="F87">
        <v>7388</v>
      </c>
      <c r="G87">
        <v>2983</v>
      </c>
      <c r="H87">
        <v>65236</v>
      </c>
      <c r="J87">
        <v>20008</v>
      </c>
      <c r="K87">
        <v>38733</v>
      </c>
      <c r="L87">
        <v>16646</v>
      </c>
      <c r="M87">
        <v>2564</v>
      </c>
      <c r="N87">
        <v>3116</v>
      </c>
      <c r="O87">
        <v>1764</v>
      </c>
      <c r="P87">
        <v>10996</v>
      </c>
      <c r="Q87">
        <v>454</v>
      </c>
      <c r="R87">
        <v>10673</v>
      </c>
      <c r="S87">
        <v>3718</v>
      </c>
      <c r="T87">
        <v>157381</v>
      </c>
      <c r="U87">
        <v>742828</v>
      </c>
      <c r="V87">
        <v>1070</v>
      </c>
    </row>
    <row r="88" spans="1:22" ht="15.75" x14ac:dyDescent="0.25">
      <c r="A88" s="7">
        <v>1956</v>
      </c>
      <c r="B88">
        <v>7700</v>
      </c>
      <c r="C88">
        <v>26419</v>
      </c>
      <c r="D88">
        <v>9995</v>
      </c>
      <c r="E88">
        <v>51807</v>
      </c>
      <c r="F88">
        <v>7199</v>
      </c>
      <c r="G88">
        <v>3322</v>
      </c>
      <c r="H88">
        <v>73293</v>
      </c>
      <c r="J88">
        <v>22795</v>
      </c>
      <c r="K88">
        <v>43856</v>
      </c>
      <c r="L88">
        <v>17763</v>
      </c>
      <c r="M88">
        <v>2641</v>
      </c>
      <c r="N88">
        <v>3263</v>
      </c>
      <c r="O88">
        <v>1956</v>
      </c>
      <c r="P88">
        <v>11559</v>
      </c>
      <c r="Q88">
        <v>387</v>
      </c>
      <c r="R88">
        <v>11841</v>
      </c>
      <c r="S88">
        <v>4658</v>
      </c>
      <c r="T88">
        <v>156662</v>
      </c>
      <c r="U88">
        <v>778631</v>
      </c>
      <c r="V88">
        <v>1098</v>
      </c>
    </row>
    <row r="89" spans="1:22" ht="15.75" x14ac:dyDescent="0.25">
      <c r="A89" s="7">
        <v>1957</v>
      </c>
      <c r="B89">
        <v>7966</v>
      </c>
      <c r="C89">
        <v>26339</v>
      </c>
      <c r="D89">
        <v>9822</v>
      </c>
      <c r="E89">
        <v>49900</v>
      </c>
      <c r="F89">
        <v>6797</v>
      </c>
      <c r="G89">
        <v>3342</v>
      </c>
      <c r="H89">
        <v>75750</v>
      </c>
      <c r="J89">
        <v>23779</v>
      </c>
      <c r="K89">
        <v>51345</v>
      </c>
      <c r="L89">
        <v>17580</v>
      </c>
      <c r="M89">
        <v>2813</v>
      </c>
      <c r="N89">
        <v>3101</v>
      </c>
      <c r="O89">
        <v>2125</v>
      </c>
      <c r="P89">
        <v>13710</v>
      </c>
      <c r="Q89">
        <v>633</v>
      </c>
      <c r="R89">
        <v>10604</v>
      </c>
      <c r="S89">
        <v>4831</v>
      </c>
      <c r="T89">
        <v>155676</v>
      </c>
      <c r="U89">
        <v>772001</v>
      </c>
      <c r="V89">
        <v>1210</v>
      </c>
    </row>
    <row r="90" spans="1:22" ht="15.75" x14ac:dyDescent="0.25">
      <c r="A90" s="7">
        <v>1958</v>
      </c>
      <c r="B90">
        <v>7668</v>
      </c>
      <c r="C90">
        <v>23936</v>
      </c>
      <c r="D90">
        <v>10663</v>
      </c>
      <c r="E90">
        <v>49721</v>
      </c>
      <c r="F90">
        <v>7313</v>
      </c>
      <c r="G90">
        <v>2896</v>
      </c>
      <c r="H90">
        <v>72655</v>
      </c>
      <c r="J90">
        <v>23922</v>
      </c>
      <c r="K90">
        <v>49460</v>
      </c>
      <c r="L90">
        <v>18203</v>
      </c>
      <c r="M90">
        <v>2779</v>
      </c>
      <c r="N90">
        <v>3054</v>
      </c>
      <c r="O90">
        <v>2063</v>
      </c>
      <c r="P90">
        <v>15255</v>
      </c>
      <c r="Q90">
        <v>532</v>
      </c>
      <c r="R90">
        <v>11485</v>
      </c>
      <c r="S90">
        <v>4446</v>
      </c>
      <c r="T90">
        <v>151729</v>
      </c>
      <c r="U90">
        <v>748069</v>
      </c>
      <c r="V90">
        <v>1086</v>
      </c>
    </row>
    <row r="91" spans="1:22" ht="15.75" x14ac:dyDescent="0.25">
      <c r="A91" s="7">
        <v>1959</v>
      </c>
      <c r="B91">
        <v>7620</v>
      </c>
      <c r="C91">
        <v>24107</v>
      </c>
      <c r="D91">
        <v>10653</v>
      </c>
      <c r="E91">
        <v>50356</v>
      </c>
      <c r="F91">
        <v>7107</v>
      </c>
      <c r="G91">
        <v>3701</v>
      </c>
      <c r="H91">
        <v>71492</v>
      </c>
      <c r="J91">
        <v>25694</v>
      </c>
      <c r="K91">
        <v>52590</v>
      </c>
      <c r="L91">
        <v>18320</v>
      </c>
      <c r="M91">
        <v>2817</v>
      </c>
      <c r="N91">
        <v>3224</v>
      </c>
      <c r="O91">
        <v>2179</v>
      </c>
      <c r="P91">
        <v>14220</v>
      </c>
      <c r="Q91">
        <v>561</v>
      </c>
      <c r="R91">
        <v>11572</v>
      </c>
      <c r="S91">
        <v>4533</v>
      </c>
      <c r="T91">
        <v>149154</v>
      </c>
      <c r="U91">
        <v>770642</v>
      </c>
      <c r="V91">
        <v>1198</v>
      </c>
    </row>
    <row r="92" spans="1:22" ht="15.75" x14ac:dyDescent="0.25">
      <c r="A92" s="7">
        <v>1960</v>
      </c>
      <c r="B92">
        <v>8405</v>
      </c>
      <c r="C92">
        <v>24816</v>
      </c>
      <c r="D92">
        <v>12792</v>
      </c>
      <c r="E92">
        <v>52603</v>
      </c>
      <c r="F92">
        <v>8121</v>
      </c>
      <c r="G92">
        <v>4119</v>
      </c>
      <c r="H92">
        <v>73962</v>
      </c>
      <c r="J92">
        <v>29822</v>
      </c>
      <c r="K92">
        <v>63480</v>
      </c>
      <c r="L92">
        <v>20045</v>
      </c>
      <c r="M92">
        <v>3148</v>
      </c>
      <c r="N92">
        <v>3573</v>
      </c>
      <c r="O92">
        <v>2243</v>
      </c>
      <c r="P92">
        <v>13343</v>
      </c>
      <c r="Q92">
        <v>616</v>
      </c>
      <c r="R92">
        <v>13423</v>
      </c>
      <c r="S92">
        <v>5324</v>
      </c>
      <c r="T92">
        <v>159340</v>
      </c>
      <c r="U92">
        <v>788300</v>
      </c>
      <c r="V92">
        <v>1178</v>
      </c>
    </row>
    <row r="93" spans="1:22" ht="15.75" x14ac:dyDescent="0.25">
      <c r="A93" s="7">
        <v>1961</v>
      </c>
      <c r="B93">
        <v>8689</v>
      </c>
      <c r="C93">
        <v>25305</v>
      </c>
      <c r="D93">
        <v>13418</v>
      </c>
      <c r="E93">
        <v>52954</v>
      </c>
      <c r="F93">
        <v>8654</v>
      </c>
      <c r="G93">
        <v>4074</v>
      </c>
      <c r="H93">
        <v>76687</v>
      </c>
      <c r="J93">
        <v>33965</v>
      </c>
      <c r="K93">
        <v>77207</v>
      </c>
      <c r="L93">
        <v>20695</v>
      </c>
      <c r="M93">
        <v>3209</v>
      </c>
      <c r="N93">
        <v>3641</v>
      </c>
      <c r="O93">
        <v>2479</v>
      </c>
      <c r="P93">
        <v>14638</v>
      </c>
      <c r="Q93">
        <v>637</v>
      </c>
      <c r="R93">
        <v>13322</v>
      </c>
      <c r="S93">
        <v>5560</v>
      </c>
      <c r="T93">
        <v>160605</v>
      </c>
      <c r="U93">
        <v>785521</v>
      </c>
      <c r="V93">
        <v>1124</v>
      </c>
    </row>
    <row r="94" spans="1:22" ht="15.75" x14ac:dyDescent="0.25">
      <c r="A94" s="7">
        <v>1962</v>
      </c>
      <c r="B94">
        <v>9246</v>
      </c>
      <c r="C94">
        <v>26757</v>
      </c>
      <c r="D94">
        <v>14643</v>
      </c>
      <c r="E94">
        <v>56500</v>
      </c>
      <c r="F94">
        <v>10070</v>
      </c>
      <c r="G94">
        <v>4584</v>
      </c>
      <c r="H94">
        <v>81458</v>
      </c>
      <c r="J94">
        <v>39939</v>
      </c>
      <c r="K94">
        <v>79962</v>
      </c>
      <c r="L94">
        <v>22732</v>
      </c>
      <c r="M94">
        <v>3057</v>
      </c>
      <c r="N94">
        <v>3839</v>
      </c>
      <c r="O94">
        <v>2537</v>
      </c>
      <c r="P94">
        <v>16377</v>
      </c>
      <c r="Q94">
        <v>699</v>
      </c>
      <c r="R94">
        <v>13997</v>
      </c>
      <c r="S94">
        <v>6586</v>
      </c>
      <c r="T94">
        <v>161811</v>
      </c>
      <c r="U94">
        <v>814619</v>
      </c>
      <c r="V94">
        <v>1094</v>
      </c>
    </row>
    <row r="95" spans="1:22" ht="15.75" x14ac:dyDescent="0.25">
      <c r="A95" s="7">
        <v>1963</v>
      </c>
      <c r="B95">
        <v>10088</v>
      </c>
      <c r="C95">
        <v>28847</v>
      </c>
      <c r="D95">
        <v>15167</v>
      </c>
      <c r="E95">
        <v>57570</v>
      </c>
      <c r="F95">
        <v>11101</v>
      </c>
      <c r="G95">
        <v>5279</v>
      </c>
      <c r="H95">
        <v>91088</v>
      </c>
      <c r="J95">
        <v>44936</v>
      </c>
      <c r="K95">
        <v>88689</v>
      </c>
      <c r="L95">
        <v>24878</v>
      </c>
      <c r="M95">
        <v>3335</v>
      </c>
      <c r="N95">
        <v>4086</v>
      </c>
      <c r="O95">
        <v>2734</v>
      </c>
      <c r="P95">
        <v>16041</v>
      </c>
      <c r="Q95">
        <v>691</v>
      </c>
      <c r="R95">
        <v>15100</v>
      </c>
      <c r="S95">
        <v>7936</v>
      </c>
      <c r="T95">
        <v>164664</v>
      </c>
      <c r="U95">
        <v>850622</v>
      </c>
      <c r="V95">
        <v>1178</v>
      </c>
    </row>
    <row r="96" spans="1:22" ht="15.75" x14ac:dyDescent="0.25">
      <c r="A96" s="7">
        <v>1964</v>
      </c>
      <c r="B96">
        <v>10620</v>
      </c>
      <c r="C96">
        <v>28269</v>
      </c>
      <c r="D96">
        <v>15472</v>
      </c>
      <c r="E96">
        <v>64849</v>
      </c>
      <c r="F96">
        <v>11778</v>
      </c>
      <c r="G96">
        <v>6232</v>
      </c>
      <c r="H96">
        <v>94165</v>
      </c>
      <c r="J96">
        <v>47984</v>
      </c>
      <c r="K96">
        <v>97987</v>
      </c>
      <c r="L96">
        <v>26416</v>
      </c>
      <c r="M96">
        <v>3574</v>
      </c>
      <c r="N96">
        <v>4415</v>
      </c>
      <c r="O96">
        <v>3006</v>
      </c>
      <c r="P96">
        <v>17565</v>
      </c>
      <c r="Q96">
        <v>620</v>
      </c>
      <c r="R96">
        <v>16480</v>
      </c>
      <c r="S96">
        <v>7681</v>
      </c>
      <c r="T96">
        <v>165900</v>
      </c>
      <c r="U96">
        <v>887918</v>
      </c>
      <c r="V96">
        <v>1243</v>
      </c>
    </row>
    <row r="97" spans="1:22" ht="15.75" x14ac:dyDescent="0.25">
      <c r="A97" s="7">
        <v>1965</v>
      </c>
      <c r="B97">
        <v>10414</v>
      </c>
      <c r="C97">
        <v>28754</v>
      </c>
      <c r="D97">
        <v>15380</v>
      </c>
      <c r="E97">
        <v>68763</v>
      </c>
      <c r="F97">
        <v>12091</v>
      </c>
      <c r="G97">
        <v>6907</v>
      </c>
      <c r="H97">
        <v>95951</v>
      </c>
      <c r="J97">
        <v>51750</v>
      </c>
      <c r="K97">
        <v>105514</v>
      </c>
      <c r="L97">
        <v>27406</v>
      </c>
      <c r="M97">
        <v>3736</v>
      </c>
      <c r="N97">
        <v>4475</v>
      </c>
      <c r="O97">
        <v>3163</v>
      </c>
      <c r="P97">
        <v>19394</v>
      </c>
      <c r="Q97">
        <v>725</v>
      </c>
      <c r="R97">
        <v>17079</v>
      </c>
      <c r="S97">
        <v>8282</v>
      </c>
      <c r="T97">
        <v>169790</v>
      </c>
      <c r="U97">
        <v>924713</v>
      </c>
      <c r="V97">
        <v>1506</v>
      </c>
    </row>
    <row r="98" spans="1:22" ht="15.75" x14ac:dyDescent="0.25">
      <c r="A98" s="7">
        <v>1966</v>
      </c>
      <c r="B98">
        <v>10706</v>
      </c>
      <c r="C98">
        <v>28690</v>
      </c>
      <c r="D98">
        <v>17536</v>
      </c>
      <c r="E98">
        <v>70717</v>
      </c>
      <c r="F98">
        <v>13670</v>
      </c>
      <c r="G98">
        <v>8050</v>
      </c>
      <c r="H98">
        <v>94692</v>
      </c>
      <c r="J98">
        <v>58426</v>
      </c>
      <c r="K98">
        <v>114465</v>
      </c>
      <c r="L98">
        <v>28267</v>
      </c>
      <c r="M98">
        <v>3822</v>
      </c>
      <c r="N98">
        <v>5335</v>
      </c>
      <c r="O98">
        <v>3232</v>
      </c>
      <c r="P98">
        <v>21197</v>
      </c>
      <c r="Q98">
        <v>726</v>
      </c>
      <c r="R98">
        <v>19796</v>
      </c>
      <c r="S98">
        <v>8597</v>
      </c>
      <c r="T98">
        <v>168684</v>
      </c>
      <c r="U98">
        <v>971333</v>
      </c>
      <c r="V98">
        <v>1474</v>
      </c>
    </row>
    <row r="99" spans="1:22" ht="15.75" x14ac:dyDescent="0.25">
      <c r="A99" s="7">
        <v>1967</v>
      </c>
      <c r="B99">
        <v>10899</v>
      </c>
      <c r="C99">
        <v>29308</v>
      </c>
      <c r="D99">
        <v>18051</v>
      </c>
      <c r="E99">
        <v>76874</v>
      </c>
      <c r="F99">
        <v>13383</v>
      </c>
      <c r="G99">
        <v>7804</v>
      </c>
      <c r="H99">
        <v>101448</v>
      </c>
      <c r="J99">
        <v>63929</v>
      </c>
      <c r="K99">
        <v>133592</v>
      </c>
      <c r="L99">
        <v>29120</v>
      </c>
      <c r="M99">
        <v>3720</v>
      </c>
      <c r="N99">
        <v>5271</v>
      </c>
      <c r="O99">
        <v>3384</v>
      </c>
      <c r="P99">
        <v>23594</v>
      </c>
      <c r="Q99">
        <v>804</v>
      </c>
      <c r="R99">
        <v>18817</v>
      </c>
      <c r="S99">
        <v>8879</v>
      </c>
      <c r="T99">
        <v>161581</v>
      </c>
      <c r="U99">
        <v>1007829</v>
      </c>
      <c r="V99">
        <v>1332</v>
      </c>
    </row>
    <row r="100" spans="1:22" ht="15.75" x14ac:dyDescent="0.25">
      <c r="A100" s="7">
        <v>1968</v>
      </c>
      <c r="B100">
        <v>11549</v>
      </c>
      <c r="C100">
        <v>32331</v>
      </c>
      <c r="D100">
        <v>21113</v>
      </c>
      <c r="E100">
        <v>82776</v>
      </c>
      <c r="F100">
        <v>14542</v>
      </c>
      <c r="G100">
        <v>9085</v>
      </c>
      <c r="H100">
        <v>104890</v>
      </c>
      <c r="J100">
        <v>68038</v>
      </c>
      <c r="K100">
        <v>153413</v>
      </c>
      <c r="L100">
        <v>30966</v>
      </c>
      <c r="M100">
        <v>3678</v>
      </c>
      <c r="N100">
        <v>5765</v>
      </c>
      <c r="O100">
        <v>3548</v>
      </c>
      <c r="P100">
        <v>26495</v>
      </c>
      <c r="Q100">
        <v>884</v>
      </c>
      <c r="R100">
        <v>21185</v>
      </c>
      <c r="S100">
        <v>9825</v>
      </c>
      <c r="T100">
        <v>165522</v>
      </c>
      <c r="U100">
        <v>1044820</v>
      </c>
      <c r="V100">
        <v>1332</v>
      </c>
    </row>
    <row r="101" spans="1:22" ht="15.75" x14ac:dyDescent="0.25">
      <c r="A101" s="7">
        <v>1969</v>
      </c>
      <c r="B101">
        <v>12188</v>
      </c>
      <c r="C101">
        <v>33711</v>
      </c>
      <c r="D101">
        <v>22993</v>
      </c>
      <c r="E101">
        <v>83829</v>
      </c>
      <c r="F101">
        <v>16199</v>
      </c>
      <c r="G101">
        <v>10345</v>
      </c>
      <c r="H101">
        <v>112697</v>
      </c>
      <c r="J101">
        <v>73632</v>
      </c>
      <c r="K101">
        <v>178336</v>
      </c>
      <c r="L101">
        <v>31609</v>
      </c>
      <c r="M101">
        <v>3892</v>
      </c>
      <c r="N101">
        <v>6060</v>
      </c>
      <c r="O101">
        <v>3985</v>
      </c>
      <c r="P101">
        <v>26420</v>
      </c>
      <c r="Q101">
        <v>1178</v>
      </c>
      <c r="R101">
        <v>23580</v>
      </c>
      <c r="S101">
        <v>10389</v>
      </c>
      <c r="T101">
        <v>171491</v>
      </c>
      <c r="U101">
        <v>1097559</v>
      </c>
      <c r="V101">
        <v>1526</v>
      </c>
    </row>
    <row r="102" spans="1:22" ht="15.75" x14ac:dyDescent="0.25">
      <c r="A102" s="7">
        <v>1970</v>
      </c>
      <c r="B102">
        <v>13824</v>
      </c>
      <c r="C102">
        <v>34257</v>
      </c>
      <c r="D102">
        <v>25569</v>
      </c>
      <c r="E102">
        <v>93124</v>
      </c>
      <c r="F102">
        <v>16935</v>
      </c>
      <c r="G102">
        <v>11016</v>
      </c>
      <c r="H102">
        <v>119720</v>
      </c>
      <c r="J102">
        <v>80922</v>
      </c>
      <c r="K102">
        <v>209660</v>
      </c>
      <c r="L102">
        <v>38706</v>
      </c>
      <c r="M102">
        <v>3871</v>
      </c>
      <c r="N102">
        <v>7639</v>
      </c>
      <c r="O102">
        <v>4161</v>
      </c>
      <c r="P102">
        <v>31887</v>
      </c>
      <c r="Q102">
        <v>981</v>
      </c>
      <c r="R102">
        <v>25192</v>
      </c>
      <c r="S102">
        <v>10989</v>
      </c>
      <c r="T102">
        <v>178092</v>
      </c>
      <c r="U102">
        <v>1180503</v>
      </c>
      <c r="V102">
        <v>1566</v>
      </c>
    </row>
    <row r="103" spans="1:22" ht="15.75" x14ac:dyDescent="0.25">
      <c r="A103" s="7">
        <v>1971</v>
      </c>
      <c r="B103">
        <v>14223</v>
      </c>
      <c r="C103">
        <v>33141</v>
      </c>
      <c r="D103">
        <v>27989</v>
      </c>
      <c r="E103">
        <v>96157</v>
      </c>
      <c r="F103">
        <v>15561</v>
      </c>
      <c r="G103">
        <v>11067</v>
      </c>
      <c r="H103">
        <v>126107</v>
      </c>
      <c r="J103">
        <v>84971</v>
      </c>
      <c r="K103">
        <v>217492</v>
      </c>
      <c r="L103">
        <v>38417</v>
      </c>
      <c r="M103">
        <v>4107</v>
      </c>
      <c r="N103">
        <v>7417</v>
      </c>
      <c r="O103">
        <v>4474</v>
      </c>
      <c r="P103">
        <v>35092</v>
      </c>
      <c r="Q103">
        <v>867</v>
      </c>
      <c r="R103">
        <v>23068</v>
      </c>
      <c r="S103">
        <v>11438</v>
      </c>
      <c r="T103">
        <v>180219</v>
      </c>
      <c r="U103">
        <v>1188102</v>
      </c>
      <c r="V103">
        <v>1584</v>
      </c>
    </row>
    <row r="104" spans="1:22" ht="15.75" x14ac:dyDescent="0.25">
      <c r="A104" s="7">
        <v>1972</v>
      </c>
      <c r="B104">
        <v>15324</v>
      </c>
      <c r="C104">
        <v>35679</v>
      </c>
      <c r="D104">
        <v>31187</v>
      </c>
      <c r="E104">
        <v>103937</v>
      </c>
      <c r="F104">
        <v>16253</v>
      </c>
      <c r="G104">
        <v>12043</v>
      </c>
      <c r="H104">
        <v>131096</v>
      </c>
      <c r="J104">
        <v>89711</v>
      </c>
      <c r="K104">
        <v>232717</v>
      </c>
      <c r="L104">
        <v>43031</v>
      </c>
      <c r="M104">
        <v>4417</v>
      </c>
      <c r="N104">
        <v>8025</v>
      </c>
      <c r="O104">
        <v>5004</v>
      </c>
      <c r="P104">
        <v>39549</v>
      </c>
      <c r="Q104">
        <v>939</v>
      </c>
      <c r="R104">
        <v>23120</v>
      </c>
      <c r="S104">
        <v>11719</v>
      </c>
      <c r="T104">
        <v>176844</v>
      </c>
      <c r="U104">
        <v>1244874</v>
      </c>
      <c r="V104">
        <v>1657</v>
      </c>
    </row>
    <row r="105" spans="1:22" ht="15.75" x14ac:dyDescent="0.25">
      <c r="A105" s="7">
        <v>1973</v>
      </c>
      <c r="B105">
        <v>16407</v>
      </c>
      <c r="C105">
        <v>37871</v>
      </c>
      <c r="D105">
        <v>36123</v>
      </c>
      <c r="E105">
        <v>104069</v>
      </c>
      <c r="F105">
        <v>16143</v>
      </c>
      <c r="G105">
        <v>13468</v>
      </c>
      <c r="H105">
        <v>140878</v>
      </c>
      <c r="J105">
        <v>96624</v>
      </c>
      <c r="K105">
        <v>249727</v>
      </c>
      <c r="L105">
        <v>45172</v>
      </c>
      <c r="M105">
        <v>4964</v>
      </c>
      <c r="N105">
        <v>8324</v>
      </c>
      <c r="O105">
        <v>5455</v>
      </c>
      <c r="P105">
        <v>42369</v>
      </c>
      <c r="Q105">
        <v>979</v>
      </c>
      <c r="R105">
        <v>23825</v>
      </c>
      <c r="S105">
        <v>12616</v>
      </c>
      <c r="T105">
        <v>179993</v>
      </c>
      <c r="U105">
        <v>1300844</v>
      </c>
      <c r="V105">
        <v>1575</v>
      </c>
    </row>
    <row r="106" spans="1:22" ht="15.75" x14ac:dyDescent="0.25">
      <c r="A106" s="7">
        <v>1974</v>
      </c>
      <c r="B106">
        <v>15672</v>
      </c>
      <c r="C106">
        <v>36875</v>
      </c>
      <c r="D106">
        <v>39121</v>
      </c>
      <c r="E106">
        <v>106346</v>
      </c>
      <c r="F106">
        <v>15005</v>
      </c>
      <c r="G106">
        <v>12730</v>
      </c>
      <c r="H106">
        <v>136098</v>
      </c>
      <c r="J106">
        <v>98011</v>
      </c>
      <c r="K106">
        <v>249761</v>
      </c>
      <c r="L106">
        <v>43754</v>
      </c>
      <c r="M106">
        <v>5115</v>
      </c>
      <c r="N106">
        <v>7552</v>
      </c>
      <c r="O106">
        <v>5649</v>
      </c>
      <c r="P106">
        <v>47219</v>
      </c>
      <c r="Q106">
        <v>779</v>
      </c>
      <c r="R106">
        <v>21786</v>
      </c>
      <c r="S106">
        <v>11312</v>
      </c>
      <c r="T106">
        <v>168423</v>
      </c>
      <c r="U106">
        <v>1254019</v>
      </c>
      <c r="V106">
        <v>1550</v>
      </c>
    </row>
    <row r="107" spans="1:22" ht="15.75" x14ac:dyDescent="0.25">
      <c r="A107" s="7">
        <v>1975</v>
      </c>
      <c r="B107">
        <v>14833</v>
      </c>
      <c r="C107">
        <v>33297</v>
      </c>
      <c r="D107">
        <v>41223</v>
      </c>
      <c r="E107">
        <v>108302</v>
      </c>
      <c r="F107">
        <v>15173</v>
      </c>
      <c r="G107">
        <v>12572</v>
      </c>
      <c r="H107">
        <v>121876</v>
      </c>
      <c r="J107">
        <v>93349</v>
      </c>
      <c r="K107">
        <v>237271</v>
      </c>
      <c r="L107">
        <v>41729</v>
      </c>
      <c r="M107">
        <v>4980</v>
      </c>
      <c r="N107">
        <v>8090</v>
      </c>
      <c r="O107">
        <v>5824</v>
      </c>
      <c r="P107">
        <v>49535</v>
      </c>
      <c r="Q107">
        <v>771</v>
      </c>
      <c r="R107">
        <v>22041</v>
      </c>
      <c r="S107">
        <v>10662</v>
      </c>
      <c r="T107">
        <v>164615</v>
      </c>
      <c r="U107">
        <v>1201617</v>
      </c>
      <c r="V107">
        <v>1628</v>
      </c>
    </row>
    <row r="108" spans="1:22" ht="15.75" x14ac:dyDescent="0.25">
      <c r="A108" s="7">
        <v>1976</v>
      </c>
      <c r="B108">
        <v>15930</v>
      </c>
      <c r="C108">
        <v>35454</v>
      </c>
      <c r="D108">
        <v>42311</v>
      </c>
      <c r="E108">
        <v>108895</v>
      </c>
      <c r="F108">
        <v>16356</v>
      </c>
      <c r="G108">
        <v>13984</v>
      </c>
      <c r="H108">
        <v>137879</v>
      </c>
      <c r="J108">
        <v>100167</v>
      </c>
      <c r="K108">
        <v>247860</v>
      </c>
      <c r="L108">
        <v>46273</v>
      </c>
      <c r="M108">
        <v>5246</v>
      </c>
      <c r="N108">
        <v>7968</v>
      </c>
      <c r="O108">
        <v>6115</v>
      </c>
      <c r="P108">
        <v>54116</v>
      </c>
      <c r="Q108">
        <v>741</v>
      </c>
      <c r="R108">
        <v>24082</v>
      </c>
      <c r="S108">
        <v>11040</v>
      </c>
      <c r="T108">
        <v>163325</v>
      </c>
      <c r="U108">
        <v>1258004</v>
      </c>
      <c r="V108">
        <v>1608</v>
      </c>
    </row>
    <row r="109" spans="1:22" ht="15.75" x14ac:dyDescent="0.25">
      <c r="A109" s="7">
        <v>1977</v>
      </c>
      <c r="B109">
        <v>15331</v>
      </c>
      <c r="C109">
        <v>34516</v>
      </c>
      <c r="D109">
        <v>44440</v>
      </c>
      <c r="E109">
        <v>108583</v>
      </c>
      <c r="F109">
        <v>16766</v>
      </c>
      <c r="G109">
        <v>13695</v>
      </c>
      <c r="H109">
        <v>131131</v>
      </c>
      <c r="J109">
        <v>97130</v>
      </c>
      <c r="K109">
        <v>255035</v>
      </c>
      <c r="L109">
        <v>44799</v>
      </c>
      <c r="M109">
        <v>5536</v>
      </c>
      <c r="N109">
        <v>8509</v>
      </c>
      <c r="O109">
        <v>6198</v>
      </c>
      <c r="P109">
        <v>53358</v>
      </c>
      <c r="Q109">
        <v>774</v>
      </c>
      <c r="R109">
        <v>23399</v>
      </c>
      <c r="S109">
        <v>11204</v>
      </c>
      <c r="T109">
        <v>164916</v>
      </c>
      <c r="U109">
        <v>1293235</v>
      </c>
      <c r="V109">
        <v>1541</v>
      </c>
    </row>
    <row r="110" spans="1:22" ht="15.75" x14ac:dyDescent="0.25">
      <c r="A110" s="7">
        <v>1978</v>
      </c>
      <c r="B110">
        <v>15676</v>
      </c>
      <c r="C110">
        <v>37048</v>
      </c>
      <c r="D110">
        <v>48248</v>
      </c>
      <c r="E110">
        <v>110670</v>
      </c>
      <c r="F110">
        <v>16576</v>
      </c>
      <c r="G110">
        <v>14157</v>
      </c>
      <c r="H110">
        <v>137949</v>
      </c>
      <c r="J110">
        <v>101782</v>
      </c>
      <c r="K110">
        <v>246492</v>
      </c>
      <c r="L110">
        <v>46509</v>
      </c>
      <c r="M110">
        <v>4911</v>
      </c>
      <c r="N110">
        <v>8879</v>
      </c>
      <c r="O110">
        <v>6202</v>
      </c>
      <c r="P110">
        <v>54675</v>
      </c>
      <c r="Q110">
        <v>918</v>
      </c>
      <c r="R110">
        <v>21689</v>
      </c>
      <c r="S110">
        <v>11513</v>
      </c>
      <c r="T110">
        <v>165008</v>
      </c>
      <c r="U110">
        <v>1333273</v>
      </c>
      <c r="V110">
        <v>1566</v>
      </c>
    </row>
    <row r="111" spans="1:22" ht="15.75" x14ac:dyDescent="0.25">
      <c r="A111" s="7">
        <v>1979</v>
      </c>
      <c r="B111">
        <v>16797</v>
      </c>
      <c r="C111">
        <v>38242</v>
      </c>
      <c r="D111">
        <v>51356</v>
      </c>
      <c r="E111">
        <v>116627</v>
      </c>
      <c r="F111">
        <v>17086</v>
      </c>
      <c r="G111">
        <v>14817</v>
      </c>
      <c r="H111">
        <v>144302</v>
      </c>
      <c r="J111">
        <v>105663</v>
      </c>
      <c r="K111">
        <v>260600</v>
      </c>
      <c r="L111">
        <v>51217</v>
      </c>
      <c r="M111">
        <v>4493</v>
      </c>
      <c r="N111">
        <v>9080</v>
      </c>
      <c r="O111">
        <v>6826</v>
      </c>
      <c r="P111">
        <v>55562</v>
      </c>
      <c r="Q111">
        <v>1022</v>
      </c>
      <c r="R111">
        <v>23160</v>
      </c>
      <c r="S111">
        <v>10884</v>
      </c>
      <c r="T111">
        <v>175864</v>
      </c>
      <c r="U111">
        <v>1336344</v>
      </c>
      <c r="V111">
        <v>1712</v>
      </c>
    </row>
    <row r="112" spans="1:22" ht="15.75" x14ac:dyDescent="0.25">
      <c r="A112" s="7">
        <v>1980</v>
      </c>
      <c r="B112">
        <v>14264</v>
      </c>
      <c r="C112">
        <v>36895</v>
      </c>
      <c r="D112">
        <v>51020</v>
      </c>
      <c r="E112">
        <v>116866</v>
      </c>
      <c r="F112">
        <v>16421</v>
      </c>
      <c r="G112">
        <v>15884</v>
      </c>
      <c r="H112">
        <v>137814</v>
      </c>
      <c r="J112">
        <v>106073</v>
      </c>
      <c r="K112">
        <v>258405</v>
      </c>
      <c r="L112">
        <v>48407</v>
      </c>
      <c r="M112">
        <v>4761</v>
      </c>
      <c r="N112">
        <v>9554</v>
      </c>
      <c r="O112">
        <v>7359</v>
      </c>
      <c r="P112">
        <v>58632</v>
      </c>
      <c r="Q112">
        <v>906</v>
      </c>
      <c r="R112">
        <v>19569</v>
      </c>
      <c r="S112">
        <v>11055</v>
      </c>
      <c r="T112">
        <v>157974</v>
      </c>
      <c r="U112">
        <v>1287475</v>
      </c>
      <c r="V112">
        <v>1592</v>
      </c>
    </row>
    <row r="113" spans="1:22" ht="15.75" x14ac:dyDescent="0.25">
      <c r="A113" s="7">
        <v>1981</v>
      </c>
      <c r="B113">
        <v>15307</v>
      </c>
      <c r="C113">
        <v>33819</v>
      </c>
      <c r="D113">
        <v>46852</v>
      </c>
      <c r="E113">
        <v>113472</v>
      </c>
      <c r="F113">
        <v>14061</v>
      </c>
      <c r="G113">
        <v>14047</v>
      </c>
      <c r="H113">
        <v>123998</v>
      </c>
      <c r="J113">
        <v>103087</v>
      </c>
      <c r="K113">
        <v>253506</v>
      </c>
      <c r="L113">
        <v>44984</v>
      </c>
      <c r="M113">
        <v>4507</v>
      </c>
      <c r="N113">
        <v>9063</v>
      </c>
      <c r="O113">
        <v>7425</v>
      </c>
      <c r="P113">
        <v>56528</v>
      </c>
      <c r="Q113">
        <v>1084</v>
      </c>
      <c r="R113">
        <v>18934</v>
      </c>
      <c r="S113">
        <v>10597</v>
      </c>
      <c r="T113">
        <v>152937</v>
      </c>
      <c r="U113">
        <v>1235831</v>
      </c>
      <c r="V113">
        <v>1466</v>
      </c>
    </row>
    <row r="114" spans="1:22" ht="15.75" x14ac:dyDescent="0.25">
      <c r="A114" s="7">
        <v>1982</v>
      </c>
      <c r="B114">
        <v>14690</v>
      </c>
      <c r="C114">
        <v>32057</v>
      </c>
      <c r="D114">
        <v>46953</v>
      </c>
      <c r="E114">
        <v>109159</v>
      </c>
      <c r="F114">
        <v>14580</v>
      </c>
      <c r="G114">
        <v>11749</v>
      </c>
      <c r="H114">
        <v>119142</v>
      </c>
      <c r="J114">
        <v>100813</v>
      </c>
      <c r="K114">
        <v>245487</v>
      </c>
      <c r="L114">
        <v>36630</v>
      </c>
      <c r="M114">
        <v>4974</v>
      </c>
      <c r="N114">
        <v>8960</v>
      </c>
      <c r="O114">
        <v>7978</v>
      </c>
      <c r="P114">
        <v>57242</v>
      </c>
      <c r="Q114">
        <v>1204</v>
      </c>
      <c r="R114">
        <v>16987</v>
      </c>
      <c r="S114">
        <v>9989</v>
      </c>
      <c r="T114">
        <v>149583</v>
      </c>
      <c r="U114">
        <v>1172784</v>
      </c>
      <c r="V114">
        <v>1329</v>
      </c>
    </row>
    <row r="115" spans="1:22" ht="15.75" x14ac:dyDescent="0.25">
      <c r="A115" s="7">
        <v>1983</v>
      </c>
      <c r="B115">
        <v>14176</v>
      </c>
      <c r="C115">
        <v>27713</v>
      </c>
      <c r="D115">
        <v>45441</v>
      </c>
      <c r="E115">
        <v>108308</v>
      </c>
      <c r="F115">
        <v>13625</v>
      </c>
      <c r="G115">
        <v>11338</v>
      </c>
      <c r="H115">
        <v>115245</v>
      </c>
      <c r="J115">
        <v>98545</v>
      </c>
      <c r="K115">
        <v>241025</v>
      </c>
      <c r="L115">
        <v>37703</v>
      </c>
      <c r="M115">
        <v>4899</v>
      </c>
      <c r="N115">
        <v>8206</v>
      </c>
      <c r="O115">
        <v>8230</v>
      </c>
      <c r="P115">
        <v>55868</v>
      </c>
      <c r="Q115">
        <v>1310</v>
      </c>
      <c r="R115">
        <v>15898</v>
      </c>
      <c r="S115">
        <v>10927</v>
      </c>
      <c r="T115">
        <v>148825</v>
      </c>
      <c r="U115">
        <v>1182145</v>
      </c>
      <c r="V115">
        <v>1041</v>
      </c>
    </row>
    <row r="116" spans="1:22" ht="15.75" x14ac:dyDescent="0.25">
      <c r="A116" s="7">
        <v>1984</v>
      </c>
      <c r="B116">
        <v>14876</v>
      </c>
      <c r="C116">
        <v>28747</v>
      </c>
      <c r="D116">
        <v>46034</v>
      </c>
      <c r="E116">
        <v>110912</v>
      </c>
      <c r="F116">
        <v>13798</v>
      </c>
      <c r="G116">
        <v>11523</v>
      </c>
      <c r="H116">
        <v>110538</v>
      </c>
      <c r="J116">
        <v>100259</v>
      </c>
      <c r="K116">
        <v>256376</v>
      </c>
      <c r="L116">
        <v>39557</v>
      </c>
      <c r="M116">
        <v>5262</v>
      </c>
      <c r="N116">
        <v>9026</v>
      </c>
      <c r="O116">
        <v>7926</v>
      </c>
      <c r="P116">
        <v>54255</v>
      </c>
      <c r="Q116">
        <v>1026</v>
      </c>
      <c r="R116">
        <v>15635</v>
      </c>
      <c r="S116">
        <v>10683</v>
      </c>
      <c r="T116">
        <v>144351</v>
      </c>
      <c r="U116">
        <v>1219069</v>
      </c>
      <c r="V116">
        <v>941</v>
      </c>
    </row>
    <row r="117" spans="1:22" ht="15.75" x14ac:dyDescent="0.25">
      <c r="A117" s="7">
        <v>1985</v>
      </c>
      <c r="B117">
        <v>14917</v>
      </c>
      <c r="C117">
        <v>28483</v>
      </c>
      <c r="D117">
        <v>49427</v>
      </c>
      <c r="E117">
        <v>109587</v>
      </c>
      <c r="F117">
        <v>16299</v>
      </c>
      <c r="G117">
        <v>13544</v>
      </c>
      <c r="H117">
        <v>109321</v>
      </c>
      <c r="J117">
        <v>101482</v>
      </c>
      <c r="K117">
        <v>249631</v>
      </c>
      <c r="L117">
        <v>40346</v>
      </c>
      <c r="M117">
        <v>5946</v>
      </c>
      <c r="N117">
        <v>9512</v>
      </c>
      <c r="O117">
        <v>7474</v>
      </c>
      <c r="P117">
        <v>54877</v>
      </c>
      <c r="Q117">
        <v>1051</v>
      </c>
      <c r="R117">
        <v>17015</v>
      </c>
      <c r="S117">
        <v>10861</v>
      </c>
      <c r="T117">
        <v>152674</v>
      </c>
      <c r="U117">
        <v>1223469</v>
      </c>
      <c r="V117">
        <v>899</v>
      </c>
    </row>
    <row r="118" spans="1:22" ht="15.75" x14ac:dyDescent="0.25">
      <c r="A118" s="7">
        <v>1986</v>
      </c>
      <c r="B118">
        <v>14748</v>
      </c>
      <c r="C118">
        <v>28052</v>
      </c>
      <c r="D118">
        <v>54236</v>
      </c>
      <c r="E118">
        <v>105596</v>
      </c>
      <c r="F118">
        <v>15972</v>
      </c>
      <c r="G118">
        <v>14543</v>
      </c>
      <c r="H118">
        <v>105158</v>
      </c>
      <c r="J118">
        <v>99933</v>
      </c>
      <c r="K118">
        <v>249612</v>
      </c>
      <c r="L118">
        <v>39568</v>
      </c>
      <c r="M118">
        <v>6243</v>
      </c>
      <c r="N118">
        <v>9175</v>
      </c>
      <c r="O118">
        <v>8323</v>
      </c>
      <c r="P118">
        <v>51941</v>
      </c>
      <c r="Q118">
        <v>967</v>
      </c>
      <c r="R118">
        <v>16918</v>
      </c>
      <c r="S118">
        <v>11534</v>
      </c>
      <c r="T118">
        <v>155107</v>
      </c>
      <c r="U118">
        <v>1224755</v>
      </c>
      <c r="V118">
        <v>867</v>
      </c>
    </row>
    <row r="119" spans="1:22" ht="15.75" x14ac:dyDescent="0.25">
      <c r="A119" s="7">
        <v>1987</v>
      </c>
      <c r="B119">
        <v>15747</v>
      </c>
      <c r="C119">
        <v>28120</v>
      </c>
      <c r="D119">
        <v>56594</v>
      </c>
      <c r="E119">
        <v>112286</v>
      </c>
      <c r="F119">
        <v>15846</v>
      </c>
      <c r="G119">
        <v>15723</v>
      </c>
      <c r="H119">
        <v>102943</v>
      </c>
      <c r="J119">
        <v>104628</v>
      </c>
      <c r="K119">
        <v>246994</v>
      </c>
      <c r="L119">
        <v>41606</v>
      </c>
      <c r="M119">
        <v>6575</v>
      </c>
      <c r="N119">
        <v>9581</v>
      </c>
      <c r="O119">
        <v>8600</v>
      </c>
      <c r="P119">
        <v>52053</v>
      </c>
      <c r="Q119">
        <v>1080</v>
      </c>
      <c r="R119">
        <v>16285</v>
      </c>
      <c r="S119">
        <v>10977</v>
      </c>
      <c r="T119">
        <v>155950</v>
      </c>
      <c r="U119">
        <v>1277456</v>
      </c>
      <c r="V119">
        <v>971</v>
      </c>
    </row>
    <row r="120" spans="1:22" ht="15.75" x14ac:dyDescent="0.25">
      <c r="A120" s="7">
        <v>1988</v>
      </c>
      <c r="B120">
        <v>14546</v>
      </c>
      <c r="C120">
        <v>27367</v>
      </c>
      <c r="D120">
        <v>57094</v>
      </c>
      <c r="E120">
        <v>118446</v>
      </c>
      <c r="F120">
        <v>14960</v>
      </c>
      <c r="G120">
        <v>14231</v>
      </c>
      <c r="H120">
        <v>101502</v>
      </c>
      <c r="J120">
        <v>106294</v>
      </c>
      <c r="K120">
        <v>269725</v>
      </c>
      <c r="L120">
        <v>40064</v>
      </c>
      <c r="M120">
        <v>6926</v>
      </c>
      <c r="N120">
        <v>9122</v>
      </c>
      <c r="O120">
        <v>8979</v>
      </c>
      <c r="P120">
        <v>54277</v>
      </c>
      <c r="Q120">
        <v>921</v>
      </c>
      <c r="R120">
        <v>15665</v>
      </c>
      <c r="S120">
        <v>11102</v>
      </c>
      <c r="T120">
        <v>155567</v>
      </c>
      <c r="U120">
        <v>1333151</v>
      </c>
      <c r="V120">
        <v>1311</v>
      </c>
    </row>
    <row r="121" spans="1:22" ht="15.75" x14ac:dyDescent="0.25">
      <c r="A121" s="7">
        <v>1989</v>
      </c>
      <c r="B121">
        <v>14758</v>
      </c>
      <c r="C121">
        <v>29305</v>
      </c>
      <c r="D121">
        <v>58365</v>
      </c>
      <c r="E121">
        <v>120090</v>
      </c>
      <c r="F121">
        <v>13303</v>
      </c>
      <c r="G121">
        <v>14340</v>
      </c>
      <c r="H121">
        <v>106531</v>
      </c>
      <c r="J121">
        <v>111510</v>
      </c>
      <c r="K121">
        <v>279670</v>
      </c>
      <c r="L121">
        <v>44478</v>
      </c>
      <c r="M121">
        <v>6928</v>
      </c>
      <c r="N121">
        <v>10168</v>
      </c>
      <c r="O121">
        <v>11238</v>
      </c>
      <c r="P121">
        <v>61814</v>
      </c>
      <c r="Q121">
        <v>926</v>
      </c>
      <c r="R121">
        <v>15144</v>
      </c>
      <c r="S121">
        <v>10763</v>
      </c>
      <c r="T121">
        <v>158637</v>
      </c>
      <c r="U121">
        <v>1350173</v>
      </c>
      <c r="V121">
        <v>1331</v>
      </c>
    </row>
    <row r="122" spans="1:22" ht="15.75" x14ac:dyDescent="0.25">
      <c r="A122" s="7">
        <v>1990</v>
      </c>
      <c r="B122">
        <v>16560</v>
      </c>
      <c r="C122">
        <v>29580</v>
      </c>
      <c r="D122">
        <v>56964</v>
      </c>
      <c r="E122">
        <v>122737</v>
      </c>
      <c r="F122">
        <v>13566</v>
      </c>
      <c r="G122">
        <v>14111</v>
      </c>
      <c r="H122">
        <v>108816</v>
      </c>
      <c r="J122">
        <v>113867</v>
      </c>
      <c r="K122">
        <v>298564</v>
      </c>
      <c r="L122">
        <v>44582</v>
      </c>
      <c r="M122">
        <v>6453</v>
      </c>
      <c r="N122">
        <v>8553</v>
      </c>
      <c r="O122">
        <v>11507</v>
      </c>
      <c r="P122">
        <v>59685</v>
      </c>
      <c r="Q122">
        <v>1029</v>
      </c>
      <c r="R122">
        <v>13943</v>
      </c>
      <c r="S122">
        <v>11689</v>
      </c>
      <c r="T122">
        <v>155727</v>
      </c>
      <c r="U122">
        <v>1300283</v>
      </c>
      <c r="V122">
        <v>1089</v>
      </c>
    </row>
    <row r="123" spans="1:22" ht="15.75" x14ac:dyDescent="0.25">
      <c r="A123" s="7">
        <v>1991</v>
      </c>
      <c r="B123">
        <v>17890</v>
      </c>
      <c r="C123">
        <v>32064</v>
      </c>
      <c r="D123">
        <v>59812</v>
      </c>
      <c r="E123">
        <v>122458</v>
      </c>
      <c r="F123">
        <v>16693</v>
      </c>
      <c r="G123">
        <v>14657</v>
      </c>
      <c r="H123">
        <v>116626</v>
      </c>
      <c r="I123">
        <v>253606</v>
      </c>
      <c r="J123">
        <v>115572</v>
      </c>
      <c r="K123">
        <v>300116</v>
      </c>
      <c r="L123">
        <v>44746</v>
      </c>
      <c r="M123">
        <v>6593</v>
      </c>
      <c r="N123">
        <v>8733</v>
      </c>
      <c r="O123">
        <v>11981</v>
      </c>
      <c r="P123">
        <v>61592</v>
      </c>
      <c r="Q123">
        <v>1108</v>
      </c>
      <c r="R123">
        <v>14515</v>
      </c>
      <c r="S123">
        <v>11453</v>
      </c>
      <c r="T123">
        <v>159354</v>
      </c>
      <c r="U123">
        <v>1316254</v>
      </c>
      <c r="V123">
        <v>1242</v>
      </c>
    </row>
    <row r="124" spans="1:22" ht="15.75" x14ac:dyDescent="0.25">
      <c r="A124" s="7">
        <v>1992</v>
      </c>
      <c r="B124">
        <v>16510</v>
      </c>
      <c r="C124">
        <v>31190</v>
      </c>
      <c r="D124">
        <v>60187</v>
      </c>
      <c r="E124">
        <v>127529</v>
      </c>
      <c r="F124">
        <v>14813</v>
      </c>
      <c r="G124">
        <v>13051</v>
      </c>
      <c r="H124">
        <v>108273</v>
      </c>
      <c r="I124">
        <v>243244</v>
      </c>
      <c r="J124">
        <v>114681</v>
      </c>
      <c r="K124">
        <v>306401</v>
      </c>
      <c r="L124">
        <v>43725</v>
      </c>
      <c r="M124">
        <v>6853</v>
      </c>
      <c r="N124">
        <v>8072</v>
      </c>
      <c r="O124">
        <v>13143</v>
      </c>
      <c r="P124">
        <v>63828</v>
      </c>
      <c r="Q124">
        <v>1379</v>
      </c>
      <c r="R124">
        <v>15061</v>
      </c>
      <c r="S124">
        <v>11744</v>
      </c>
      <c r="T124">
        <v>157639</v>
      </c>
      <c r="U124">
        <v>1342295</v>
      </c>
      <c r="V124">
        <v>1410</v>
      </c>
    </row>
    <row r="125" spans="1:22" ht="15.75" x14ac:dyDescent="0.25">
      <c r="A125" s="7">
        <v>1993</v>
      </c>
      <c r="B125">
        <v>16439</v>
      </c>
      <c r="C125">
        <v>29704</v>
      </c>
      <c r="D125">
        <v>62923</v>
      </c>
      <c r="E125">
        <v>130330</v>
      </c>
      <c r="F125">
        <v>15587</v>
      </c>
      <c r="G125">
        <v>13790</v>
      </c>
      <c r="H125">
        <v>106110</v>
      </c>
      <c r="I125">
        <v>239336</v>
      </c>
      <c r="J125">
        <v>112331</v>
      </c>
      <c r="K125">
        <v>302308</v>
      </c>
      <c r="L125">
        <v>45175</v>
      </c>
      <c r="M125">
        <v>7337</v>
      </c>
      <c r="N125">
        <v>8780</v>
      </c>
      <c r="O125">
        <v>12766</v>
      </c>
      <c r="P125">
        <v>59833</v>
      </c>
      <c r="Q125">
        <v>1337</v>
      </c>
      <c r="R125">
        <v>14190</v>
      </c>
      <c r="S125">
        <v>11116</v>
      </c>
      <c r="T125">
        <v>152326</v>
      </c>
      <c r="U125">
        <v>1371630</v>
      </c>
      <c r="V125">
        <v>1218</v>
      </c>
    </row>
    <row r="126" spans="1:22" ht="15.75" x14ac:dyDescent="0.25">
      <c r="A126" s="7">
        <v>1994</v>
      </c>
      <c r="B126">
        <v>16663</v>
      </c>
      <c r="C126">
        <v>30899</v>
      </c>
      <c r="D126">
        <v>66036</v>
      </c>
      <c r="E126">
        <v>123941</v>
      </c>
      <c r="F126">
        <v>16649</v>
      </c>
      <c r="G126">
        <v>15680</v>
      </c>
      <c r="H126">
        <v>100752</v>
      </c>
      <c r="I126">
        <v>236040</v>
      </c>
      <c r="J126">
        <v>111093</v>
      </c>
      <c r="K126">
        <v>320160</v>
      </c>
      <c r="L126">
        <v>45216</v>
      </c>
      <c r="M126">
        <v>7196</v>
      </c>
      <c r="N126">
        <v>7976</v>
      </c>
      <c r="O126">
        <v>12972</v>
      </c>
      <c r="P126">
        <v>63692</v>
      </c>
      <c r="Q126">
        <v>1475</v>
      </c>
      <c r="R126">
        <v>14873</v>
      </c>
      <c r="S126">
        <v>11268</v>
      </c>
      <c r="T126">
        <v>151415</v>
      </c>
      <c r="U126">
        <v>1396662</v>
      </c>
      <c r="V126">
        <v>1109</v>
      </c>
    </row>
    <row r="127" spans="1:22" ht="15.75" x14ac:dyDescent="0.25">
      <c r="A127" s="7">
        <v>1995</v>
      </c>
      <c r="B127">
        <v>16834</v>
      </c>
      <c r="C127">
        <v>30809</v>
      </c>
      <c r="D127">
        <v>70452</v>
      </c>
      <c r="E127">
        <v>125386</v>
      </c>
      <c r="F127">
        <v>15037</v>
      </c>
      <c r="G127">
        <v>14406</v>
      </c>
      <c r="H127">
        <v>107251</v>
      </c>
      <c r="I127">
        <v>235645</v>
      </c>
      <c r="J127">
        <v>117346</v>
      </c>
      <c r="K127">
        <v>322865</v>
      </c>
      <c r="L127">
        <v>45281</v>
      </c>
      <c r="M127">
        <v>7403</v>
      </c>
      <c r="N127">
        <v>9519</v>
      </c>
      <c r="O127">
        <v>14160</v>
      </c>
      <c r="P127">
        <v>65921</v>
      </c>
      <c r="Q127">
        <v>1581</v>
      </c>
      <c r="R127">
        <v>13838</v>
      </c>
      <c r="S127">
        <v>10699</v>
      </c>
      <c r="T127">
        <v>151532</v>
      </c>
      <c r="U127">
        <v>1406100</v>
      </c>
      <c r="V127">
        <v>1252</v>
      </c>
    </row>
    <row r="128" spans="1:22" ht="15.75" x14ac:dyDescent="0.25">
      <c r="A128" s="7">
        <v>1996</v>
      </c>
      <c r="B128">
        <v>17187</v>
      </c>
      <c r="C128">
        <v>32622</v>
      </c>
      <c r="D128">
        <v>77661</v>
      </c>
      <c r="E128">
        <v>127593</v>
      </c>
      <c r="F128">
        <v>18708</v>
      </c>
      <c r="G128">
        <v>16712</v>
      </c>
      <c r="H128">
        <v>111297</v>
      </c>
      <c r="I128">
        <v>242600</v>
      </c>
      <c r="J128">
        <v>117872</v>
      </c>
      <c r="K128">
        <v>328773</v>
      </c>
      <c r="L128">
        <v>48837</v>
      </c>
      <c r="M128">
        <v>7845</v>
      </c>
      <c r="N128">
        <v>9048</v>
      </c>
      <c r="O128">
        <v>13835</v>
      </c>
      <c r="P128">
        <v>63655</v>
      </c>
      <c r="Q128">
        <v>1896</v>
      </c>
      <c r="R128">
        <v>15735</v>
      </c>
      <c r="S128">
        <v>10889</v>
      </c>
      <c r="T128">
        <v>155812</v>
      </c>
      <c r="U128">
        <v>1441518</v>
      </c>
      <c r="V128">
        <v>1484</v>
      </c>
    </row>
    <row r="129" spans="1:22" ht="15.75" x14ac:dyDescent="0.25">
      <c r="A129" s="7">
        <v>1997</v>
      </c>
      <c r="B129">
        <v>17426</v>
      </c>
      <c r="C129">
        <v>31714</v>
      </c>
      <c r="D129">
        <v>81960</v>
      </c>
      <c r="E129">
        <v>131779</v>
      </c>
      <c r="F129">
        <v>15559</v>
      </c>
      <c r="G129">
        <v>16360</v>
      </c>
      <c r="H129">
        <v>103487</v>
      </c>
      <c r="I129">
        <v>235145</v>
      </c>
      <c r="J129">
        <v>119079</v>
      </c>
      <c r="K129">
        <v>327688</v>
      </c>
      <c r="L129">
        <v>46740</v>
      </c>
      <c r="M129">
        <v>8446</v>
      </c>
      <c r="N129">
        <v>9308</v>
      </c>
      <c r="O129">
        <v>14517</v>
      </c>
      <c r="P129">
        <v>68767</v>
      </c>
      <c r="Q129">
        <v>2047</v>
      </c>
      <c r="R129">
        <v>14138</v>
      </c>
      <c r="S129">
        <v>11308</v>
      </c>
      <c r="T129">
        <v>148779</v>
      </c>
      <c r="U129">
        <v>1477895</v>
      </c>
      <c r="V129">
        <v>1515</v>
      </c>
    </row>
    <row r="130" spans="1:22" ht="15.75" x14ac:dyDescent="0.25">
      <c r="A130" s="7">
        <v>1998</v>
      </c>
      <c r="B130">
        <v>17880</v>
      </c>
      <c r="C130">
        <v>32502</v>
      </c>
      <c r="D130">
        <v>85162</v>
      </c>
      <c r="E130">
        <v>141047</v>
      </c>
      <c r="F130">
        <v>15290</v>
      </c>
      <c r="G130">
        <v>15541</v>
      </c>
      <c r="H130">
        <v>111561</v>
      </c>
      <c r="I130">
        <v>233260</v>
      </c>
      <c r="J130">
        <v>121436</v>
      </c>
      <c r="K130">
        <v>316080</v>
      </c>
      <c r="L130">
        <v>45925</v>
      </c>
      <c r="M130">
        <v>8168</v>
      </c>
      <c r="N130">
        <v>9946</v>
      </c>
      <c r="O130">
        <v>15832</v>
      </c>
      <c r="P130">
        <v>71329</v>
      </c>
      <c r="Q130">
        <v>2117</v>
      </c>
      <c r="R130">
        <v>14447</v>
      </c>
      <c r="S130">
        <v>11407</v>
      </c>
      <c r="T130">
        <v>148702</v>
      </c>
      <c r="U130">
        <v>1487890</v>
      </c>
      <c r="V130">
        <v>1551</v>
      </c>
    </row>
    <row r="131" spans="1:22" ht="15.75" x14ac:dyDescent="0.25">
      <c r="A131" s="7">
        <v>1999</v>
      </c>
      <c r="B131">
        <v>17398</v>
      </c>
      <c r="C131">
        <v>31591</v>
      </c>
      <c r="D131">
        <v>87312</v>
      </c>
      <c r="E131">
        <v>140555</v>
      </c>
      <c r="F131">
        <v>13889</v>
      </c>
      <c r="G131">
        <v>15114</v>
      </c>
      <c r="H131">
        <v>101257</v>
      </c>
      <c r="I131">
        <v>224287</v>
      </c>
      <c r="J131">
        <v>120030</v>
      </c>
      <c r="K131">
        <v>326709</v>
      </c>
      <c r="L131">
        <v>44458</v>
      </c>
      <c r="M131">
        <v>8922</v>
      </c>
      <c r="N131">
        <v>11187</v>
      </c>
      <c r="O131">
        <v>17641</v>
      </c>
      <c r="P131">
        <v>77007</v>
      </c>
      <c r="Q131">
        <v>2328</v>
      </c>
      <c r="R131">
        <v>13937</v>
      </c>
      <c r="S131">
        <v>11099</v>
      </c>
      <c r="T131">
        <v>146046</v>
      </c>
      <c r="U131">
        <v>1508506</v>
      </c>
      <c r="V131">
        <v>1834</v>
      </c>
    </row>
    <row r="132" spans="1:22" ht="15.75" x14ac:dyDescent="0.25">
      <c r="A132" s="7">
        <v>2000</v>
      </c>
      <c r="B132">
        <v>17370</v>
      </c>
      <c r="C132">
        <v>31554</v>
      </c>
      <c r="D132">
        <v>89442</v>
      </c>
      <c r="E132">
        <v>145755</v>
      </c>
      <c r="F132">
        <v>12888</v>
      </c>
      <c r="G132">
        <v>14219</v>
      </c>
      <c r="H132">
        <v>99689</v>
      </c>
      <c r="I132">
        <v>226337</v>
      </c>
      <c r="J132">
        <v>123109</v>
      </c>
      <c r="K132">
        <v>332585</v>
      </c>
      <c r="L132">
        <v>45095</v>
      </c>
      <c r="M132">
        <v>8971</v>
      </c>
      <c r="N132">
        <v>10583</v>
      </c>
      <c r="O132">
        <v>17171</v>
      </c>
      <c r="P132">
        <v>80293</v>
      </c>
      <c r="Q132">
        <v>2771</v>
      </c>
      <c r="R132">
        <v>13579</v>
      </c>
      <c r="S132">
        <v>10649</v>
      </c>
      <c r="T132">
        <v>148258</v>
      </c>
      <c r="U132">
        <v>1558102</v>
      </c>
      <c r="V132">
        <v>1447</v>
      </c>
    </row>
    <row r="133" spans="1:22" ht="15.75" x14ac:dyDescent="0.25">
      <c r="A133" s="7">
        <v>2001</v>
      </c>
      <c r="B133">
        <v>17921</v>
      </c>
      <c r="C133">
        <v>31297</v>
      </c>
      <c r="D133">
        <v>92019</v>
      </c>
      <c r="E133">
        <v>143357</v>
      </c>
      <c r="F133">
        <v>13372</v>
      </c>
      <c r="G133">
        <v>15387</v>
      </c>
      <c r="H133">
        <v>105216</v>
      </c>
      <c r="I133">
        <v>232796</v>
      </c>
      <c r="J133">
        <v>122811</v>
      </c>
      <c r="K133">
        <v>327861</v>
      </c>
      <c r="L133">
        <v>45616</v>
      </c>
      <c r="M133">
        <v>9411</v>
      </c>
      <c r="N133">
        <v>11206</v>
      </c>
      <c r="O133">
        <v>17143</v>
      </c>
      <c r="P133">
        <v>81219</v>
      </c>
      <c r="Q133">
        <v>2794</v>
      </c>
      <c r="R133">
        <v>13943</v>
      </c>
      <c r="S133">
        <v>11716</v>
      </c>
      <c r="T133">
        <v>150137</v>
      </c>
      <c r="U133">
        <v>1527517</v>
      </c>
      <c r="V133">
        <v>1388</v>
      </c>
    </row>
    <row r="134" spans="1:22" ht="15.75" x14ac:dyDescent="0.25">
      <c r="A134" s="7">
        <v>2002</v>
      </c>
      <c r="B134">
        <v>18320</v>
      </c>
      <c r="C134">
        <v>29324</v>
      </c>
      <c r="D134">
        <v>90610</v>
      </c>
      <c r="E134">
        <v>141577</v>
      </c>
      <c r="F134">
        <v>13435</v>
      </c>
      <c r="G134">
        <v>16656</v>
      </c>
      <c r="H134">
        <v>103856</v>
      </c>
      <c r="I134">
        <v>226008</v>
      </c>
      <c r="J134">
        <v>123434</v>
      </c>
      <c r="K134">
        <v>331811</v>
      </c>
      <c r="L134">
        <v>47004</v>
      </c>
      <c r="M134">
        <v>9054</v>
      </c>
      <c r="N134">
        <v>10207</v>
      </c>
      <c r="O134">
        <v>18222</v>
      </c>
      <c r="P134">
        <v>85770</v>
      </c>
      <c r="Q134">
        <v>3002</v>
      </c>
      <c r="R134">
        <v>15660</v>
      </c>
      <c r="S134">
        <v>11104</v>
      </c>
      <c r="T134">
        <v>145061</v>
      </c>
      <c r="U134">
        <v>1541028</v>
      </c>
      <c r="V134">
        <v>1260</v>
      </c>
    </row>
    <row r="135" spans="1:22" ht="15.75" x14ac:dyDescent="0.25">
      <c r="A135" s="7">
        <v>2003</v>
      </c>
      <c r="B135">
        <v>19721</v>
      </c>
      <c r="C135">
        <v>31316</v>
      </c>
      <c r="D135">
        <v>87707</v>
      </c>
      <c r="E135">
        <v>150855</v>
      </c>
      <c r="F135">
        <v>15199</v>
      </c>
      <c r="G135">
        <v>18786</v>
      </c>
      <c r="H135">
        <v>105697</v>
      </c>
      <c r="I135">
        <v>227272</v>
      </c>
      <c r="J135">
        <v>127720</v>
      </c>
      <c r="K135">
        <v>337450</v>
      </c>
      <c r="L135">
        <v>47734</v>
      </c>
      <c r="M135">
        <v>9255</v>
      </c>
      <c r="N135">
        <v>11624</v>
      </c>
      <c r="O135">
        <v>16710</v>
      </c>
      <c r="P135">
        <v>87564</v>
      </c>
      <c r="Q135">
        <v>2907</v>
      </c>
      <c r="R135">
        <v>14939</v>
      </c>
      <c r="S135">
        <v>10964</v>
      </c>
      <c r="T135">
        <v>147434</v>
      </c>
      <c r="U135">
        <v>1549404</v>
      </c>
      <c r="V135">
        <v>1254</v>
      </c>
    </row>
    <row r="136" spans="1:22" ht="15.75" x14ac:dyDescent="0.25">
      <c r="A136" s="7">
        <v>2004</v>
      </c>
      <c r="B136">
        <v>19598</v>
      </c>
      <c r="C136">
        <v>30347</v>
      </c>
      <c r="D136">
        <v>92126</v>
      </c>
      <c r="E136">
        <v>150627</v>
      </c>
      <c r="F136">
        <v>13798</v>
      </c>
      <c r="G136">
        <v>18296</v>
      </c>
      <c r="H136">
        <v>106382</v>
      </c>
      <c r="I136">
        <v>225224</v>
      </c>
      <c r="J136">
        <v>128925</v>
      </c>
      <c r="K136">
        <v>343511</v>
      </c>
      <c r="L136">
        <v>48242</v>
      </c>
      <c r="M136">
        <v>9479</v>
      </c>
      <c r="N136">
        <v>11635</v>
      </c>
      <c r="O136">
        <v>17228</v>
      </c>
      <c r="P136">
        <v>92563</v>
      </c>
      <c r="Q136">
        <v>3263</v>
      </c>
      <c r="R136">
        <v>14868</v>
      </c>
      <c r="S136">
        <v>11015</v>
      </c>
      <c r="T136">
        <v>147371</v>
      </c>
      <c r="U136">
        <v>1579156</v>
      </c>
      <c r="V136">
        <v>1530</v>
      </c>
    </row>
    <row r="137" spans="1:22" ht="15.75" x14ac:dyDescent="0.25">
      <c r="A137" s="7">
        <v>2005</v>
      </c>
      <c r="B137">
        <v>20245</v>
      </c>
      <c r="C137">
        <v>29595</v>
      </c>
      <c r="D137">
        <v>94712</v>
      </c>
      <c r="E137">
        <v>153551</v>
      </c>
      <c r="F137">
        <v>12844</v>
      </c>
      <c r="G137">
        <v>14902</v>
      </c>
      <c r="H137">
        <v>106919</v>
      </c>
      <c r="I137">
        <v>219990</v>
      </c>
      <c r="J137">
        <v>129092</v>
      </c>
      <c r="K137">
        <v>337655</v>
      </c>
      <c r="L137">
        <v>46967</v>
      </c>
      <c r="M137">
        <v>9250</v>
      </c>
      <c r="N137">
        <v>11573</v>
      </c>
      <c r="O137">
        <v>17810</v>
      </c>
      <c r="P137">
        <v>96390</v>
      </c>
      <c r="Q137">
        <v>3175</v>
      </c>
      <c r="R137">
        <v>14061</v>
      </c>
      <c r="S137">
        <v>11283</v>
      </c>
      <c r="T137">
        <v>147801</v>
      </c>
      <c r="U137">
        <v>1588872</v>
      </c>
      <c r="V137">
        <v>1575</v>
      </c>
    </row>
    <row r="138" spans="1:22" ht="15.75" x14ac:dyDescent="0.25">
      <c r="A138" s="7">
        <v>2006</v>
      </c>
      <c r="B138">
        <v>19516</v>
      </c>
      <c r="C138">
        <v>29134</v>
      </c>
      <c r="D138">
        <v>94810</v>
      </c>
      <c r="E138">
        <v>150050</v>
      </c>
      <c r="F138">
        <v>15000</v>
      </c>
      <c r="G138">
        <v>18052</v>
      </c>
      <c r="H138">
        <v>104331</v>
      </c>
      <c r="I138">
        <v>220578</v>
      </c>
      <c r="J138">
        <v>127992</v>
      </c>
      <c r="K138">
        <v>335779</v>
      </c>
      <c r="L138">
        <v>45596</v>
      </c>
      <c r="M138">
        <v>9150</v>
      </c>
      <c r="N138">
        <v>12069</v>
      </c>
      <c r="O138">
        <v>16119</v>
      </c>
      <c r="P138">
        <v>95456</v>
      </c>
      <c r="Q138">
        <v>3201</v>
      </c>
      <c r="R138">
        <v>13518</v>
      </c>
      <c r="S138">
        <v>11420</v>
      </c>
      <c r="T138">
        <v>147816</v>
      </c>
      <c r="U138">
        <v>1564662</v>
      </c>
      <c r="V138">
        <v>1813</v>
      </c>
    </row>
    <row r="139" spans="1:22" ht="15.75" x14ac:dyDescent="0.25">
      <c r="A139" s="7">
        <v>2007</v>
      </c>
      <c r="B139">
        <v>18855</v>
      </c>
      <c r="C139">
        <v>28147</v>
      </c>
      <c r="D139">
        <v>99049</v>
      </c>
      <c r="E139">
        <v>152932</v>
      </c>
      <c r="F139">
        <v>13704</v>
      </c>
      <c r="G139">
        <v>17448</v>
      </c>
      <c r="H139">
        <v>102504</v>
      </c>
      <c r="I139">
        <v>213803</v>
      </c>
      <c r="J139">
        <v>126173</v>
      </c>
      <c r="K139">
        <v>341188</v>
      </c>
      <c r="L139">
        <v>46841</v>
      </c>
      <c r="M139">
        <v>9176</v>
      </c>
      <c r="N139">
        <v>12296</v>
      </c>
      <c r="O139">
        <v>16598</v>
      </c>
      <c r="P139">
        <v>97692</v>
      </c>
      <c r="Q139">
        <v>3397</v>
      </c>
      <c r="R139">
        <v>13106</v>
      </c>
      <c r="S139">
        <v>10368</v>
      </c>
      <c r="T139">
        <v>144234</v>
      </c>
      <c r="U139">
        <v>1589500</v>
      </c>
      <c r="V139">
        <v>1636</v>
      </c>
    </row>
    <row r="140" spans="1:22" ht="15.75" x14ac:dyDescent="0.25">
      <c r="A140" s="7">
        <v>2008</v>
      </c>
      <c r="B140">
        <v>18617</v>
      </c>
      <c r="C140">
        <v>28329</v>
      </c>
      <c r="D140">
        <v>105720</v>
      </c>
      <c r="E140">
        <v>148616</v>
      </c>
      <c r="F140">
        <v>12806</v>
      </c>
      <c r="G140">
        <v>15433</v>
      </c>
      <c r="H140">
        <v>101599</v>
      </c>
      <c r="I140">
        <v>213624</v>
      </c>
      <c r="J140">
        <v>121949</v>
      </c>
      <c r="K140">
        <v>329129</v>
      </c>
      <c r="L140">
        <v>47408</v>
      </c>
      <c r="M140">
        <v>9344</v>
      </c>
      <c r="N140">
        <v>13724</v>
      </c>
      <c r="O140">
        <v>15914</v>
      </c>
      <c r="P140">
        <v>89797</v>
      </c>
      <c r="Q140">
        <v>3243</v>
      </c>
      <c r="R140">
        <v>13391</v>
      </c>
      <c r="S140">
        <v>11015</v>
      </c>
      <c r="T140">
        <v>142478</v>
      </c>
      <c r="U140">
        <v>1542634</v>
      </c>
      <c r="V140">
        <v>2272</v>
      </c>
    </row>
    <row r="141" spans="1:22" ht="15.75" x14ac:dyDescent="0.25">
      <c r="A141" s="7">
        <v>2009</v>
      </c>
      <c r="B141">
        <v>16979</v>
      </c>
      <c r="C141">
        <v>28414</v>
      </c>
      <c r="D141">
        <v>100122</v>
      </c>
      <c r="E141">
        <v>140152</v>
      </c>
      <c r="F141">
        <v>12136</v>
      </c>
      <c r="G141">
        <v>14499</v>
      </c>
      <c r="H141">
        <v>97334</v>
      </c>
      <c r="I141">
        <v>199686</v>
      </c>
      <c r="J141">
        <v>109515</v>
      </c>
      <c r="K141">
        <v>300150</v>
      </c>
      <c r="L141">
        <v>46264</v>
      </c>
      <c r="M141">
        <v>8815</v>
      </c>
      <c r="N141">
        <v>12838</v>
      </c>
      <c r="O141">
        <v>15656</v>
      </c>
      <c r="P141">
        <v>78603</v>
      </c>
      <c r="Q141">
        <v>3499</v>
      </c>
      <c r="R141">
        <v>11929</v>
      </c>
      <c r="S141">
        <v>11344</v>
      </c>
      <c r="T141">
        <v>129563</v>
      </c>
      <c r="U141">
        <v>1448552</v>
      </c>
      <c r="V141">
        <v>2152</v>
      </c>
    </row>
    <row r="142" spans="1:22" ht="15.75" x14ac:dyDescent="0.25">
      <c r="A142" s="7">
        <v>2010</v>
      </c>
      <c r="B142">
        <v>18243</v>
      </c>
      <c r="C142">
        <v>29710</v>
      </c>
      <c r="D142">
        <v>114468</v>
      </c>
      <c r="E142">
        <v>136116</v>
      </c>
      <c r="F142">
        <v>12627</v>
      </c>
      <c r="G142">
        <v>16865</v>
      </c>
      <c r="H142">
        <v>98520</v>
      </c>
      <c r="I142">
        <v>203268</v>
      </c>
      <c r="J142">
        <v>110801</v>
      </c>
      <c r="K142">
        <v>319257</v>
      </c>
      <c r="L142">
        <v>49653</v>
      </c>
      <c r="M142">
        <v>8604</v>
      </c>
      <c r="N142">
        <v>15595</v>
      </c>
      <c r="O142">
        <v>14279</v>
      </c>
      <c r="P142">
        <v>73541</v>
      </c>
      <c r="Q142">
        <v>3466</v>
      </c>
      <c r="R142">
        <v>14321</v>
      </c>
      <c r="S142">
        <v>10569</v>
      </c>
      <c r="T142">
        <v>134580</v>
      </c>
      <c r="U142">
        <v>1481608</v>
      </c>
      <c r="V142">
        <v>1812</v>
      </c>
    </row>
  </sheetData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42"/>
  <sheetViews>
    <sheetView workbookViewId="0">
      <selection activeCell="W21" sqref="W21"/>
    </sheetView>
  </sheetViews>
  <sheetFormatPr defaultRowHeight="12.75" x14ac:dyDescent="0.2"/>
  <cols>
    <col min="2" max="3" width="9.140625" style="41"/>
    <col min="5" max="8" width="9.140625" style="41"/>
    <col min="9" max="9" width="9.140625" style="43"/>
    <col min="10" max="10" width="9.140625" style="41"/>
    <col min="12" max="12" width="9.140625" style="41"/>
    <col min="13" max="13" width="9.140625" style="45"/>
    <col min="14" max="16" width="9.140625" style="41"/>
    <col min="18" max="21" width="9.140625" style="41"/>
  </cols>
  <sheetData>
    <row r="1" spans="1:22" ht="31.5" x14ac:dyDescent="0.25">
      <c r="A1" t="s">
        <v>34</v>
      </c>
      <c r="B1" s="40" t="s">
        <v>4</v>
      </c>
      <c r="C1" s="40" t="s">
        <v>5</v>
      </c>
      <c r="D1" s="2" t="s">
        <v>15</v>
      </c>
      <c r="E1" s="40" t="s">
        <v>2</v>
      </c>
      <c r="F1" s="40" t="s">
        <v>6</v>
      </c>
      <c r="G1" s="40" t="s">
        <v>7</v>
      </c>
      <c r="H1" s="40" t="s">
        <v>0</v>
      </c>
      <c r="I1" s="42" t="s">
        <v>8</v>
      </c>
      <c r="J1" s="40" t="s">
        <v>9</v>
      </c>
      <c r="K1" s="2" t="s">
        <v>16</v>
      </c>
      <c r="L1" s="40" t="s">
        <v>10</v>
      </c>
      <c r="M1" s="44" t="s">
        <v>20</v>
      </c>
      <c r="N1" s="40" t="s">
        <v>11</v>
      </c>
      <c r="O1" s="40" t="s">
        <v>1</v>
      </c>
      <c r="P1" s="40" t="s">
        <v>14</v>
      </c>
      <c r="Q1" s="2" t="s">
        <v>3</v>
      </c>
      <c r="R1" s="40" t="s">
        <v>12</v>
      </c>
      <c r="S1" s="40" t="s">
        <v>13</v>
      </c>
      <c r="T1" s="40" t="s">
        <v>18</v>
      </c>
      <c r="U1" s="40" t="s">
        <v>19</v>
      </c>
      <c r="V1" s="2" t="s">
        <v>32</v>
      </c>
    </row>
    <row r="2" spans="1:22" ht="15.75" x14ac:dyDescent="0.25">
      <c r="A2" s="31">
        <v>1870</v>
      </c>
      <c r="B2" s="41">
        <f>('CO2'!B2/Population!B2)*1000</f>
        <v>444.69026548672571</v>
      </c>
      <c r="C2" s="41">
        <f>('CO2'!C2/Population!C2)*1000</f>
        <v>1325.3532182103611</v>
      </c>
      <c r="D2">
        <f>('CO2'!D2/Population!D2)*1000</f>
        <v>0</v>
      </c>
      <c r="E2" s="41">
        <f>('CO2'!E2/Population!E2)*1000</f>
        <v>88.336418936789215</v>
      </c>
      <c r="F2" s="41">
        <f>('CO2'!F2/Population!F2)*1000</f>
        <v>165.25423728813558</v>
      </c>
      <c r="G2" s="41">
        <f>('CO2'!G2/Population!G2)*1000</f>
        <v>14.253135689851767</v>
      </c>
      <c r="H2" s="41">
        <f>('CO2'!H2/Population!H2)*1000</f>
        <v>358.81893860561917</v>
      </c>
      <c r="I2" s="43">
        <f>('CO2'!I2/Population!I2)*1000</f>
        <v>533.17529504728395</v>
      </c>
      <c r="J2" s="41">
        <f>('CO2'!J2/Population!J2)*1000</f>
        <v>26.211990820424557</v>
      </c>
      <c r="K2">
        <f>('CO2'!K2/Population!K2)*1000</f>
        <v>0</v>
      </c>
      <c r="L2" s="41">
        <f>('CO2'!L2/Population!L2)*1000</f>
        <v>373.68421052631578</v>
      </c>
      <c r="M2" s="45">
        <f>('CO2'!M2/Population!M2)*1000</f>
        <v>0</v>
      </c>
      <c r="N2" s="41">
        <f>('CO2'!N2/Population!N2)*1000</f>
        <v>99.135446685878961</v>
      </c>
      <c r="O2" s="41">
        <f>('CO2'!O2/Population!O2)*1000</f>
        <v>1.3866420152530623</v>
      </c>
      <c r="P2" s="41">
        <f>('CO2'!P2/Population!P2)*1000</f>
        <v>51.786926732917721</v>
      </c>
      <c r="Q2">
        <f>('CO2'!Q2/Population!Q2)*1000</f>
        <v>0</v>
      </c>
      <c r="R2" s="41">
        <f>('CO2'!R2/Population!R2)*1000</f>
        <v>87.896253602305478</v>
      </c>
      <c r="S2" s="41">
        <f>('CO2'!S2/Population!S2)*1000</f>
        <v>92.278719397363474</v>
      </c>
      <c r="T2" s="41">
        <f>('CO2'!T2/Population!T2)*1000</f>
        <v>1986.0509554140126</v>
      </c>
      <c r="U2" s="41">
        <f>('CO2'!U2/Population!U2)*1000</f>
        <v>668.87621626296868</v>
      </c>
      <c r="V2">
        <f>('CO2'!V2/Population!V2)*1000</f>
        <v>0</v>
      </c>
    </row>
    <row r="3" spans="1:22" ht="15.75" x14ac:dyDescent="0.25">
      <c r="A3" s="7">
        <v>1871</v>
      </c>
      <c r="B3" s="41">
        <f>('CO2'!B3/Population!B3)*1000</f>
        <v>606.75142481367811</v>
      </c>
      <c r="C3" s="41">
        <f>('CO2'!C3/Population!C3)*1000</f>
        <v>1260.0739731360718</v>
      </c>
      <c r="D3">
        <f>('CO2'!D3/Population!D3)*1000</f>
        <v>0</v>
      </c>
      <c r="E3" s="41">
        <f>('CO2'!E3/Population!E3)*1000</f>
        <v>127.86108918705605</v>
      </c>
      <c r="F3" s="41">
        <f>('CO2'!F3/Population!F3)*1000</f>
        <v>170.25748817656333</v>
      </c>
      <c r="G3" s="41">
        <f>('CO2'!G3/Population!G3)*1000</f>
        <v>17.357222844344903</v>
      </c>
      <c r="H3" s="41">
        <f>('CO2'!H3/Population!H3)*1000</f>
        <v>363.57371922292015</v>
      </c>
      <c r="I3" s="43">
        <f>('CO2'!I3/Population!I3)*1000</f>
        <v>590.37915652879155</v>
      </c>
      <c r="J3" s="41">
        <f>('CO2'!J3/Population!J3)*1000</f>
        <v>22.449488650536296</v>
      </c>
      <c r="K3">
        <f>('CO2'!K3/Population!K3)*1000</f>
        <v>0</v>
      </c>
      <c r="L3" s="41">
        <f>('CO2'!L3/Population!L3)*1000</f>
        <v>373.76237623762376</v>
      </c>
      <c r="M3" s="45">
        <f>('CO2'!M3/Population!M3)*1000</f>
        <v>0</v>
      </c>
      <c r="N3" s="41">
        <f>('CO2'!N3/Population!N3)*1000</f>
        <v>95.702005730659025</v>
      </c>
      <c r="O3" s="41">
        <f>('CO2'!O3/Population!O3)*1000</f>
        <v>2.2972662531587411</v>
      </c>
      <c r="P3" s="41">
        <f>('CO2'!P3/Population!P3)*1000</f>
        <v>49.329560831590605</v>
      </c>
      <c r="Q3">
        <f>('CO2'!Q3/Population!Q3)*1000</f>
        <v>0</v>
      </c>
      <c r="R3" s="41">
        <f>('CO2'!R3/Population!R3)*1000</f>
        <v>93.406593406593402</v>
      </c>
      <c r="S3" s="41">
        <f>('CO2'!S3/Population!S3)*1000</f>
        <v>113.05970149253731</v>
      </c>
      <c r="T3" s="41">
        <f>('CO2'!T3/Population!T3)*1000</f>
        <v>2084.8350954710431</v>
      </c>
      <c r="U3" s="41">
        <f>('CO2'!U3/Population!U3)*1000</f>
        <v>684.14521387902084</v>
      </c>
      <c r="V3">
        <f>('CO2'!V3/Population!V3)*1000</f>
        <v>0</v>
      </c>
    </row>
    <row r="4" spans="1:22" ht="15.75" x14ac:dyDescent="0.25">
      <c r="A4" s="7">
        <v>1872</v>
      </c>
      <c r="B4" s="41">
        <f>('CO2'!B4/Population!B4)*1000</f>
        <v>593.17984361424851</v>
      </c>
      <c r="C4" s="41">
        <f>('CO2'!C4/Population!C4)*1000</f>
        <v>1348.7833140208575</v>
      </c>
      <c r="D4">
        <f>('CO2'!D4/Population!D4)*1000</f>
        <v>0</v>
      </c>
      <c r="E4" s="41">
        <f>('CO2'!E4/Population!E4)*1000</f>
        <v>130.23255813953489</v>
      </c>
      <c r="F4" s="41">
        <f>('CO2'!F4/Population!F4)*1000</f>
        <v>162.14807090719498</v>
      </c>
      <c r="G4" s="41">
        <f>('CO2'!G4/Population!G4)*1000</f>
        <v>13.743815283122593</v>
      </c>
      <c r="H4" s="41">
        <f>('CO2'!H4/Population!H4)*1000</f>
        <v>441.30682873749305</v>
      </c>
      <c r="I4" s="43">
        <f>('CO2'!I4/Population!I4)*1000</f>
        <v>633.36776599229051</v>
      </c>
      <c r="J4" s="41">
        <f>('CO2'!J4/Population!J4)*1000</f>
        <v>28.760670137782029</v>
      </c>
      <c r="K4">
        <f>('CO2'!K4/Population!K4)*1000</f>
        <v>0</v>
      </c>
      <c r="L4" s="41">
        <f>('CO2'!L4/Population!L4)*1000</f>
        <v>397.32386673948662</v>
      </c>
      <c r="M4" s="45">
        <f>('CO2'!M4/Population!M4)*1000</f>
        <v>0</v>
      </c>
      <c r="N4" s="41">
        <f>('CO2'!N4/Population!N4)*1000</f>
        <v>101.99430199430199</v>
      </c>
      <c r="O4" s="41">
        <f>('CO2'!O4/Population!O4)*1000</f>
        <v>32.4274948618406</v>
      </c>
      <c r="P4" s="41">
        <f>('CO2'!P4/Population!P4)*1000</f>
        <v>54.551026662580448</v>
      </c>
      <c r="Q4">
        <f>('CO2'!Q4/Population!Q4)*1000</f>
        <v>0</v>
      </c>
      <c r="R4" s="41">
        <f>('CO2'!R4/Population!R4)*1000</f>
        <v>110.48024603737876</v>
      </c>
      <c r="S4" s="41">
        <f>('CO2'!S4/Population!S4)*1000</f>
        <v>129.03225806451613</v>
      </c>
      <c r="T4" s="41">
        <f>('CO2'!T4/Population!T4)*1000</f>
        <v>2183.3783020643787</v>
      </c>
      <c r="U4" s="41">
        <f>('CO2'!U4/Population!U4)*1000</f>
        <v>818.11277767229922</v>
      </c>
      <c r="V4">
        <f>('CO2'!V4/Population!V4)*1000</f>
        <v>0</v>
      </c>
    </row>
    <row r="5" spans="1:22" ht="15.75" x14ac:dyDescent="0.25">
      <c r="A5" s="7">
        <v>1873</v>
      </c>
      <c r="B5" s="41">
        <f>('CO2'!B5/Population!B5)*1000</f>
        <v>630.21954369349976</v>
      </c>
      <c r="C5" s="41">
        <f>('CO2'!C5/Population!C5)*1000</f>
        <v>1469.8218049434756</v>
      </c>
      <c r="D5">
        <f>('CO2'!D5/Population!D5)*1000</f>
        <v>0</v>
      </c>
      <c r="E5" s="41">
        <f>('CO2'!E5/Population!E5)*1000</f>
        <v>111.3365457773269</v>
      </c>
      <c r="F5" s="41">
        <f>('CO2'!F5/Population!F5)*1000</f>
        <v>162.27390180878552</v>
      </c>
      <c r="G5" s="41">
        <f>('CO2'!G5/Population!G5)*1000</f>
        <v>12.994044396318355</v>
      </c>
      <c r="H5" s="41">
        <f>('CO2'!H5/Population!H5)*1000</f>
        <v>474.35795919444661</v>
      </c>
      <c r="I5" s="43">
        <f>('CO2'!I5/Population!I5)*1000</f>
        <v>670.88987180448316</v>
      </c>
      <c r="J5" s="41">
        <f>('CO2'!J5/Population!J5)*1000</f>
        <v>26.631908972416952</v>
      </c>
      <c r="K5">
        <f>('CO2'!K5/Population!K5)*1000</f>
        <v>0</v>
      </c>
      <c r="L5" s="41">
        <f>('CO2'!L5/Population!L5)*1000</f>
        <v>382.28882833787463</v>
      </c>
      <c r="M5" s="45">
        <f>('CO2'!M5/Population!M5)*1000</f>
        <v>0</v>
      </c>
      <c r="N5" s="41">
        <f>('CO2'!N5/Population!N5)*1000</f>
        <v>101.86757215619694</v>
      </c>
      <c r="O5" s="41">
        <f>('CO2'!O5/Population!O5)*1000</f>
        <v>44.948921679909198</v>
      </c>
      <c r="P5" s="41">
        <f>('CO2'!P5/Population!P5)*1000</f>
        <v>52.284387979477152</v>
      </c>
      <c r="Q5">
        <f>('CO2'!Q5/Population!Q5)*1000</f>
        <v>0</v>
      </c>
      <c r="R5" s="41">
        <f>('CO2'!R5/Population!R5)*1000</f>
        <v>110.90313523631259</v>
      </c>
      <c r="S5" s="41">
        <f>('CO2'!S5/Population!S5)*1000</f>
        <v>124.49355432780847</v>
      </c>
      <c r="T5" s="41">
        <f>('CO2'!T5/Population!T5)*1000</f>
        <v>2244.8332659974517</v>
      </c>
      <c r="U5" s="41">
        <f>('CO2'!U5/Population!U5)*1000</f>
        <v>881.89651178950294</v>
      </c>
      <c r="V5">
        <f>('CO2'!V5/Population!V5)*1000</f>
        <v>0</v>
      </c>
    </row>
    <row r="6" spans="1:22" ht="15.75" x14ac:dyDescent="0.25">
      <c r="A6" s="7">
        <v>1874</v>
      </c>
      <c r="B6" s="41">
        <f>('CO2'!B6/Population!B6)*1000</f>
        <v>532.84982935153585</v>
      </c>
      <c r="C6" s="41">
        <f>('CO2'!C6/Population!C6)*1000</f>
        <v>1344.4212126972059</v>
      </c>
      <c r="D6">
        <f>('CO2'!D6/Population!D6)*1000</f>
        <v>0</v>
      </c>
      <c r="E6" s="41">
        <f>('CO2'!E6/Population!E6)*1000</f>
        <v>110.41874376869391</v>
      </c>
      <c r="F6" s="41">
        <f>('CO2'!F6/Population!F6)*1000</f>
        <v>173.49027635619242</v>
      </c>
      <c r="G6" s="41">
        <f>('CO2'!G6/Population!G6)*1000</f>
        <v>18.152696209289907</v>
      </c>
      <c r="H6" s="41">
        <f>('CO2'!H6/Population!H6)*1000</f>
        <v>449.40069393334039</v>
      </c>
      <c r="I6" s="43">
        <f>('CO2'!I6/Population!I6)*1000</f>
        <v>483.06551297898642</v>
      </c>
      <c r="J6" s="41">
        <f>('CO2'!J6/Population!J6)*1000</f>
        <v>28.696719873706368</v>
      </c>
      <c r="K6">
        <f>('CO2'!K6/Population!K6)*1000</f>
        <v>0</v>
      </c>
      <c r="L6" s="41">
        <f>('CO2'!L6/Population!L6)*1000</f>
        <v>345.52736982643523</v>
      </c>
      <c r="M6" s="45">
        <f>('CO2'!M6/Population!M6)*1000</f>
        <v>0</v>
      </c>
      <c r="N6" s="41">
        <f>('CO2'!N6/Population!N6)*1000</f>
        <v>125.0701065619742</v>
      </c>
      <c r="O6" s="41">
        <f>('CO2'!O6/Population!O6)*1000</f>
        <v>32.723990069961637</v>
      </c>
      <c r="P6" s="41">
        <f>('CO2'!P6/Population!P6)*1000</f>
        <v>51.798648730902677</v>
      </c>
      <c r="Q6">
        <f>('CO2'!Q6/Population!Q6)*1000</f>
        <v>0</v>
      </c>
      <c r="R6" s="41">
        <f>('CO2'!R6/Population!R6)*1000</f>
        <v>118.28703703703704</v>
      </c>
      <c r="S6" s="41">
        <f>('CO2'!S6/Population!S6)*1000</f>
        <v>116.72155140870838</v>
      </c>
      <c r="T6" s="41">
        <f>('CO2'!T6/Population!T6)*1000</f>
        <v>2159.7181625180765</v>
      </c>
      <c r="U6" s="41">
        <f>('CO2'!U6/Population!U6)*1000</f>
        <v>829.0283181036823</v>
      </c>
      <c r="V6">
        <f>('CO2'!V6/Population!V6)*1000</f>
        <v>0</v>
      </c>
    </row>
    <row r="7" spans="1:22" ht="15.75" x14ac:dyDescent="0.25">
      <c r="A7" s="7">
        <v>1875</v>
      </c>
      <c r="B7" s="41">
        <f>('CO2'!B7/Population!B7)*1000</f>
        <v>453.4883720930232</v>
      </c>
      <c r="C7" s="41">
        <f>('CO2'!C7/Population!C7)*1000</f>
        <v>1386.0079200452574</v>
      </c>
      <c r="D7">
        <f>('CO2'!D7/Population!D7)*1000</f>
        <v>0</v>
      </c>
      <c r="E7" s="41">
        <f>('CO2'!E7/Population!E7)*1000</f>
        <v>125.76762466224514</v>
      </c>
      <c r="F7" s="41">
        <f>('CO2'!F7/Population!F7)*1000</f>
        <v>201.72326406487582</v>
      </c>
      <c r="G7" s="41">
        <f>('CO2'!G7/Population!G7)*1000</f>
        <v>12.111637704054766</v>
      </c>
      <c r="H7" s="41">
        <f>('CO2'!H7/Population!H7)*1000</f>
        <v>466.00036629078255</v>
      </c>
      <c r="I7" s="43">
        <f>('CO2'!I7/Population!I7)*1000</f>
        <v>677.4824559258625</v>
      </c>
      <c r="J7" s="41">
        <f>('CO2'!J7/Population!J7)*1000</f>
        <v>29.235068110373735</v>
      </c>
      <c r="K7">
        <f>('CO2'!K7/Population!K7)*1000</f>
        <v>0</v>
      </c>
      <c r="L7" s="41">
        <f>('CO2'!L7/Population!L7)*1000</f>
        <v>390.44350580781418</v>
      </c>
      <c r="M7" s="45">
        <f>('CO2'!M7/Population!M7)*1000</f>
        <v>0</v>
      </c>
      <c r="N7" s="41">
        <f>('CO2'!N7/Population!N7)*1000</f>
        <v>155.2967276760954</v>
      </c>
      <c r="O7" s="41">
        <f>('CO2'!O7/Population!O7)*1000</f>
        <v>71.556751906684624</v>
      </c>
      <c r="P7" s="41">
        <f>('CO2'!P7/Population!P7)*1000</f>
        <v>54.46715594104446</v>
      </c>
      <c r="Q7">
        <f>('CO2'!Q7/Population!Q7)*1000</f>
        <v>0</v>
      </c>
      <c r="R7" s="41">
        <f>('CO2'!R7/Population!R7)*1000</f>
        <v>142.36588720770288</v>
      </c>
      <c r="S7" s="41">
        <f>('CO2'!S7/Population!S7)*1000</f>
        <v>126.90909090909092</v>
      </c>
      <c r="T7" s="41">
        <f>('CO2'!T7/Population!T7)*1000</f>
        <v>2256.3415451140413</v>
      </c>
      <c r="U7" s="41">
        <f>('CO2'!U7/Population!U7)*1000</f>
        <v>818.85291192396949</v>
      </c>
      <c r="V7">
        <f>('CO2'!V7/Population!V7)*1000</f>
        <v>0</v>
      </c>
    </row>
    <row r="8" spans="1:22" ht="15.75" x14ac:dyDescent="0.25">
      <c r="A8" s="7">
        <v>1876</v>
      </c>
      <c r="B8" s="41">
        <f>('CO2'!B8/Population!B8)*1000</f>
        <v>462.69907795473597</v>
      </c>
      <c r="C8" s="41">
        <f>('CO2'!C8/Population!C8)*1000</f>
        <v>1343.8727782974743</v>
      </c>
      <c r="D8">
        <f>('CO2'!D8/Population!D8)*1000</f>
        <v>0</v>
      </c>
      <c r="E8" s="41">
        <f>('CO2'!E8/Population!E8)*1000</f>
        <v>122.81976744186046</v>
      </c>
      <c r="F8" s="41">
        <f>('CO2'!F8/Population!F8)*1000</f>
        <v>211.13340020060181</v>
      </c>
      <c r="G8" s="41">
        <f>('CO2'!G8/Population!G8)*1000</f>
        <v>13.485477178423237</v>
      </c>
      <c r="H8" s="41">
        <f>('CO2'!H8/Population!H8)*1000</f>
        <v>464.5554455961248</v>
      </c>
      <c r="I8" s="43">
        <f>('CO2'!I8/Population!I8)*1000</f>
        <v>680.41261960425152</v>
      </c>
      <c r="J8" s="41">
        <f>('CO2'!J8/Population!J8)*1000</f>
        <v>38.873669244373552</v>
      </c>
      <c r="K8">
        <f>('CO2'!K8/Population!K8)*1000</f>
        <v>0</v>
      </c>
      <c r="L8" s="41">
        <f>('CO2'!L8/Population!L8)*1000</f>
        <v>442.32776617954073</v>
      </c>
      <c r="M8" s="45">
        <f>('CO2'!M8/Population!M8)*1000</f>
        <v>0</v>
      </c>
      <c r="N8" s="41">
        <f>('CO2'!N8/Population!N8)*1000</f>
        <v>135.04647348277749</v>
      </c>
      <c r="O8" s="41">
        <f>('CO2'!O8/Population!O8)*1000</f>
        <v>69.803746654772524</v>
      </c>
      <c r="P8" s="41">
        <f>('CO2'!P8/Population!P8)*1000</f>
        <v>58.869749168933211</v>
      </c>
      <c r="Q8">
        <f>('CO2'!Q8/Population!Q8)*1000</f>
        <v>0</v>
      </c>
      <c r="R8" s="41">
        <f>('CO2'!R8/Population!R8)*1000</f>
        <v>150.47662278710848</v>
      </c>
      <c r="S8" s="41">
        <f>('CO2'!S8/Population!S8)*1000</f>
        <v>147.39884393063585</v>
      </c>
      <c r="T8" s="41">
        <f>('CO2'!T8/Population!T8)*1000</f>
        <v>2227.9518072289156</v>
      </c>
      <c r="U8" s="41">
        <f>('CO2'!U8/Population!U8)*1000</f>
        <v>783.15725797740185</v>
      </c>
      <c r="V8">
        <f>('CO2'!V8/Population!V8)*1000</f>
        <v>0</v>
      </c>
    </row>
    <row r="9" spans="1:22" ht="15.75" x14ac:dyDescent="0.25">
      <c r="A9" s="7">
        <v>1877</v>
      </c>
      <c r="B9" s="41">
        <f>('CO2'!B9/Population!B9)*1000</f>
        <v>412.87642782969886</v>
      </c>
      <c r="C9" s="41">
        <f>('CO2'!C9/Population!C9)*1000</f>
        <v>1267.5194660734148</v>
      </c>
      <c r="D9">
        <f>('CO2'!D9/Population!D9)*1000</f>
        <v>0</v>
      </c>
      <c r="E9" s="41">
        <f>('CO2'!E9/Population!E9)*1000</f>
        <v>131.93116634799236</v>
      </c>
      <c r="F9" s="41">
        <f>('CO2'!F9/Population!F9)*1000</f>
        <v>206.0425953442298</v>
      </c>
      <c r="G9" s="41">
        <f>('CO2'!G9/Population!G9)*1000</f>
        <v>15.840572304547777</v>
      </c>
      <c r="H9" s="41">
        <f>('CO2'!H9/Population!H9)*1000</f>
        <v>452.27602654500208</v>
      </c>
      <c r="I9" s="43">
        <f>('CO2'!I9/Population!I9)*1000</f>
        <v>657.75324737117569</v>
      </c>
      <c r="J9" s="41">
        <f>('CO2'!J9/Population!J9)*1000</f>
        <v>35.710599649086589</v>
      </c>
      <c r="K9">
        <f>('CO2'!K9/Population!K9)*1000</f>
        <v>0</v>
      </c>
      <c r="L9" s="41">
        <f>('CO2'!L9/Population!L9)*1000</f>
        <v>443.47154262168425</v>
      </c>
      <c r="M9" s="45">
        <f>('CO2'!M9/Population!M9)*1000</f>
        <v>0</v>
      </c>
      <c r="N9" s="41">
        <f>('CO2'!N9/Population!N9)*1000</f>
        <v>179.80561555075593</v>
      </c>
      <c r="O9" s="41">
        <f>('CO2'!O9/Population!O9)*1000</f>
        <v>40.567501662602524</v>
      </c>
      <c r="P9" s="41">
        <f>('CO2'!P9/Population!P9)*1000</f>
        <v>62.157441426248269</v>
      </c>
      <c r="Q9">
        <f>('CO2'!Q9/Population!Q9)*1000</f>
        <v>0</v>
      </c>
      <c r="R9" s="41">
        <f>('CO2'!R9/Population!R9)*1000</f>
        <v>157.50504823872561</v>
      </c>
      <c r="S9" s="41">
        <f>('CO2'!S9/Population!S9)*1000</f>
        <v>138.90882986360373</v>
      </c>
      <c r="T9" s="41">
        <f>('CO2'!T9/Population!T9)*1000</f>
        <v>2242.673338098642</v>
      </c>
      <c r="U9" s="41">
        <f>('CO2'!U9/Population!U9)*1000</f>
        <v>848.76914949815102</v>
      </c>
      <c r="V9">
        <f>('CO2'!V9/Population!V9)*1000</f>
        <v>0</v>
      </c>
    </row>
    <row r="10" spans="1:22" ht="15.75" x14ac:dyDescent="0.25">
      <c r="A10" s="7">
        <v>1878</v>
      </c>
      <c r="B10" s="41">
        <f>('CO2'!B10/Population!B10)*1000</f>
        <v>406.83549516162236</v>
      </c>
      <c r="C10" s="41">
        <f>('CO2'!C10/Population!C10)*1000</f>
        <v>1366.0418963616316</v>
      </c>
      <c r="D10">
        <f>('CO2'!D10/Population!D10)*1000</f>
        <v>0</v>
      </c>
      <c r="E10" s="41">
        <f>('CO2'!E10/Population!E10)*1000</f>
        <v>124.41093308199812</v>
      </c>
      <c r="F10" s="41">
        <f>('CO2'!F10/Population!F10)*1000</f>
        <v>193.34312285854136</v>
      </c>
      <c r="G10" s="41">
        <f>('CO2'!G10/Population!G10)*1000</f>
        <v>17.650025214321733</v>
      </c>
      <c r="H10" s="41">
        <f>('CO2'!H10/Population!H10)*1000</f>
        <v>459.2265820498929</v>
      </c>
      <c r="I10" s="43">
        <f>('CO2'!I10/Population!I10)*1000</f>
        <v>670.63883796361586</v>
      </c>
      <c r="J10" s="41">
        <f>('CO2'!J10/Population!J10)*1000</f>
        <v>35.3138246957473</v>
      </c>
      <c r="K10">
        <f>('CO2'!K10/Population!K10)*1000</f>
        <v>0</v>
      </c>
      <c r="L10" s="41">
        <f>('CO2'!L10/Population!L10)*1000</f>
        <v>476.00417318727176</v>
      </c>
      <c r="M10" s="45">
        <f>('CO2'!M10/Population!M10)*1000</f>
        <v>207.70877944325483</v>
      </c>
      <c r="N10" s="41">
        <f>('CO2'!N10/Population!N10)*1000</f>
        <v>158.2312200319659</v>
      </c>
      <c r="O10" s="41">
        <f>('CO2'!O10/Population!O10)*1000</f>
        <v>38.56324371970031</v>
      </c>
      <c r="P10" s="41">
        <f>('CO2'!P10/Population!P10)*1000</f>
        <v>61.461893625951909</v>
      </c>
      <c r="Q10">
        <f>('CO2'!Q10/Population!Q10)*1000</f>
        <v>0</v>
      </c>
      <c r="R10" s="41">
        <f>('CO2'!R10/Population!R10)*1000</f>
        <v>131.98757763975155</v>
      </c>
      <c r="S10" s="41">
        <f>('CO2'!S10/Population!S10)*1000</f>
        <v>132.00142704245451</v>
      </c>
      <c r="T10" s="41">
        <f>('CO2'!T10/Population!T10)*1000</f>
        <v>2179.5355416715784</v>
      </c>
      <c r="U10" s="41">
        <f>('CO2'!U10/Population!U10)*1000</f>
        <v>812.10454489061658</v>
      </c>
      <c r="V10">
        <f>('CO2'!V10/Population!V10)*1000</f>
        <v>0</v>
      </c>
    </row>
    <row r="11" spans="1:22" ht="15.75" x14ac:dyDescent="0.25">
      <c r="A11" s="7">
        <v>1879</v>
      </c>
      <c r="B11" s="41">
        <f>('CO2'!B11/Population!B11)*1000</f>
        <v>493.77423964074302</v>
      </c>
      <c r="C11" s="41">
        <f>('CO2'!C11/Population!C11)*1000</f>
        <v>1378.1864530225782</v>
      </c>
      <c r="D11">
        <f>('CO2'!D11/Population!D11)*1000</f>
        <v>0</v>
      </c>
      <c r="E11" s="41">
        <f>('CO2'!E11/Population!E11)*1000</f>
        <v>138.21892393320965</v>
      </c>
      <c r="F11" s="41">
        <f>('CO2'!F11/Population!F11)*1000</f>
        <v>216.08527131782947</v>
      </c>
      <c r="G11" s="41">
        <f>('CO2'!G11/Population!G11)*1000</f>
        <v>10.427010923535255</v>
      </c>
      <c r="H11" s="41">
        <f>('CO2'!H11/Population!H11)*1000</f>
        <v>473.46372304608184</v>
      </c>
      <c r="I11" s="43">
        <f>('CO2'!I11/Population!I11)*1000</f>
        <v>702.70835268977055</v>
      </c>
      <c r="J11" s="41">
        <f>('CO2'!J11/Population!J11)*1000</f>
        <v>40.407816482582838</v>
      </c>
      <c r="K11">
        <f>('CO2'!K11/Population!K11)*1000</f>
        <v>0</v>
      </c>
      <c r="L11" s="41">
        <f>('CO2'!L11/Population!L11)*1000</f>
        <v>493.72804816859008</v>
      </c>
      <c r="M11" s="45">
        <f>('CO2'!M11/Population!M11)*1000</f>
        <v>279.35222672064782</v>
      </c>
      <c r="N11" s="41">
        <f>('CO2'!N11/Population!N11)*1000</f>
        <v>164.03785488958991</v>
      </c>
      <c r="O11" s="41">
        <f>('CO2'!O11/Population!O11)*1000</f>
        <v>42.222708378910525</v>
      </c>
      <c r="P11" s="41">
        <f>('CO2'!P11/Population!P11)*1000</f>
        <v>64.646946564885496</v>
      </c>
      <c r="Q11">
        <f>('CO2'!Q11/Population!Q11)*1000</f>
        <v>0</v>
      </c>
      <c r="R11" s="41">
        <f>('CO2'!R11/Population!R11)*1000</f>
        <v>132.60153677277717</v>
      </c>
      <c r="S11" s="41">
        <f>('CO2'!S11/Population!S11)*1000</f>
        <v>140.02126905352713</v>
      </c>
      <c r="T11" s="41">
        <f>('CO2'!T11/Population!T11)*1000</f>
        <v>2169.1930970149256</v>
      </c>
      <c r="U11" s="41">
        <f>('CO2'!U11/Population!U11)*1000</f>
        <v>969.43319838056686</v>
      </c>
      <c r="V11">
        <f>('CO2'!V11/Population!V11)*1000</f>
        <v>0</v>
      </c>
    </row>
    <row r="12" spans="1:22" ht="15.75" x14ac:dyDescent="0.25">
      <c r="A12" s="7">
        <v>1880</v>
      </c>
      <c r="B12" s="41">
        <f>('CO2'!B12/Population!B12)*1000</f>
        <v>1306.213317142279</v>
      </c>
      <c r="C12" s="41">
        <f>('CO2'!C12/Population!C12)*1000</f>
        <v>1498.6464537087168</v>
      </c>
      <c r="D12">
        <f>('CO2'!D12/Population!D12)*1000</f>
        <v>0</v>
      </c>
      <c r="E12" s="41">
        <f>('CO2'!E12/Population!E12)*1000</f>
        <v>325.72992700729924</v>
      </c>
      <c r="F12" s="41">
        <f>('CO2'!F12/Population!F12)*1000</f>
        <v>244.11340701585777</v>
      </c>
      <c r="G12" s="41">
        <f>('CO2'!G12/Population!G12)*1000</f>
        <v>13.190034196384953</v>
      </c>
      <c r="H12" s="41">
        <f>('CO2'!H12/Population!H12)*1000</f>
        <v>532.28326290177995</v>
      </c>
      <c r="I12" s="43">
        <f>('CO2'!I12/Population!I12)*1000</f>
        <v>781.14942528735628</v>
      </c>
      <c r="J12" s="41">
        <f>('CO2'!J12/Population!J12)*1000</f>
        <v>46.827385386334392</v>
      </c>
      <c r="K12">
        <f>('CO2'!K12/Population!K12)*1000</f>
        <v>0</v>
      </c>
      <c r="L12" s="41">
        <f>('CO2'!L12/Population!L12)*1000</f>
        <v>538.21419737818451</v>
      </c>
      <c r="M12" s="45">
        <f>('CO2'!M12/Population!M12)*1000</f>
        <v>344.23076923076923</v>
      </c>
      <c r="N12" s="41">
        <f>('CO2'!N12/Population!N12)*1000</f>
        <v>177.69671704012507</v>
      </c>
      <c r="O12" s="41">
        <f>('CO2'!O12/Population!O12)*1000</f>
        <v>52.060737527114966</v>
      </c>
      <c r="P12" s="41">
        <f>('CO2'!P12/Population!P12)*1000</f>
        <v>71.475176463609941</v>
      </c>
      <c r="Q12">
        <f>('CO2'!Q12/Population!Q12)*1000</f>
        <v>0</v>
      </c>
      <c r="R12" s="41">
        <f>('CO2'!R12/Population!R12)*1000</f>
        <v>168.85389326334209</v>
      </c>
      <c r="S12" s="41">
        <f>('CO2'!S12/Population!S12)*1000</f>
        <v>160.61993659739346</v>
      </c>
      <c r="T12" s="41">
        <f>('CO2'!T12/Population!T12)*1000</f>
        <v>2342.1713889610955</v>
      </c>
      <c r="U12" s="41">
        <f>('CO2'!U12/Population!U12)*1000</f>
        <v>1074.6759681319118</v>
      </c>
      <c r="V12">
        <f>('CO2'!V12/Population!V12)*1000</f>
        <v>0</v>
      </c>
    </row>
    <row r="13" spans="1:22" ht="15.75" x14ac:dyDescent="0.25">
      <c r="A13" s="7">
        <v>1881</v>
      </c>
      <c r="B13" s="41">
        <f>('CO2'!B13/Population!B13)*1000</f>
        <v>564.69408224674021</v>
      </c>
      <c r="C13" s="41">
        <f>('CO2'!C13/Population!C13)*1000</f>
        <v>1491.2593649661076</v>
      </c>
      <c r="D13">
        <f>('CO2'!D13/Population!D13)*1000</f>
        <v>0</v>
      </c>
      <c r="E13" s="41">
        <f>('CO2'!E13/Population!E13)*1000</f>
        <v>342.84430465064031</v>
      </c>
      <c r="F13" s="41">
        <f>('CO2'!F13/Population!F13)*1000</f>
        <v>256.06853879105188</v>
      </c>
      <c r="G13" s="41">
        <f>('CO2'!G13/Population!G13)*1000</f>
        <v>13.030888030888031</v>
      </c>
      <c r="H13" s="41">
        <f>('CO2'!H13/Population!H13)*1000</f>
        <v>543.08387129698144</v>
      </c>
      <c r="I13" s="43">
        <f>('CO2'!I13/Population!I13)*1000</f>
        <v>836.10559700641159</v>
      </c>
      <c r="J13" s="41">
        <f>('CO2'!J13/Population!J13)*1000</f>
        <v>54.799137233755729</v>
      </c>
      <c r="K13">
        <f>('CO2'!K13/Population!K13)*1000</f>
        <v>0</v>
      </c>
      <c r="L13" s="41">
        <f>('CO2'!L13/Population!L13)*1000</f>
        <v>537.14145623927436</v>
      </c>
      <c r="M13" s="45">
        <f>('CO2'!M13/Population!M13)*1000</f>
        <v>372.91280148423004</v>
      </c>
      <c r="N13" s="41">
        <f>('CO2'!N13/Population!N13)*1000</f>
        <v>183.56734269370776</v>
      </c>
      <c r="O13" s="41">
        <f>('CO2'!O13/Population!O13)*1000</f>
        <v>52.246828639002366</v>
      </c>
      <c r="P13" s="41">
        <f>('CO2'!P13/Population!P13)*1000</f>
        <v>79.4053448174149</v>
      </c>
      <c r="Q13">
        <f>('CO2'!Q13/Population!Q13)*1000</f>
        <v>0</v>
      </c>
      <c r="R13" s="41">
        <f>('CO2'!R13/Population!R13)*1000</f>
        <v>164.33260393873087</v>
      </c>
      <c r="S13" s="41">
        <f>('CO2'!S13/Population!S13)*1000</f>
        <v>149.66701717490361</v>
      </c>
      <c r="T13" s="41">
        <f>('CO2'!T13/Population!T13)*1000</f>
        <v>2439.9026763990264</v>
      </c>
      <c r="U13" s="41">
        <f>('CO2'!U13/Population!U13)*1000</f>
        <v>1108.6910306708153</v>
      </c>
      <c r="V13">
        <f>('CO2'!V13/Population!V13)*1000</f>
        <v>0</v>
      </c>
    </row>
    <row r="14" spans="1:22" ht="15.75" x14ac:dyDescent="0.25">
      <c r="A14" s="7">
        <v>1882</v>
      </c>
      <c r="B14" s="41">
        <f>('CO2'!B14/Population!B14)*1000</f>
        <v>575.14910536779325</v>
      </c>
      <c r="C14" s="41">
        <f>('CO2'!C14/Population!C14)*1000</f>
        <v>1560.5499735589633</v>
      </c>
      <c r="D14">
        <f>('CO2'!D14/Population!D14)*1000</f>
        <v>0</v>
      </c>
      <c r="E14" s="41">
        <f>('CO2'!E14/Population!E14)*1000</f>
        <v>401.06595602931378</v>
      </c>
      <c r="F14" s="41">
        <f>('CO2'!F14/Population!F14)*1000</f>
        <v>272.16981132075472</v>
      </c>
      <c r="G14" s="41">
        <f>('CO2'!G14/Population!G14)*1000</f>
        <v>15.729265967588178</v>
      </c>
      <c r="H14" s="41">
        <f>('CO2'!H14/Population!H14)*1000</f>
        <v>571.06540915677351</v>
      </c>
      <c r="I14" s="43">
        <f>('CO2'!I14/Population!I14)*1000</f>
        <v>888.87377584330795</v>
      </c>
      <c r="J14" s="41">
        <f>('CO2'!J14/Population!J14)*1000</f>
        <v>57.261355274600305</v>
      </c>
      <c r="K14">
        <f>('CO2'!K14/Population!K14)*1000</f>
        <v>0</v>
      </c>
      <c r="L14" s="41">
        <f>('CO2'!L14/Population!L14)*1000</f>
        <v>537.28813559322032</v>
      </c>
      <c r="M14" s="45">
        <f>('CO2'!M14/Population!M14)*1000</f>
        <v>407.2072072072072</v>
      </c>
      <c r="N14" s="41">
        <f>('CO2'!N14/Population!N14)*1000</f>
        <v>201.04166666666669</v>
      </c>
      <c r="O14" s="41">
        <f>('CO2'!O14/Population!O14)*1000</f>
        <v>63.099552334257083</v>
      </c>
      <c r="P14" s="41">
        <f>('CO2'!P14/Population!P14)*1000</f>
        <v>86.193745232646833</v>
      </c>
      <c r="Q14">
        <f>('CO2'!Q14/Population!Q14)*1000</f>
        <v>0</v>
      </c>
      <c r="R14" s="41">
        <f>('CO2'!R14/Population!R14)*1000</f>
        <v>187.71853146853147</v>
      </c>
      <c r="S14" s="41">
        <f>('CO2'!S14/Population!S14)*1000</f>
        <v>164.86203283269299</v>
      </c>
      <c r="T14" s="41">
        <f>('CO2'!T14/Population!T14)*1000</f>
        <v>2441.6860762370052</v>
      </c>
      <c r="U14" s="41">
        <f>('CO2'!U14/Population!U14)*1000</f>
        <v>1211.5526052765572</v>
      </c>
      <c r="V14">
        <f>('CO2'!V14/Population!V14)*1000</f>
        <v>0</v>
      </c>
    </row>
    <row r="15" spans="1:22" ht="15.75" x14ac:dyDescent="0.25">
      <c r="A15" s="7">
        <v>1883</v>
      </c>
      <c r="B15" s="41">
        <f>('CO2'!B15/Population!B15)*1000</f>
        <v>632.51231527093603</v>
      </c>
      <c r="C15" s="41">
        <f>('CO2'!C15/Population!C15)*1000</f>
        <v>1634.8432055749129</v>
      </c>
      <c r="D15">
        <f>('CO2'!D15/Population!D15)*1000</f>
        <v>0</v>
      </c>
      <c r="E15" s="41">
        <f>('CO2'!E15/Population!E15)*1000</f>
        <v>444.73684210526318</v>
      </c>
      <c r="F15" s="41">
        <f>('CO2'!F15/Population!F15)*1000</f>
        <v>310.24801123069722</v>
      </c>
      <c r="G15" s="41">
        <f>('CO2'!G15/Population!G15)*1000</f>
        <v>15.023474178403756</v>
      </c>
      <c r="H15" s="41">
        <f>('CO2'!H15/Population!H15)*1000</f>
        <v>596.85346574787195</v>
      </c>
      <c r="I15" s="43">
        <f>('CO2'!I15/Population!I15)*1000</f>
        <v>940.9737861453923</v>
      </c>
      <c r="J15" s="41">
        <f>('CO2'!J15/Population!J15)*1000</f>
        <v>60.239763557267622</v>
      </c>
      <c r="K15">
        <f>('CO2'!K15/Population!K15)*1000</f>
        <v>0</v>
      </c>
      <c r="L15" s="41">
        <f>('CO2'!L15/Population!L15)*1000</f>
        <v>588.27751196172255</v>
      </c>
      <c r="M15" s="45">
        <f>('CO2'!M15/Population!M15)*1000</f>
        <v>440.76655052264806</v>
      </c>
      <c r="N15" s="41">
        <f>('CO2'!N15/Population!N15)*1000</f>
        <v>216.77957269411152</v>
      </c>
      <c r="O15" s="41">
        <f>('CO2'!O15/Population!O15)*1000</f>
        <v>65.722738799661883</v>
      </c>
      <c r="P15" s="41">
        <f>('CO2'!P15/Population!P15)*1000</f>
        <v>94.012605042016801</v>
      </c>
      <c r="Q15">
        <f>('CO2'!Q15/Population!Q15)*1000</f>
        <v>0</v>
      </c>
      <c r="R15" s="41">
        <f>('CO2'!R15/Population!R15)*1000</f>
        <v>191.24373774776737</v>
      </c>
      <c r="S15" s="41">
        <f>('CO2'!S15/Population!S15)*1000</f>
        <v>181.62839248434238</v>
      </c>
      <c r="T15" s="41">
        <f>('CO2'!T15/Population!T15)*1000</f>
        <v>2523.1593794076161</v>
      </c>
      <c r="U15" s="41">
        <f>('CO2'!U15/Population!U15)*1000</f>
        <v>1275.8188948831728</v>
      </c>
      <c r="V15">
        <f>('CO2'!V15/Population!V15)*1000</f>
        <v>0</v>
      </c>
    </row>
    <row r="16" spans="1:22" ht="15.75" x14ac:dyDescent="0.25">
      <c r="A16" s="7">
        <v>1884</v>
      </c>
      <c r="B16" s="41">
        <f>('CO2'!B16/Population!B16)*1000</f>
        <v>610.81819957039636</v>
      </c>
      <c r="C16" s="41">
        <f>('CO2'!C16/Population!C16)*1000</f>
        <v>1591.8718787670055</v>
      </c>
      <c r="D16">
        <f>('CO2'!D16/Population!D16)*1000</f>
        <v>0</v>
      </c>
      <c r="E16" s="41">
        <f>('CO2'!E16/Population!E16)*1000</f>
        <v>508.3387481048299</v>
      </c>
      <c r="F16" s="41">
        <f>('CO2'!F16/Population!F16)*1000</f>
        <v>305.5555555555556</v>
      </c>
      <c r="G16" s="41">
        <f>('CO2'!G16/Population!G16)*1000</f>
        <v>18.022181146025876</v>
      </c>
      <c r="H16" s="41">
        <f>('CO2'!H16/Population!H16)*1000</f>
        <v>571.02122183249639</v>
      </c>
      <c r="I16" s="43">
        <f>('CO2'!I16/Population!I16)*1000</f>
        <v>960.15811689036775</v>
      </c>
      <c r="J16" s="41">
        <f>('CO2'!J16/Population!J16)*1000</f>
        <v>66.159520516366996</v>
      </c>
      <c r="K16">
        <f>('CO2'!K16/Population!K16)*1000</f>
        <v>0</v>
      </c>
      <c r="L16" s="41">
        <f>('CO2'!L16/Population!L16)*1000</f>
        <v>582.34737340274489</v>
      </c>
      <c r="M16" s="45">
        <f>('CO2'!M16/Population!M16)*1000</f>
        <v>483.27759197324417</v>
      </c>
      <c r="N16" s="41">
        <f>('CO2'!N16/Population!N16)*1000</f>
        <v>220.8398133748056</v>
      </c>
      <c r="O16" s="41">
        <f>('CO2'!O16/Population!O16)*1000</f>
        <v>68.719882673371046</v>
      </c>
      <c r="P16" s="41">
        <f>('CO2'!P16/Population!P16)*1000</f>
        <v>92.977365060940215</v>
      </c>
      <c r="Q16">
        <f>('CO2'!Q16/Population!Q16)*1000</f>
        <v>0</v>
      </c>
      <c r="R16" s="41">
        <f>('CO2'!R16/Population!R16)*1000</f>
        <v>209.55882352941177</v>
      </c>
      <c r="S16" s="41">
        <f>('CO2'!S16/Population!S16)*1000</f>
        <v>185.78856152512998</v>
      </c>
      <c r="T16" s="41">
        <f>('CO2'!T16/Population!T16)*1000</f>
        <v>2437.8569029224054</v>
      </c>
      <c r="U16" s="41">
        <f>('CO2'!U16/Population!U16)*1000</f>
        <v>1313.6433132475943</v>
      </c>
      <c r="V16">
        <f>('CO2'!V16/Population!V16)*1000</f>
        <v>0</v>
      </c>
    </row>
    <row r="17" spans="1:22" ht="15.75" x14ac:dyDescent="0.25">
      <c r="A17" s="7">
        <v>1885</v>
      </c>
      <c r="B17" s="41">
        <f>('CO2'!B17/Population!B17)*1000</f>
        <v>636.46922183507547</v>
      </c>
      <c r="C17" s="41">
        <f>('CO2'!C17/Population!C17)*1000</f>
        <v>1536.5895166780124</v>
      </c>
      <c r="D17">
        <f>('CO2'!D17/Population!D17)*1000</f>
        <v>0</v>
      </c>
      <c r="E17" s="41">
        <f>('CO2'!E17/Population!E17)*1000</f>
        <v>482.21174453493353</v>
      </c>
      <c r="F17" s="41">
        <f>('CO2'!F17/Population!F17)*1000</f>
        <v>316.55992680695334</v>
      </c>
      <c r="G17" s="41">
        <f>('CO2'!G17/Population!G17)*1000</f>
        <v>27.33485193621868</v>
      </c>
      <c r="H17" s="41">
        <f>('CO2'!H17/Population!H17)*1000</f>
        <v>547.55492915209027</v>
      </c>
      <c r="I17" s="43">
        <f>('CO2'!I17/Population!I17)*1000</f>
        <v>975.75636589477426</v>
      </c>
      <c r="J17" s="41">
        <f>('CO2'!J17/Population!J17)*1000</f>
        <v>74.598616368620284</v>
      </c>
      <c r="K17">
        <f>('CO2'!K17/Population!K17)*1000</f>
        <v>0</v>
      </c>
      <c r="L17" s="41">
        <f>('CO2'!L17/Population!L17)*1000</f>
        <v>601.26286248830684</v>
      </c>
      <c r="M17" s="45">
        <f>('CO2'!M17/Population!M17)*1000</f>
        <v>501.62866449511398</v>
      </c>
      <c r="N17" s="41">
        <f>('CO2'!N17/Population!N17)*1000</f>
        <v>250.51440329218104</v>
      </c>
      <c r="O17" s="41">
        <f>('CO2'!O17/Population!O17)*1000</f>
        <v>63.136033229491169</v>
      </c>
      <c r="P17" s="41">
        <f>('CO2'!P17/Population!P17)*1000</f>
        <v>90.746406511574207</v>
      </c>
      <c r="Q17">
        <f>('CO2'!Q17/Population!Q17)*1000</f>
        <v>0</v>
      </c>
      <c r="R17" s="41">
        <f>('CO2'!R17/Population!R17)*1000</f>
        <v>224.05660377358492</v>
      </c>
      <c r="S17" s="41">
        <f>('CO2'!S17/Population!S17)*1000</f>
        <v>192.67955801104972</v>
      </c>
      <c r="T17" s="41">
        <f>('CO2'!T17/Population!T17)*1000</f>
        <v>2389.3100097181732</v>
      </c>
      <c r="U17" s="41">
        <f>('CO2'!U17/Population!U17)*1000</f>
        <v>1305.9301323862937</v>
      </c>
      <c r="V17">
        <f>('CO2'!V17/Population!V17)*1000</f>
        <v>0</v>
      </c>
    </row>
    <row r="18" spans="1:22" ht="15.75" x14ac:dyDescent="0.25">
      <c r="A18" s="7">
        <v>1886</v>
      </c>
      <c r="B18" s="41">
        <f>('CO2'!B18/Population!B18)*1000</f>
        <v>595.3568687643899</v>
      </c>
      <c r="C18" s="41">
        <f>('CO2'!C18/Population!C18)*1000</f>
        <v>1480.3176212198007</v>
      </c>
      <c r="D18">
        <f>('CO2'!D18/Population!D18)*1000</f>
        <v>0</v>
      </c>
      <c r="E18" s="41">
        <f>('CO2'!E18/Population!E18)*1000</f>
        <v>509.65824665676075</v>
      </c>
      <c r="F18" s="41">
        <f>('CO2'!F18/Population!F18)*1000</f>
        <v>299.59331224582013</v>
      </c>
      <c r="G18" s="41">
        <f>('CO2'!G18/Population!G18)*1000</f>
        <v>15.737410071942445</v>
      </c>
      <c r="H18" s="41">
        <f>('CO2'!H18/Population!H18)*1000</f>
        <v>541.44713733754838</v>
      </c>
      <c r="I18" s="43">
        <f>('CO2'!I18/Population!I18)*1000</f>
        <v>977.82661246016926</v>
      </c>
      <c r="J18" s="41">
        <f>('CO2'!J18/Population!J18)*1000</f>
        <v>73.662378066565125</v>
      </c>
      <c r="K18">
        <f>('CO2'!K18/Population!K18)*1000</f>
        <v>0</v>
      </c>
      <c r="L18" s="41">
        <f>('CO2'!L18/Population!L18)*1000</f>
        <v>606.79611650485435</v>
      </c>
      <c r="M18" s="45">
        <f>('CO2'!M18/Population!M18)*1000</f>
        <v>514.37699680511184</v>
      </c>
      <c r="N18" s="41">
        <f>('CO2'!N18/Population!N18)*1000</f>
        <v>243.10520939734423</v>
      </c>
      <c r="O18" s="41">
        <f>('CO2'!O18/Population!O18)*1000</f>
        <v>69.178505250154416</v>
      </c>
      <c r="P18" s="41">
        <f>('CO2'!P18/Population!P18)*1000</f>
        <v>95.475944425307162</v>
      </c>
      <c r="Q18">
        <f>('CO2'!Q18/Population!Q18)*1000</f>
        <v>0</v>
      </c>
      <c r="R18" s="41">
        <f>('CO2'!R18/Population!R18)*1000</f>
        <v>217.87234042553192</v>
      </c>
      <c r="S18" s="41">
        <f>('CO2'!S18/Population!S18)*1000</f>
        <v>195.73443412452701</v>
      </c>
      <c r="T18" s="41">
        <f>('CO2'!T18/Population!T18)*1000</f>
        <v>2348.194861344422</v>
      </c>
      <c r="U18" s="41">
        <f>('CO2'!U18/Population!U18)*1000</f>
        <v>1348.8755931504024</v>
      </c>
      <c r="V18">
        <f>('CO2'!V18/Population!V18)*1000</f>
        <v>0</v>
      </c>
    </row>
    <row r="19" spans="1:22" ht="15.75" x14ac:dyDescent="0.25">
      <c r="A19" s="7">
        <v>1887</v>
      </c>
      <c r="B19" s="41">
        <f>('CO2'!B19/Population!B19)*1000</f>
        <v>636.29446452349248</v>
      </c>
      <c r="C19" s="41">
        <f>('CO2'!C19/Population!C19)*1000</f>
        <v>1555.0150956055015</v>
      </c>
      <c r="D19">
        <f>('CO2'!D19/Population!D19)*1000</f>
        <v>0</v>
      </c>
      <c r="E19" s="41">
        <f>('CO2'!E19/Population!E19)*1000</f>
        <v>581.93277310924373</v>
      </c>
      <c r="F19" s="41">
        <f>('CO2'!F19/Population!F19)*1000</f>
        <v>303.97854269110411</v>
      </c>
      <c r="G19" s="41">
        <f>('CO2'!G19/Population!G19)*1000</f>
        <v>15.493581230633025</v>
      </c>
      <c r="H19" s="41">
        <f>('CO2'!H19/Population!H19)*1000</f>
        <v>569.88142094311706</v>
      </c>
      <c r="I19" s="43">
        <f>('CO2'!I19/Population!I19)*1000</f>
        <v>1010.9345449011977</v>
      </c>
      <c r="J19" s="41">
        <f>('CO2'!J19/Population!J19)*1000</f>
        <v>89.213823311539812</v>
      </c>
      <c r="K19">
        <f>('CO2'!K19/Population!K19)*1000</f>
        <v>0</v>
      </c>
      <c r="L19" s="41">
        <f>('CO2'!L19/Population!L19)*1000</f>
        <v>610.09593421653722</v>
      </c>
      <c r="M19" s="45">
        <f>('CO2'!M19/Population!M19)*1000</f>
        <v>528.125</v>
      </c>
      <c r="N19" s="41">
        <f>('CO2'!N19/Population!N19)*1000</f>
        <v>232.99492385786803</v>
      </c>
      <c r="O19" s="41">
        <f>('CO2'!O19/Population!O19)*1000</f>
        <v>70.626658501735051</v>
      </c>
      <c r="P19" s="41">
        <f>('CO2'!P19/Population!P19)*1000</f>
        <v>95.70033689259408</v>
      </c>
      <c r="Q19">
        <f>('CO2'!Q19/Population!Q19)*1000</f>
        <v>0</v>
      </c>
      <c r="R19" s="41">
        <f>('CO2'!R19/Population!R19)*1000</f>
        <v>219.6360558611934</v>
      </c>
      <c r="S19" s="41">
        <f>('CO2'!S19/Population!S19)*1000</f>
        <v>211.10349554489378</v>
      </c>
      <c r="T19" s="41">
        <f>('CO2'!T19/Population!T19)*1000</f>
        <v>2389.6661019727853</v>
      </c>
      <c r="U19" s="41">
        <f>('CO2'!U19/Population!U19)*1000</f>
        <v>1411.1828825191762</v>
      </c>
      <c r="V19">
        <f>('CO2'!V19/Population!V19)*1000</f>
        <v>0</v>
      </c>
    </row>
    <row r="20" spans="1:22" ht="15.75" x14ac:dyDescent="0.25">
      <c r="A20" s="7">
        <v>1888</v>
      </c>
      <c r="B20" s="41">
        <f>('CO2'!B20/Population!B20)*1000</f>
        <v>615.12351499151418</v>
      </c>
      <c r="C20" s="41">
        <f>('CO2'!C20/Population!C20)*1000</f>
        <v>1638.0888962876643</v>
      </c>
      <c r="D20">
        <f>('CO2'!D20/Population!D20)*1000</f>
        <v>0</v>
      </c>
      <c r="E20" s="41">
        <f>('CO2'!E20/Population!E20)*1000</f>
        <v>754.83066694369415</v>
      </c>
      <c r="F20" s="41">
        <f>('CO2'!F20/Population!F20)*1000</f>
        <v>338.94550287992911</v>
      </c>
      <c r="G20" s="41">
        <f>('CO2'!G20/Population!G20)*1000</f>
        <v>14.372822299651569</v>
      </c>
      <c r="H20" s="41">
        <f>('CO2'!H20/Population!H20)*1000</f>
        <v>592.43486973947904</v>
      </c>
      <c r="I20" s="43">
        <f>('CO2'!I20/Population!I20)*1000</f>
        <v>1092.8488546993856</v>
      </c>
      <c r="J20" s="41">
        <f>('CO2'!J20/Population!J20)*1000</f>
        <v>95.189322408219439</v>
      </c>
      <c r="K20">
        <f>('CO2'!K20/Population!K20)*1000</f>
        <v>0</v>
      </c>
      <c r="L20" s="41">
        <f>('CO2'!L20/Population!L20)*1000</f>
        <v>668.77256317689523</v>
      </c>
      <c r="M20" s="45">
        <f>('CO2'!M20/Population!M20)*1000</f>
        <v>573.18952234206461</v>
      </c>
      <c r="N20" s="41">
        <f>('CO2'!N20/Population!N20)*1000</f>
        <v>268.58877086494687</v>
      </c>
      <c r="O20" s="41">
        <f>('CO2'!O20/Population!O20)*1000</f>
        <v>75.475515985430988</v>
      </c>
      <c r="P20" s="41">
        <f>('CO2'!P20/Population!P20)*1000</f>
        <v>99.77272727272728</v>
      </c>
      <c r="Q20">
        <f>('CO2'!Q20/Population!Q20)*1000</f>
        <v>0</v>
      </c>
      <c r="R20" s="41">
        <f>('CO2'!R20/Population!R20)*1000</f>
        <v>244.46319341910987</v>
      </c>
      <c r="S20" s="41">
        <f>('CO2'!S20/Population!S20)*1000</f>
        <v>214.74906111300785</v>
      </c>
      <c r="T20" s="41">
        <f>('CO2'!T20/Population!T20)*1000</f>
        <v>2465.4971394484965</v>
      </c>
      <c r="U20" s="41">
        <f>('CO2'!U20/Population!U20)*1000</f>
        <v>1680.1686096291905</v>
      </c>
      <c r="V20">
        <f>('CO2'!V20/Population!V20)*1000</f>
        <v>0</v>
      </c>
    </row>
    <row r="21" spans="1:22" ht="15.75" x14ac:dyDescent="0.25">
      <c r="A21" s="7">
        <v>1889</v>
      </c>
      <c r="B21" s="41">
        <f>('CO2'!B21/Population!B21)*1000</f>
        <v>657.06806282722516</v>
      </c>
      <c r="C21" s="41">
        <f>('CO2'!C21/Population!C21)*1000</f>
        <v>1661.3782845810611</v>
      </c>
      <c r="D21">
        <f>('CO2'!D21/Population!D21)*1000</f>
        <v>0</v>
      </c>
      <c r="E21" s="41">
        <f>('CO2'!E21/Population!E21)*1000</f>
        <v>633.50462487153141</v>
      </c>
      <c r="F21" s="41">
        <f>('CO2'!F21/Population!F21)*1000</f>
        <v>358.96309314586995</v>
      </c>
      <c r="G21" s="41">
        <f>('CO2'!G21/Population!G21)*1000</f>
        <v>18.876018876018875</v>
      </c>
      <c r="H21" s="41">
        <f>('CO2'!H21/Population!H21)*1000</f>
        <v>605.81441855814421</v>
      </c>
      <c r="I21" s="43">
        <f>('CO2'!I21/Population!I21)*1000</f>
        <v>1152.6665675509207</v>
      </c>
      <c r="J21" s="41">
        <f>('CO2'!J21/Population!J21)*1000</f>
        <v>97.622982077030628</v>
      </c>
      <c r="K21">
        <f>('CO2'!K21/Population!K21)*1000</f>
        <v>0</v>
      </c>
      <c r="L21" s="41">
        <f>('CO2'!L21/Population!L21)*1000</f>
        <v>645.7079152731327</v>
      </c>
      <c r="M21" s="45">
        <f>('CO2'!M21/Population!M21)*1000</f>
        <v>545.73170731707319</v>
      </c>
      <c r="N21" s="41">
        <f>('CO2'!N21/Population!N21)*1000</f>
        <v>305.44354838709677</v>
      </c>
      <c r="O21" s="41">
        <f>('CO2'!O21/Population!O21)*1000</f>
        <v>86.058174523570713</v>
      </c>
      <c r="P21" s="41">
        <f>('CO2'!P21/Population!P21)*1000</f>
        <v>105.32865708790587</v>
      </c>
      <c r="Q21">
        <f>('CO2'!Q21/Population!Q21)*1000</f>
        <v>0</v>
      </c>
      <c r="R21" s="41">
        <f>('CO2'!R21/Population!R21)*1000</f>
        <v>284.18399495904225</v>
      </c>
      <c r="S21" s="41">
        <f>('CO2'!S21/Population!S21)*1000</f>
        <v>236.05442176870747</v>
      </c>
      <c r="T21" s="41">
        <f>('CO2'!T21/Population!T21)*1000</f>
        <v>2532.8420033353059</v>
      </c>
      <c r="U21" s="41">
        <f>('CO2'!U21/Population!U21)*1000</f>
        <v>1476.6834365325076</v>
      </c>
      <c r="V21">
        <f>('CO2'!V21/Population!V21)*1000</f>
        <v>0</v>
      </c>
    </row>
    <row r="22" spans="1:22" ht="15.75" x14ac:dyDescent="0.25">
      <c r="A22" s="7">
        <v>1890</v>
      </c>
      <c r="B22" s="41">
        <f>('CO2'!B22/Population!B22)*1000</f>
        <v>659.62180200222463</v>
      </c>
      <c r="C22" s="41">
        <f>('CO2'!C22/Population!C22)*1000</f>
        <v>1782.972440944882</v>
      </c>
      <c r="D22">
        <f>('CO2'!D22/Population!D22)*1000</f>
        <v>0</v>
      </c>
      <c r="E22" s="41">
        <f>('CO2'!E22/Population!E22)*1000</f>
        <v>688.89792598617328</v>
      </c>
      <c r="F22" s="41">
        <f>('CO2'!F22/Population!F22)*1000</f>
        <v>341.32519616390584</v>
      </c>
      <c r="G22" s="41">
        <f>('CO2'!G22/Population!G22)*1000</f>
        <v>24.111675126903553</v>
      </c>
      <c r="H22" s="41">
        <f>('CO2'!H22/Population!H22)*1000</f>
        <v>667.19148298095661</v>
      </c>
      <c r="I22" s="43">
        <f>('CO2'!I22/Population!I22)*1000</f>
        <v>1193.7740248282817</v>
      </c>
      <c r="J22" s="41">
        <f>('CO2'!J22/Population!J22)*1000</f>
        <v>105.10377894139171</v>
      </c>
      <c r="K22">
        <f>('CO2'!K22/Population!K22)*1000</f>
        <v>0</v>
      </c>
      <c r="L22" s="41">
        <f>('CO2'!L22/Population!L22)*1000</f>
        <v>618.9636163175303</v>
      </c>
      <c r="M22" s="45">
        <f>('CO2'!M22/Population!M22)*1000</f>
        <v>583.45864661654139</v>
      </c>
      <c r="N22" s="41">
        <f>('CO2'!N22/Population!N22)*1000</f>
        <v>283.92588883324987</v>
      </c>
      <c r="O22" s="41">
        <f>('CO2'!O22/Population!O22)*1000</f>
        <v>91.089896579156729</v>
      </c>
      <c r="P22" s="41">
        <f>('CO2'!P22/Population!P22)*1000</f>
        <v>112.80058568451878</v>
      </c>
      <c r="Q22">
        <f>('CO2'!Q22/Population!Q22)*1000</f>
        <v>0</v>
      </c>
      <c r="R22" s="41">
        <f>('CO2'!R22/Population!R22)*1000</f>
        <v>282.42677824267781</v>
      </c>
      <c r="S22" s="41">
        <f>('CO2'!S22/Population!S22)*1000</f>
        <v>266.01152151812948</v>
      </c>
      <c r="T22" s="41">
        <f>('CO2'!T22/Population!T22)*1000</f>
        <v>2570.3348005869016</v>
      </c>
      <c r="U22" s="41">
        <f>('CO2'!U22/Population!U22)*1000</f>
        <v>1732.1253672869736</v>
      </c>
      <c r="V22">
        <f>('CO2'!V22/Population!V22)*1000</f>
        <v>0</v>
      </c>
    </row>
    <row r="23" spans="1:22" ht="15.75" x14ac:dyDescent="0.25">
      <c r="A23" s="7">
        <v>1891</v>
      </c>
      <c r="B23" s="41">
        <f>('CO2'!B23/Population!B23)*1000</f>
        <v>748.99008446566279</v>
      </c>
      <c r="C23" s="41">
        <f>('CO2'!C23/Population!C23)*1000</f>
        <v>1672.7774172615184</v>
      </c>
      <c r="D23">
        <f>('CO2'!D23/Population!D23)*1000</f>
        <v>0</v>
      </c>
      <c r="E23" s="41">
        <f>('CO2'!E23/Population!E23)*1000</f>
        <v>765.28559935639589</v>
      </c>
      <c r="F23" s="41">
        <f>('CO2'!F23/Population!F23)*1000</f>
        <v>364.34443963652097</v>
      </c>
      <c r="G23" s="41">
        <f>('CO2'!G23/Population!G23)*1000</f>
        <v>25.062656641604008</v>
      </c>
      <c r="H23" s="41">
        <f>('CO2'!H23/Population!H23)*1000</f>
        <v>668.83425455818724</v>
      </c>
      <c r="I23" s="43">
        <f>('CO2'!I23/Population!I23)*1000</f>
        <v>1252.3218849342393</v>
      </c>
      <c r="J23" s="41">
        <f>('CO2'!J23/Population!J23)*1000</f>
        <v>94.130189389188516</v>
      </c>
      <c r="K23">
        <f>('CO2'!K23/Population!K23)*1000</f>
        <v>0</v>
      </c>
      <c r="L23" s="41">
        <f>('CO2'!L23/Population!L23)*1000</f>
        <v>708.83315158124321</v>
      </c>
      <c r="M23" s="45">
        <f>('CO2'!M23/Population!M23)*1000</f>
        <v>603.85756676557867</v>
      </c>
      <c r="N23" s="41">
        <f>('CO2'!N23/Population!N23)*1000</f>
        <v>327.37208147044208</v>
      </c>
      <c r="O23" s="41">
        <f>('CO2'!O23/Population!O23)*1000</f>
        <v>93.72533543804262</v>
      </c>
      <c r="P23" s="41">
        <f>('CO2'!P23/Population!P23)*1000</f>
        <v>121.49585108768781</v>
      </c>
      <c r="Q23">
        <f>('CO2'!Q23/Population!Q23)*1000</f>
        <v>0</v>
      </c>
      <c r="R23" s="41">
        <f>('CO2'!R23/Population!R23)*1000</f>
        <v>300.58406341259905</v>
      </c>
      <c r="S23" s="41">
        <f>('CO2'!S23/Population!S23)*1000</f>
        <v>324.11467116357505</v>
      </c>
      <c r="T23" s="41">
        <f>('CO2'!T23/Population!T23)*1000</f>
        <v>2602.5607110734882</v>
      </c>
      <c r="U23" s="41">
        <f>('CO2'!U23/Population!U23)*1000</f>
        <v>1805.4695722156875</v>
      </c>
      <c r="V23">
        <f>('CO2'!V23/Population!V23)*1000</f>
        <v>0</v>
      </c>
    </row>
    <row r="24" spans="1:22" ht="15.75" x14ac:dyDescent="0.25">
      <c r="A24" s="7">
        <v>1892</v>
      </c>
      <c r="B24" s="41">
        <f>('CO2'!B24/Population!B24)*1000</f>
        <v>717.29651162790697</v>
      </c>
      <c r="C24" s="41">
        <f>('CO2'!C24/Population!C24)*1000</f>
        <v>1652.5437329481624</v>
      </c>
      <c r="D24">
        <f>('CO2'!D24/Population!D24)*1000</f>
        <v>0</v>
      </c>
      <c r="E24" s="41">
        <f>('CO2'!E24/Population!E24)*1000</f>
        <v>754.87853444842688</v>
      </c>
      <c r="F24" s="41">
        <f>('CO2'!F24/Population!F24)*1000</f>
        <v>371.7232488182209</v>
      </c>
      <c r="G24" s="41">
        <f>('CO2'!G24/Population!G24)*1000</f>
        <v>21.623827009383927</v>
      </c>
      <c r="H24" s="41">
        <f>('CO2'!H24/Population!H24)*1000</f>
        <v>669.61718300702626</v>
      </c>
      <c r="I24" s="43">
        <f>('CO2'!I24/Population!I24)*1000</f>
        <v>1206.5058704994551</v>
      </c>
      <c r="J24" s="41">
        <f>('CO2'!J24/Population!J24)*1000</f>
        <v>92.611635661088783</v>
      </c>
      <c r="K24">
        <f>('CO2'!K24/Population!K24)*1000</f>
        <v>0</v>
      </c>
      <c r="L24" s="41">
        <f>('CO2'!L24/Population!L24)*1000</f>
        <v>667.09844559585497</v>
      </c>
      <c r="M24" s="45">
        <f>('CO2'!M24/Population!M24)*1000</f>
        <v>597.66763848396499</v>
      </c>
      <c r="N24" s="41">
        <f>('CO2'!N24/Population!N24)*1000</f>
        <v>332.18163869693979</v>
      </c>
      <c r="O24" s="41">
        <f>('CO2'!O24/Population!O24)*1000</f>
        <v>90.517241379310349</v>
      </c>
      <c r="P24" s="41">
        <f>('CO2'!P24/Population!P24)*1000</f>
        <v>126.42330877427999</v>
      </c>
      <c r="Q24">
        <f>('CO2'!Q24/Population!Q24)*1000</f>
        <v>0</v>
      </c>
      <c r="R24" s="41">
        <f>('CO2'!R24/Population!R24)*1000</f>
        <v>298.23100936524457</v>
      </c>
      <c r="S24" s="41">
        <f>('CO2'!S24/Population!S24)*1000</f>
        <v>315.45636242504997</v>
      </c>
      <c r="T24" s="41">
        <f>('CO2'!T24/Population!T24)*1000</f>
        <v>2526.4855509519066</v>
      </c>
      <c r="U24" s="41">
        <f>('CO2'!U24/Population!U24)*1000</f>
        <v>1864.9161129820091</v>
      </c>
      <c r="V24">
        <f>('CO2'!V24/Population!V24)*1000</f>
        <v>0</v>
      </c>
    </row>
    <row r="25" spans="1:22" ht="15.75" x14ac:dyDescent="0.25">
      <c r="A25" s="7">
        <v>1893</v>
      </c>
      <c r="B25" s="41">
        <f>('CO2'!B25/Population!B25)*1000</f>
        <v>868.41632212834793</v>
      </c>
      <c r="C25" s="41">
        <f>('CO2'!C25/Population!C25)*1000</f>
        <v>1562.8571428571429</v>
      </c>
      <c r="D25">
        <f>('CO2'!D25/Population!D25)*1000</f>
        <v>0</v>
      </c>
      <c r="E25" s="41">
        <f>('CO2'!E25/Population!E25)*1000</f>
        <v>799.29022082018935</v>
      </c>
      <c r="F25" s="41">
        <f>('CO2'!F25/Population!F25)*1000</f>
        <v>348.97610921501706</v>
      </c>
      <c r="G25" s="41">
        <f>('CO2'!G25/Population!G25)*1000</f>
        <v>21.810699588477366</v>
      </c>
      <c r="H25" s="41">
        <f>('CO2'!H25/Population!H25)*1000</f>
        <v>657.0450342380168</v>
      </c>
      <c r="I25" s="43">
        <f>('CO2'!I25/Population!I25)*1000</f>
        <v>1226.2687539441811</v>
      </c>
      <c r="J25" s="41">
        <f>('CO2'!J25/Population!J25)*1000</f>
        <v>88.908150945732601</v>
      </c>
      <c r="K25">
        <f>('CO2'!K25/Population!K25)*1000</f>
        <v>0</v>
      </c>
      <c r="L25" s="41">
        <f>('CO2'!L25/Population!L25)*1000</f>
        <v>667.80529461998299</v>
      </c>
      <c r="M25" s="45">
        <f>('CO2'!M25/Population!M25)*1000</f>
        <v>597.16312056737581</v>
      </c>
      <c r="N25" s="41">
        <f>('CO2'!N25/Population!N25)*1000</f>
        <v>329.73503434739945</v>
      </c>
      <c r="O25" s="41">
        <f>('CO2'!O25/Population!O25)*1000</f>
        <v>80.334565259677106</v>
      </c>
      <c r="P25" s="41">
        <f>('CO2'!P25/Population!P25)*1000</f>
        <v>123.13847521671482</v>
      </c>
      <c r="Q25">
        <f>('CO2'!Q25/Population!Q25)*1000</f>
        <v>0</v>
      </c>
      <c r="R25" s="41">
        <f>('CO2'!R25/Population!R25)*1000</f>
        <v>299.21096345514951</v>
      </c>
      <c r="S25" s="41">
        <f>('CO2'!S25/Population!S25)*1000</f>
        <v>258.2236842105263</v>
      </c>
      <c r="T25" s="41">
        <f>('CO2'!T25/Population!T25)*1000</f>
        <v>2242.1927773447646</v>
      </c>
      <c r="U25" s="41">
        <f>('CO2'!U25/Population!U25)*1000</f>
        <v>1843.4055718344216</v>
      </c>
      <c r="V25">
        <f>('CO2'!V25/Population!V25)*1000</f>
        <v>0</v>
      </c>
    </row>
    <row r="26" spans="1:22" ht="15.75" x14ac:dyDescent="0.25">
      <c r="A26" s="7">
        <v>1894</v>
      </c>
      <c r="B26" s="41">
        <f>('CO2'!B26/Population!B26)*1000</f>
        <v>880.11383849163997</v>
      </c>
      <c r="C26" s="41">
        <f>('CO2'!C26/Population!C26)*1000</f>
        <v>1706.5934065934066</v>
      </c>
      <c r="D26">
        <f>('CO2'!D26/Population!D26)*1000</f>
        <v>0</v>
      </c>
      <c r="E26" s="41">
        <f>('CO2'!E26/Population!E26)*1000</f>
        <v>755.71177504393677</v>
      </c>
      <c r="F26" s="41">
        <f>('CO2'!F26/Population!F26)*1000</f>
        <v>392.05745669623997</v>
      </c>
      <c r="G26" s="41">
        <f>('CO2'!G26/Population!G26)*1000</f>
        <v>23.894862604540027</v>
      </c>
      <c r="H26" s="41">
        <f>('CO2'!H26/Population!H26)*1000</f>
        <v>694.30297583383265</v>
      </c>
      <c r="I26" s="43">
        <f>('CO2'!I26/Population!I26)*1000</f>
        <v>1260.2056213910628</v>
      </c>
      <c r="J26" s="41">
        <f>('CO2'!J26/Population!J26)*1000</f>
        <v>109.6484483129825</v>
      </c>
      <c r="K26">
        <f>('CO2'!K26/Population!K26)*1000</f>
        <v>0</v>
      </c>
      <c r="L26" s="41">
        <f>('CO2'!L26/Population!L26)*1000</f>
        <v>668.56419987349784</v>
      </c>
      <c r="M26" s="45">
        <f>('CO2'!M26/Population!M26)*1000</f>
        <v>608.03324099722988</v>
      </c>
      <c r="N26" s="41">
        <f>('CO2'!N26/Population!N26)*1000</f>
        <v>385.51288283908605</v>
      </c>
      <c r="O26" s="41">
        <f>('CO2'!O26/Population!O26)*1000</f>
        <v>93.665507918115111</v>
      </c>
      <c r="P26" s="41">
        <f>('CO2'!P26/Population!P26)*1000</f>
        <v>131.88758574905953</v>
      </c>
      <c r="Q26">
        <f>('CO2'!Q26/Population!Q26)*1000</f>
        <v>0</v>
      </c>
      <c r="R26" s="41">
        <f>('CO2'!R26/Population!R26)*1000</f>
        <v>331.61476593111985</v>
      </c>
      <c r="S26" s="41">
        <f>('CO2'!S26/Population!S26)*1000</f>
        <v>317.84205394865126</v>
      </c>
      <c r="T26" s="41">
        <f>('CO2'!T26/Population!T26)*1000</f>
        <v>2543.2203607915799</v>
      </c>
      <c r="U26" s="41">
        <f>('CO2'!U26/Population!U26)*1000</f>
        <v>1692.5198056637635</v>
      </c>
      <c r="V26">
        <f>('CO2'!V26/Population!V26)*1000</f>
        <v>0</v>
      </c>
    </row>
    <row r="27" spans="1:22" ht="15.75" x14ac:dyDescent="0.25">
      <c r="A27" s="7">
        <v>1895</v>
      </c>
      <c r="B27" s="41">
        <f>('CO2'!B27/Population!B27)*1000</f>
        <v>978.87323943661977</v>
      </c>
      <c r="C27" s="41">
        <f>('CO2'!C27/Population!C27)*1000</f>
        <v>1701.0405342444478</v>
      </c>
      <c r="D27">
        <f>('CO2'!D27/Population!D27)*1000</f>
        <v>0</v>
      </c>
      <c r="E27" s="41">
        <f>('CO2'!E27/Population!E27)*1000</f>
        <v>714.45153801509002</v>
      </c>
      <c r="F27" s="41">
        <f>('CO2'!F27/Population!F27)*1000</f>
        <v>401.33500208594074</v>
      </c>
      <c r="G27" s="41">
        <f>('CO2'!G27/Population!G27)*1000</f>
        <v>25.775271848570277</v>
      </c>
      <c r="H27" s="41">
        <f>('CO2'!H27/Population!H27)*1000</f>
        <v>699.53613646565918</v>
      </c>
      <c r="I27" s="43">
        <f>('CO2'!I27/Population!I27)*1000</f>
        <v>1291.3051247939954</v>
      </c>
      <c r="J27" s="41">
        <f>('CO2'!J27/Population!J27)*1000</f>
        <v>100.37015509804522</v>
      </c>
      <c r="K27">
        <f>('CO2'!K27/Population!K27)*1000</f>
        <v>0</v>
      </c>
      <c r="L27" s="41">
        <f>('CO2'!L27/Population!L27)*1000</f>
        <v>660.62877368311467</v>
      </c>
      <c r="M27" s="45">
        <f>('CO2'!M27/Population!M27)*1000</f>
        <v>602.72108843537421</v>
      </c>
      <c r="N27" s="41">
        <f>('CO2'!N27/Population!N27)*1000</f>
        <v>400.86413826212191</v>
      </c>
      <c r="O27" s="41">
        <f>('CO2'!O27/Population!O27)*1000</f>
        <v>88.782358581016297</v>
      </c>
      <c r="P27" s="41">
        <f>('CO2'!P27/Population!P27)*1000</f>
        <v>129.31651704576745</v>
      </c>
      <c r="Q27">
        <f>('CO2'!Q27/Population!Q27)*1000</f>
        <v>0</v>
      </c>
      <c r="R27" s="41">
        <f>('CO2'!R27/Population!R27)*1000</f>
        <v>331.90359477124184</v>
      </c>
      <c r="S27" s="41">
        <f>('CO2'!S27/Population!S27)*1000</f>
        <v>337.1868978805395</v>
      </c>
      <c r="T27" s="41">
        <f>('CO2'!T27/Population!T27)*1000</f>
        <v>2543.7393233216899</v>
      </c>
      <c r="U27" s="41">
        <f>('CO2'!U27/Population!U27)*1000</f>
        <v>1875.2773761291892</v>
      </c>
      <c r="V27">
        <f>('CO2'!V27/Population!V27)*1000</f>
        <v>0</v>
      </c>
    </row>
    <row r="28" spans="1:22" ht="15.75" x14ac:dyDescent="0.25">
      <c r="A28" s="7">
        <v>1896</v>
      </c>
      <c r="B28" s="41">
        <f>('CO2'!B28/Population!B28)*1000</f>
        <v>1012.8942324446768</v>
      </c>
      <c r="C28" s="41">
        <f>('CO2'!C28/Population!C28)*1000</f>
        <v>1776.8709578072067</v>
      </c>
      <c r="D28">
        <f>('CO2'!D28/Population!D28)*1000</f>
        <v>0</v>
      </c>
      <c r="E28" s="41">
        <f>('CO2'!E28/Population!E28)*1000</f>
        <v>766.193944039862</v>
      </c>
      <c r="F28" s="41">
        <f>('CO2'!F28/Population!F28)*1000</f>
        <v>484.76112026359141</v>
      </c>
      <c r="G28" s="41">
        <f>('CO2'!G28/Population!G28)*1000</f>
        <v>32.206759443339962</v>
      </c>
      <c r="H28" s="41">
        <f>('CO2'!H28/Population!H28)*1000</f>
        <v>721.71078821656056</v>
      </c>
      <c r="I28" s="43">
        <f>('CO2'!I28/Population!I28)*1000</f>
        <v>1368.3942791179982</v>
      </c>
      <c r="J28" s="41">
        <f>('CO2'!J28/Population!J28)*1000</f>
        <v>94.878739007394344</v>
      </c>
      <c r="K28">
        <f>('CO2'!K28/Population!K28)*1000</f>
        <v>0</v>
      </c>
      <c r="L28" s="41">
        <f>('CO2'!L28/Population!L28)*1000</f>
        <v>700.78092889436903</v>
      </c>
      <c r="M28" s="45">
        <f>('CO2'!M28/Population!M28)*1000</f>
        <v>645.72192513368987</v>
      </c>
      <c r="N28" s="41">
        <f>('CO2'!N28/Population!N28)*1000</f>
        <v>403.88257575757575</v>
      </c>
      <c r="O28" s="41">
        <f>('CO2'!O28/Population!O28)*1000</f>
        <v>89.870525514089877</v>
      </c>
      <c r="P28" s="41">
        <f>('CO2'!P28/Population!P28)*1000</f>
        <v>139.21482618708191</v>
      </c>
      <c r="Q28">
        <f>('CO2'!Q28/Population!Q28)*1000</f>
        <v>0</v>
      </c>
      <c r="R28" s="41">
        <f>('CO2'!R28/Population!R28)*1000</f>
        <v>340.01214329083177</v>
      </c>
      <c r="S28" s="41">
        <f>('CO2'!S28/Population!S28)*1000</f>
        <v>364.64614408124407</v>
      </c>
      <c r="T28" s="41">
        <f>('CO2'!T28/Population!T28)*1000</f>
        <v>2591.353317002955</v>
      </c>
      <c r="U28" s="41">
        <f>('CO2'!U28/Population!U28)*1000</f>
        <v>1844.3388934950324</v>
      </c>
      <c r="V28">
        <f>('CO2'!V28/Population!V28)*1000</f>
        <v>0</v>
      </c>
    </row>
    <row r="29" spans="1:22" ht="15.75" x14ac:dyDescent="0.25">
      <c r="A29" s="7">
        <v>1897</v>
      </c>
      <c r="B29" s="41">
        <f>('CO2'!B29/Population!B29)*1000</f>
        <v>1083.6495343221802</v>
      </c>
      <c r="C29" s="41">
        <f>('CO2'!C29/Population!C29)*1000</f>
        <v>1823.3048259010384</v>
      </c>
      <c r="D29">
        <f>('CO2'!D29/Population!D29)*1000</f>
        <v>0</v>
      </c>
      <c r="E29" s="41">
        <f>('CO2'!E29/Population!E29)*1000</f>
        <v>766.55911937749102</v>
      </c>
      <c r="F29" s="41">
        <f>('CO2'!F29/Population!F29)*1000</f>
        <v>512.59138911454102</v>
      </c>
      <c r="G29" s="41">
        <f>('CO2'!G29/Population!G29)*1000</f>
        <v>55.315810121616323</v>
      </c>
      <c r="H29" s="41">
        <f>('CO2'!H29/Population!H29)*1000</f>
        <v>752.60235947258843</v>
      </c>
      <c r="I29" s="43">
        <f>('CO2'!I29/Population!I29)*1000</f>
        <v>1437.9538144488743</v>
      </c>
      <c r="J29" s="41">
        <f>('CO2'!J29/Population!J29)*1000</f>
        <v>98.343309752705721</v>
      </c>
      <c r="K29">
        <f>('CO2'!K29/Population!K29)*1000</f>
        <v>0</v>
      </c>
      <c r="L29" s="41">
        <f>('CO2'!L29/Population!L29)*1000</f>
        <v>724.62006079027356</v>
      </c>
      <c r="M29" s="45">
        <f>('CO2'!M29/Population!M29)*1000</f>
        <v>670.15706806282731</v>
      </c>
      <c r="N29" s="41">
        <f>('CO2'!N29/Population!N29)*1000</f>
        <v>431.37254901960785</v>
      </c>
      <c r="O29" s="41">
        <f>('CO2'!O29/Population!O29)*1000</f>
        <v>93.761814744801512</v>
      </c>
      <c r="P29" s="41">
        <f>('CO2'!P29/Population!P29)*1000</f>
        <v>142.1943231441048</v>
      </c>
      <c r="Q29">
        <f>('CO2'!Q29/Population!Q29)*1000</f>
        <v>0</v>
      </c>
      <c r="R29" s="41">
        <f>('CO2'!R29/Population!R29)*1000</f>
        <v>375.25070196550342</v>
      </c>
      <c r="S29" s="41">
        <f>('CO2'!S29/Population!S29)*1000</f>
        <v>380.17565872020077</v>
      </c>
      <c r="T29" s="41">
        <f>('CO2'!T29/Population!T29)*1000</f>
        <v>2634.3811738815111</v>
      </c>
      <c r="U29" s="41">
        <f>('CO2'!U29/Population!U29)*1000</f>
        <v>1884.0777690386499</v>
      </c>
      <c r="V29">
        <f>('CO2'!V29/Population!V29)*1000</f>
        <v>0</v>
      </c>
    </row>
    <row r="30" spans="1:22" ht="15.75" x14ac:dyDescent="0.25">
      <c r="A30" s="7">
        <v>1898</v>
      </c>
      <c r="B30" s="41">
        <f>('CO2'!B30/Population!B30)*1000</f>
        <v>1139.6857923497269</v>
      </c>
      <c r="C30" s="41">
        <f>('CO2'!C30/Population!C30)*1000</f>
        <v>1863.2646880678376</v>
      </c>
      <c r="D30">
        <f>('CO2'!D30/Population!D30)*1000</f>
        <v>0</v>
      </c>
      <c r="E30" s="41">
        <f>('CO2'!E30/Population!E30)*1000</f>
        <v>805.07042253521126</v>
      </c>
      <c r="F30" s="41">
        <f>('CO2'!F30/Population!F30)*1000</f>
        <v>525.03003604325193</v>
      </c>
      <c r="G30" s="41">
        <f>('CO2'!G30/Population!G30)*1000</f>
        <v>51.371185786017762</v>
      </c>
      <c r="H30" s="41">
        <f>('CO2'!H30/Population!H30)*1000</f>
        <v>775.80115138487383</v>
      </c>
      <c r="I30" s="43">
        <f>('CO2'!I30/Population!I30)*1000</f>
        <v>1476.4468371467026</v>
      </c>
      <c r="J30" s="41">
        <f>('CO2'!J30/Population!J30)*1000</f>
        <v>101.69746131891243</v>
      </c>
      <c r="K30">
        <f>('CO2'!K30/Population!K30)*1000</f>
        <v>0</v>
      </c>
      <c r="L30" s="41">
        <f>('CO2'!L30/Population!L30)*1000</f>
        <v>705.57665400759538</v>
      </c>
      <c r="M30" s="45">
        <f>('CO2'!M30/Population!M30)*1000</f>
        <v>708.60077021822849</v>
      </c>
      <c r="N30" s="41">
        <f>('CO2'!N30/Population!N30)*1000</f>
        <v>425.02299908003681</v>
      </c>
      <c r="O30" s="41">
        <f>('CO2'!O30/Population!O30)*1000</f>
        <v>106.62661911019336</v>
      </c>
      <c r="P30" s="41">
        <f>('CO2'!P30/Population!P30)*1000</f>
        <v>139.00662971416151</v>
      </c>
      <c r="Q30">
        <f>('CO2'!Q30/Population!Q30)*1000</f>
        <v>0</v>
      </c>
      <c r="R30" s="41">
        <f>('CO2'!R30/Population!R30)*1000</f>
        <v>395.55202541699765</v>
      </c>
      <c r="S30" s="41">
        <f>('CO2'!S30/Population!S30)*1000</f>
        <v>401.73589584624926</v>
      </c>
      <c r="T30" s="41">
        <f>('CO2'!T30/Population!T30)*1000</f>
        <v>2614.8188504494688</v>
      </c>
      <c r="U30" s="41">
        <f>('CO2'!U30/Population!U30)*1000</f>
        <v>2017.2131036445696</v>
      </c>
      <c r="V30">
        <f>('CO2'!V30/Population!V30)*1000</f>
        <v>0</v>
      </c>
    </row>
    <row r="31" spans="1:22" ht="15.75" x14ac:dyDescent="0.25">
      <c r="A31" s="7">
        <v>1899</v>
      </c>
      <c r="B31" s="41">
        <f>('CO2'!B31/Population!B31)*1000</f>
        <v>1145.0549450549449</v>
      </c>
      <c r="C31" s="41">
        <f>('CO2'!C31/Population!C31)*1000</f>
        <v>1930.6514560192134</v>
      </c>
      <c r="D31">
        <f>('CO2'!D31/Population!D31)*1000</f>
        <v>0</v>
      </c>
      <c r="E31" s="41">
        <f>('CO2'!E31/Population!E31)*1000</f>
        <v>971.94872747538557</v>
      </c>
      <c r="F31" s="41">
        <f>('CO2'!F31/Population!F31)*1000</f>
        <v>566.40316205533588</v>
      </c>
      <c r="G31" s="41">
        <f>('CO2'!G31/Population!G31)*1000</f>
        <v>76.600609756097555</v>
      </c>
      <c r="H31" s="41">
        <f>('CO2'!H31/Population!H31)*1000</f>
        <v>809.77161742218721</v>
      </c>
      <c r="I31" s="43">
        <f>('CO2'!I31/Population!I31)*1000</f>
        <v>1544.5215703836393</v>
      </c>
      <c r="J31" s="41">
        <f>('CO2'!J31/Population!J31)*1000</f>
        <v>110.75939916982709</v>
      </c>
      <c r="K31">
        <f>('CO2'!K31/Population!K31)*1000</f>
        <v>0</v>
      </c>
      <c r="L31" s="41">
        <f>('CO2'!L31/Population!L31)*1000</f>
        <v>714.79289940828403</v>
      </c>
      <c r="M31" s="45">
        <f>('CO2'!M31/Population!M31)*1000</f>
        <v>748.11083123425692</v>
      </c>
      <c r="N31" s="41">
        <f>('CO2'!N31/Population!N31)*1000</f>
        <v>501.36116152450091</v>
      </c>
      <c r="O31" s="41">
        <f>('CO2'!O31/Population!O31)*1000</f>
        <v>109.01975400670891</v>
      </c>
      <c r="P31" s="41">
        <f>('CO2'!P31/Population!P31)*1000</f>
        <v>156.89244752218136</v>
      </c>
      <c r="Q31">
        <f>('CO2'!Q31/Population!Q31)*1000</f>
        <v>0</v>
      </c>
      <c r="R31" s="41">
        <f>('CO2'!R31/Population!R31)*1000</f>
        <v>490.74803149606299</v>
      </c>
      <c r="S31" s="41">
        <f>('CO2'!S31/Population!S31)*1000</f>
        <v>428.4400858106037</v>
      </c>
      <c r="T31" s="41">
        <f>('CO2'!T31/Population!T31)*1000</f>
        <v>2774.9245824442646</v>
      </c>
      <c r="U31" s="41">
        <f>('CO2'!U31/Population!U31)*1000</f>
        <v>2273.561412153254</v>
      </c>
      <c r="V31">
        <f>('CO2'!V31/Population!V31)*1000</f>
        <v>0</v>
      </c>
    </row>
    <row r="32" spans="1:22" ht="15.75" x14ac:dyDescent="0.25">
      <c r="A32" s="7">
        <v>1900</v>
      </c>
      <c r="B32" s="41">
        <f>('CO2'!B32/Population!B32)*1000</f>
        <v>1264.5236899380545</v>
      </c>
      <c r="C32" s="41">
        <f>('CO2'!C32/Population!C32)*1000</f>
        <v>2017.4133055514214</v>
      </c>
      <c r="D32">
        <f>('CO2'!D32/Population!D32)*1000</f>
        <v>0</v>
      </c>
      <c r="E32" s="41">
        <f>('CO2'!E32/Population!E32)*1000</f>
        <v>1031.7024005864027</v>
      </c>
      <c r="F32" s="41">
        <f>('CO2'!F32/Population!F32)*1000</f>
        <v>548.61382272549781</v>
      </c>
      <c r="G32" s="41">
        <f>('CO2'!G32/Population!G32)*1000</f>
        <v>61.980347694633409</v>
      </c>
      <c r="H32" s="41">
        <f>('CO2'!H32/Population!H32)*1000</f>
        <v>869.0822207990542</v>
      </c>
      <c r="I32" s="43">
        <f>('CO2'!I32/Population!I32)*1000</f>
        <v>1639.718320217695</v>
      </c>
      <c r="J32" s="41">
        <f>('CO2'!J32/Population!J32)*1000</f>
        <v>112.73461629840817</v>
      </c>
      <c r="K32">
        <f>('CO2'!K32/Population!K32)*1000</f>
        <v>0</v>
      </c>
      <c r="L32" s="41">
        <f>('CO2'!L32/Population!L32)*1000</f>
        <v>776.74056787242318</v>
      </c>
      <c r="M32" s="45">
        <f>('CO2'!M32/Population!M32)*1000</f>
        <v>825.27881040892191</v>
      </c>
      <c r="N32" s="41">
        <f>('CO2'!N32/Population!N32)*1000</f>
        <v>508.52017937219728</v>
      </c>
      <c r="O32" s="41">
        <f>('CO2'!O32/Population!O32)*1000</f>
        <v>124.53737971872687</v>
      </c>
      <c r="P32" s="41">
        <f>('CO2'!P32/Population!P32)*1000</f>
        <v>164.92513196165032</v>
      </c>
      <c r="Q32">
        <f>('CO2'!Q32/Population!Q32)*1000</f>
        <v>0</v>
      </c>
      <c r="R32" s="41">
        <f>('CO2'!R32/Population!R32)*1000</f>
        <v>489.15380105530585</v>
      </c>
      <c r="S32" s="41">
        <f>('CO2'!S32/Population!S32)*1000</f>
        <v>469.39393939393943</v>
      </c>
      <c r="T32" s="41">
        <f>('CO2'!T32/Population!T32)*1000</f>
        <v>2783.5742923095613</v>
      </c>
      <c r="U32" s="41">
        <f>('CO2'!U32/Population!U32)*1000</f>
        <v>2367.7920173842472</v>
      </c>
      <c r="V32">
        <f>('CO2'!V32/Population!V32)*1000</f>
        <v>0</v>
      </c>
    </row>
    <row r="33" spans="1:22" ht="15.75" x14ac:dyDescent="0.25">
      <c r="A33" s="7">
        <v>1901</v>
      </c>
      <c r="B33" s="41">
        <f>('CO2'!B33/Population!B33)*1000</f>
        <v>1282.6843413421707</v>
      </c>
      <c r="C33" s="41">
        <f>('CO2'!C33/Population!C33)*1000</f>
        <v>1874.4302308484046</v>
      </c>
      <c r="D33">
        <f>('CO2'!D33/Population!D33)*1000</f>
        <v>31.209221400608961</v>
      </c>
      <c r="E33" s="41">
        <f>('CO2'!E33/Population!E33)*1000</f>
        <v>1175.5780346820809</v>
      </c>
      <c r="F33" s="41">
        <f>('CO2'!F33/Population!F33)*1000</f>
        <v>563.99383191981497</v>
      </c>
      <c r="G33" s="41">
        <f>('CO2'!G33/Population!G33)*1000</f>
        <v>43.119610048743908</v>
      </c>
      <c r="H33" s="41">
        <f>('CO2'!H33/Population!H33)*1000</f>
        <v>839.49311023622045</v>
      </c>
      <c r="I33" s="43">
        <f>('CO2'!I33/Population!I33)*1000</f>
        <v>1609.2476545803599</v>
      </c>
      <c r="J33" s="41">
        <f>('CO2'!J33/Population!J33)*1000</f>
        <v>108.92345839360037</v>
      </c>
      <c r="K33">
        <f>('CO2'!K33/Population!K33)*1000</f>
        <v>0</v>
      </c>
      <c r="L33" s="41">
        <f>('CO2'!L33/Population!L33)*1000</f>
        <v>748.13254165868602</v>
      </c>
      <c r="M33" s="45">
        <f>('CO2'!M33/Population!M33)*1000</f>
        <v>907.76699029126223</v>
      </c>
      <c r="N33" s="41">
        <f>('CO2'!N33/Population!N33)*1000</f>
        <v>471.39689578713967</v>
      </c>
      <c r="O33" s="41">
        <f>('CO2'!O33/Population!O33)*1000</f>
        <v>119.69891683495503</v>
      </c>
      <c r="P33" s="41">
        <f>('CO2'!P33/Population!P33)*1000</f>
        <v>172.67806420494131</v>
      </c>
      <c r="Q33">
        <f>('CO2'!Q33/Population!Q33)*1000</f>
        <v>0</v>
      </c>
      <c r="R33" s="41">
        <f>('CO2'!R33/Population!R33)*1000</f>
        <v>451.12490302560127</v>
      </c>
      <c r="S33" s="41">
        <f>('CO2'!S33/Population!S33)*1000</f>
        <v>423.52589045196049</v>
      </c>
      <c r="T33" s="41">
        <f>('CO2'!T33/Population!T33)*1000</f>
        <v>2698.5170205594877</v>
      </c>
      <c r="U33" s="41">
        <f>('CO2'!U33/Population!U33)*1000</f>
        <v>2528.2842029580938</v>
      </c>
      <c r="V33">
        <f>('CO2'!V33/Population!V33)*1000</f>
        <v>0</v>
      </c>
    </row>
    <row r="34" spans="1:22" ht="15.75" x14ac:dyDescent="0.25">
      <c r="A34" s="7">
        <v>1902</v>
      </c>
      <c r="B34" s="41">
        <f>('CO2'!B34/Population!B34)*1000</f>
        <v>1148.0570585341859</v>
      </c>
      <c r="C34" s="41">
        <f>('CO2'!C34/Population!C34)*1000</f>
        <v>1931.6239316239316</v>
      </c>
      <c r="D34">
        <f>('CO2'!D34/Population!D34)*1000</f>
        <v>36.417846874667234</v>
      </c>
      <c r="E34" s="41">
        <f>('CO2'!E34/Population!E34)*1000</f>
        <v>1238.9380530973451</v>
      </c>
      <c r="F34" s="41">
        <f>('CO2'!F34/Population!F34)*1000</f>
        <v>572.62676324818904</v>
      </c>
      <c r="G34" s="41">
        <f>('CO2'!G34/Population!G34)*1000</f>
        <v>40.580789277736407</v>
      </c>
      <c r="H34" s="41">
        <f>('CO2'!H34/Population!H34)*1000</f>
        <v>788.76525925380099</v>
      </c>
      <c r="I34" s="43">
        <f>('CO2'!I34/Population!I34)*1000</f>
        <v>1552.7413375160418</v>
      </c>
      <c r="J34" s="41">
        <f>('CO2'!J34/Population!J34)*1000</f>
        <v>119.9438037815372</v>
      </c>
      <c r="K34">
        <f>('CO2'!K34/Population!K34)*1000</f>
        <v>0</v>
      </c>
      <c r="L34" s="41">
        <f>('CO2'!L34/Population!L34)*1000</f>
        <v>735.72101790763429</v>
      </c>
      <c r="M34" s="45">
        <f>('CO2'!M34/Population!M34)*1000</f>
        <v>983.41232227488149</v>
      </c>
      <c r="N34" s="41">
        <f>('CO2'!N34/Population!N34)*1000</f>
        <v>509.01098901098896</v>
      </c>
      <c r="O34" s="41">
        <f>('CO2'!O34/Population!O34)*1000</f>
        <v>130.14197306152167</v>
      </c>
      <c r="P34" s="41">
        <f>('CO2'!P34/Population!P34)*1000</f>
        <v>179.21013412816691</v>
      </c>
      <c r="Q34">
        <f>('CO2'!Q34/Population!Q34)*1000</f>
        <v>0</v>
      </c>
      <c r="R34" s="41">
        <f>('CO2'!R34/Population!R34)*1000</f>
        <v>469.63562753036439</v>
      </c>
      <c r="S34" s="41">
        <f>('CO2'!S34/Population!S34)*1000</f>
        <v>422.28132387706859</v>
      </c>
      <c r="T34" s="41">
        <f>('CO2'!T34/Population!T34)*1000</f>
        <v>2779.4858329553863</v>
      </c>
      <c r="U34" s="41">
        <f>('CO2'!U34/Population!U34)*1000</f>
        <v>2625.5521020775395</v>
      </c>
      <c r="V34">
        <f>('CO2'!V34/Population!V34)*1000</f>
        <v>0</v>
      </c>
    </row>
    <row r="35" spans="1:22" ht="15.75" x14ac:dyDescent="0.25">
      <c r="A35" s="7">
        <v>1903</v>
      </c>
      <c r="B35" s="41">
        <f>('CO2'!B35/Population!B35)*1000</f>
        <v>1131.245944192083</v>
      </c>
      <c r="C35" s="41">
        <f>('CO2'!C35/Population!C35)*1000</f>
        <v>2052.8798056309843</v>
      </c>
      <c r="D35">
        <f>('CO2'!D35/Population!D35)*1000</f>
        <v>34.723670490093845</v>
      </c>
      <c r="E35" s="41">
        <f>('CO2'!E35/Population!E35)*1000</f>
        <v>1312.7472905556513</v>
      </c>
      <c r="F35" s="41">
        <f>('CO2'!F35/Population!F35)*1000</f>
        <v>589.14436486995862</v>
      </c>
      <c r="G35" s="41">
        <f>('CO2'!G35/Population!G35)*1000</f>
        <v>51.736881005173686</v>
      </c>
      <c r="H35" s="41">
        <f>('CO2'!H35/Population!H35)*1000</f>
        <v>865.51757956161418</v>
      </c>
      <c r="I35" s="43">
        <f>('CO2'!I35/Population!I35)*1000</f>
        <v>1646.2791636676438</v>
      </c>
      <c r="J35" s="41">
        <f>('CO2'!J35/Population!J35)*1000</f>
        <v>121.3845975142293</v>
      </c>
      <c r="K35">
        <f>('CO2'!K35/Population!K35)*1000</f>
        <v>0</v>
      </c>
      <c r="L35" s="41">
        <f>('CO2'!L35/Population!L35)*1000</f>
        <v>774.72629430321024</v>
      </c>
      <c r="M35" s="45">
        <f>('CO2'!M35/Population!M35)*1000</f>
        <v>997.69319492502882</v>
      </c>
      <c r="N35" s="41">
        <f>('CO2'!N35/Population!N35)*1000</f>
        <v>505.68181818181824</v>
      </c>
      <c r="O35" s="41">
        <f>('CO2'!O35/Population!O35)*1000</f>
        <v>124.16531312037539</v>
      </c>
      <c r="P35" s="41">
        <f>('CO2'!P35/Population!P35)*1000</f>
        <v>175.64353295628732</v>
      </c>
      <c r="Q35">
        <f>('CO2'!Q35/Population!Q35)*1000</f>
        <v>0</v>
      </c>
      <c r="R35" s="41">
        <f>('CO2'!R35/Population!R35)*1000</f>
        <v>513.62763915547032</v>
      </c>
      <c r="S35" s="41">
        <f>('CO2'!S35/Population!S35)*1000</f>
        <v>451.57526254375728</v>
      </c>
      <c r="T35" s="41">
        <f>('CO2'!T35/Population!T35)*1000</f>
        <v>2777.8724612981114</v>
      </c>
      <c r="U35" s="41">
        <f>('CO2'!U35/Population!U35)*1000</f>
        <v>3015.6647641637637</v>
      </c>
      <c r="V35">
        <f>('CO2'!V35/Population!V35)*1000</f>
        <v>0</v>
      </c>
    </row>
    <row r="36" spans="1:22" ht="15.75" x14ac:dyDescent="0.25">
      <c r="A36" s="7">
        <v>1904</v>
      </c>
      <c r="B36" s="41">
        <f>('CO2'!B36/Population!B36)*1000</f>
        <v>1179.9935773924212</v>
      </c>
      <c r="C36" s="41">
        <f>('CO2'!C36/Population!C36)*1000</f>
        <v>1939.3169630256843</v>
      </c>
      <c r="D36">
        <f>('CO2'!D36/Population!D36)*1000</f>
        <v>36.503803543166391</v>
      </c>
      <c r="E36" s="41">
        <f>('CO2'!E36/Population!E36)*1000</f>
        <v>1507.0070070070069</v>
      </c>
      <c r="F36" s="41">
        <f>('CO2'!F36/Population!F36)*1000</f>
        <v>628.86982469227905</v>
      </c>
      <c r="G36" s="41">
        <f>('CO2'!G36/Population!G36)*1000</f>
        <v>52.650822669104201</v>
      </c>
      <c r="H36" s="41">
        <f>('CO2'!H36/Population!H36)*1000</f>
        <v>841.62607993342965</v>
      </c>
      <c r="I36" s="43">
        <f>('CO2'!I36/Population!I36)*1000</f>
        <v>1681.3998546863647</v>
      </c>
      <c r="J36" s="41">
        <f>('CO2'!J36/Population!J36)*1000</f>
        <v>127.26487109318738</v>
      </c>
      <c r="K36">
        <f>('CO2'!K36/Population!K36)*1000</f>
        <v>0</v>
      </c>
      <c r="L36" s="41">
        <f>('CO2'!L36/Population!L36)*1000</f>
        <v>806.58135283363811</v>
      </c>
      <c r="M36" s="45">
        <f>('CO2'!M36/Population!M36)*1000</f>
        <v>1049.2721164613661</v>
      </c>
      <c r="N36" s="41">
        <f>('CO2'!N36/Population!N36)*1000</f>
        <v>494.12276882890728</v>
      </c>
      <c r="O36" s="41">
        <f>('CO2'!O36/Population!O36)*1000</f>
        <v>125.9617105027733</v>
      </c>
      <c r="P36" s="41">
        <f>('CO2'!P36/Population!P36)*1000</f>
        <v>186.14173228346456</v>
      </c>
      <c r="Q36">
        <f>('CO2'!Q36/Population!Q36)*1000</f>
        <v>0</v>
      </c>
      <c r="R36" s="41">
        <f>('CO2'!R36/Population!R36)*1000</f>
        <v>537.68364815874838</v>
      </c>
      <c r="S36" s="41">
        <f>('CO2'!S36/Population!S36)*1000</f>
        <v>468.60599078341016</v>
      </c>
      <c r="T36" s="41">
        <f>('CO2'!T36/Population!T36)*1000</f>
        <v>2766.9381145713546</v>
      </c>
      <c r="U36" s="41">
        <f>('CO2'!U36/Population!U36)*1000</f>
        <v>2912.4689337455293</v>
      </c>
      <c r="V36">
        <f>('CO2'!V36/Population!V36)*1000</f>
        <v>0</v>
      </c>
    </row>
    <row r="37" spans="1:22" ht="15.75" x14ac:dyDescent="0.25">
      <c r="A37" s="7">
        <v>1905</v>
      </c>
      <c r="B37" s="41">
        <f>('CO2'!B37/Population!B37)*1000</f>
        <v>1219.1671964399238</v>
      </c>
      <c r="C37" s="41">
        <f>('CO2'!C37/Population!C37)*1000</f>
        <v>1912.0557491289198</v>
      </c>
      <c r="D37">
        <f>('CO2'!D37/Population!D37)*1000</f>
        <v>38.194270859371095</v>
      </c>
      <c r="E37" s="41">
        <f>('CO2'!E37/Population!E37)*1000</f>
        <v>1566.3314952967889</v>
      </c>
      <c r="F37" s="41">
        <f>('CO2'!F37/Population!F37)*1000</f>
        <v>605.16605166051659</v>
      </c>
      <c r="G37" s="41">
        <f>('CO2'!G37/Population!G37)*1000</f>
        <v>57.92903692976104</v>
      </c>
      <c r="H37" s="41">
        <f>('CO2'!H37/Population!H37)*1000</f>
        <v>850.5258009293226</v>
      </c>
      <c r="I37" s="43">
        <f>('CO2'!I37/Population!I37)*1000</f>
        <v>1779.3124616329037</v>
      </c>
      <c r="J37" s="41">
        <f>('CO2'!J37/Population!J37)*1000</f>
        <v>139.09914027020079</v>
      </c>
      <c r="K37">
        <f>('CO2'!K37/Population!K37)*1000</f>
        <v>0</v>
      </c>
      <c r="L37" s="41">
        <f>('CO2'!L37/Population!L37)*1000</f>
        <v>815.88902900378309</v>
      </c>
      <c r="M37" s="45">
        <f>('CO2'!M37/Population!M37)*1000</f>
        <v>1051.1425462459194</v>
      </c>
      <c r="N37" s="41">
        <f>('CO2'!N37/Population!N37)*1000</f>
        <v>490.25552187093979</v>
      </c>
      <c r="O37" s="41">
        <f>('CO2'!O37/Population!O37)*1000</f>
        <v>122.05073620720242</v>
      </c>
      <c r="P37" s="41">
        <f>('CO2'!P37/Population!P37)*1000</f>
        <v>193.59222286102545</v>
      </c>
      <c r="Q37">
        <f>('CO2'!Q37/Population!Q37)*1000</f>
        <v>0</v>
      </c>
      <c r="R37" s="41">
        <f>('CO2'!R37/Population!R37)*1000</f>
        <v>525.57787040545657</v>
      </c>
      <c r="S37" s="41">
        <f>('CO2'!S37/Population!S37)*1000</f>
        <v>492.0543195608206</v>
      </c>
      <c r="T37" s="41">
        <f>('CO2'!T37/Population!T37)*1000</f>
        <v>2779.1814988017964</v>
      </c>
      <c r="U37" s="41">
        <f>('CO2'!U37/Population!U37)*1000</f>
        <v>3193.1619665585226</v>
      </c>
      <c r="V37">
        <f>('CO2'!V37/Population!V37)*1000</f>
        <v>0</v>
      </c>
    </row>
    <row r="38" spans="1:22" ht="15.75" x14ac:dyDescent="0.25">
      <c r="A38" s="7">
        <v>1906</v>
      </c>
      <c r="B38" s="41">
        <f>('CO2'!B38/Population!B38)*1000</f>
        <v>1439.8301085417652</v>
      </c>
      <c r="C38" s="41">
        <f>('CO2'!C38/Population!C38)*1000</f>
        <v>2162.0281069165057</v>
      </c>
      <c r="D38">
        <f>('CO2'!D38/Population!D38)*1000</f>
        <v>42.835462867773046</v>
      </c>
      <c r="E38" s="41">
        <f>('CO2'!E38/Population!E38)*1000</f>
        <v>1624.3234638650113</v>
      </c>
      <c r="F38" s="41">
        <f>('CO2'!F38/Population!F38)*1000</f>
        <v>651.58701203940177</v>
      </c>
      <c r="G38" s="41">
        <f>('CO2'!G38/Population!G38)*1000</f>
        <v>60.258249641319942</v>
      </c>
      <c r="H38" s="41">
        <f>('CO2'!H38/Population!H38)*1000</f>
        <v>910.38542328171559</v>
      </c>
      <c r="I38" s="43">
        <f>('CO2'!I38/Population!I38)*1000</f>
        <v>1660.7319984532876</v>
      </c>
      <c r="J38" s="41">
        <f>('CO2'!J38/Population!J38)*1000</f>
        <v>163.07334900983088</v>
      </c>
      <c r="K38">
        <f>('CO2'!K38/Population!K38)*1000</f>
        <v>0</v>
      </c>
      <c r="L38" s="41">
        <f>('CO2'!L38/Population!L38)*1000</f>
        <v>875</v>
      </c>
      <c r="M38" s="45">
        <f>('CO2'!M38/Population!M38)*1000</f>
        <v>1114.1649048625793</v>
      </c>
      <c r="N38" s="41">
        <f>('CO2'!N38/Population!N38)*1000</f>
        <v>497.19706770159547</v>
      </c>
      <c r="O38" s="41">
        <f>('CO2'!O38/Population!O38)*1000</f>
        <v>139.11361238128737</v>
      </c>
      <c r="P38" s="41">
        <f>('CO2'!P38/Population!P38)*1000</f>
        <v>195.84800165665769</v>
      </c>
      <c r="Q38">
        <f>('CO2'!Q38/Population!Q38)*1000</f>
        <v>0</v>
      </c>
      <c r="R38" s="41">
        <f>('CO2'!R38/Population!R38)*1000</f>
        <v>579.86829727187205</v>
      </c>
      <c r="S38" s="41">
        <f>('CO2'!S38/Population!S38)*1000</f>
        <v>528.6516853932585</v>
      </c>
      <c r="T38" s="41">
        <f>('CO2'!T38/Population!T38)*1000</f>
        <v>2853.5089135398171</v>
      </c>
      <c r="U38" s="41">
        <f>('CO2'!U38/Population!U38)*1000</f>
        <v>3288.1543663285534</v>
      </c>
      <c r="V38">
        <f>('CO2'!V38/Population!V38)*1000</f>
        <v>0</v>
      </c>
    </row>
    <row r="39" spans="1:22" ht="15.75" x14ac:dyDescent="0.25">
      <c r="A39" s="7">
        <v>1907</v>
      </c>
      <c r="B39" s="41">
        <f>('CO2'!B39/Population!B39)*1000</f>
        <v>1790.2195919638687</v>
      </c>
      <c r="C39" s="41">
        <f>('CO2'!C39/Population!C39)*1000</f>
        <v>2169.2559280457895</v>
      </c>
      <c r="D39">
        <f>('CO2'!D39/Population!D39)*1000</f>
        <v>45.158197507190792</v>
      </c>
      <c r="E39" s="41">
        <f>('CO2'!E39/Population!E39)*1000</f>
        <v>1944.3602183141297</v>
      </c>
      <c r="F39" s="41">
        <f>('CO2'!F39/Population!F39)*1000</f>
        <v>573.69369369369372</v>
      </c>
      <c r="G39" s="41">
        <f>('CO2'!G39/Population!G39)*1000</f>
        <v>85.785182559376096</v>
      </c>
      <c r="H39" s="41">
        <f>('CO2'!H39/Population!H39)*1000</f>
        <v>970.56812075619166</v>
      </c>
      <c r="I39" s="43">
        <f>('CO2'!I39/Population!I39)*1000</f>
        <v>2000.01657247974</v>
      </c>
      <c r="J39" s="41">
        <f>('CO2'!J39/Population!J39)*1000</f>
        <v>174.88902624037758</v>
      </c>
      <c r="K39">
        <f>('CO2'!K39/Population!K39)*1000</f>
        <v>0</v>
      </c>
      <c r="L39" s="41">
        <f>('CO2'!L39/Population!L39)*1000</f>
        <v>887.91593695271456</v>
      </c>
      <c r="M39" s="45">
        <f>('CO2'!M39/Population!M39)*1000</f>
        <v>1150.670794633643</v>
      </c>
      <c r="N39" s="41">
        <f>('CO2'!N39/Population!N39)*1000</f>
        <v>560.32632030914556</v>
      </c>
      <c r="O39" s="41">
        <f>('CO2'!O39/Population!O39)*1000</f>
        <v>150.47951176983435</v>
      </c>
      <c r="P39" s="41">
        <f>('CO2'!P39/Population!P39)*1000</f>
        <v>197.78920308483291</v>
      </c>
      <c r="Q39">
        <f>('CO2'!Q39/Population!Q39)*1000</f>
        <v>0</v>
      </c>
      <c r="R39" s="41">
        <f>('CO2'!R39/Population!R39)*1000</f>
        <v>650.73735299607995</v>
      </c>
      <c r="S39" s="41">
        <f>('CO2'!S39/Population!S39)*1000</f>
        <v>605.71587125416204</v>
      </c>
      <c r="T39" s="41">
        <f>('CO2'!T39/Population!T39)*1000</f>
        <v>2955.1409561698333</v>
      </c>
      <c r="U39" s="41">
        <f>('CO2'!U39/Population!U39)*1000</f>
        <v>3755.5158634745076</v>
      </c>
      <c r="V39">
        <f>('CO2'!V39/Population!V39)*1000</f>
        <v>0</v>
      </c>
    </row>
    <row r="40" spans="1:22" ht="15.75" x14ac:dyDescent="0.25">
      <c r="A40" s="7">
        <v>1908</v>
      </c>
      <c r="B40" s="41">
        <f>('CO2'!B40/Population!B40)*1000</f>
        <v>2480.6476484194295</v>
      </c>
      <c r="C40" s="41">
        <f>('CO2'!C40/Population!C40)*1000</f>
        <v>2130.3467818108215</v>
      </c>
      <c r="D40">
        <f>('CO2'!D40/Population!D40)*1000</f>
        <v>46.04985213350232</v>
      </c>
      <c r="E40" s="41">
        <f>('CO2'!E40/Population!E40)*1000</f>
        <v>1899.1633641567591</v>
      </c>
      <c r="F40" s="41">
        <f>('CO2'!F40/Population!F40)*1000</f>
        <v>703.09718761124952</v>
      </c>
      <c r="G40" s="41">
        <f>('CO2'!G40/Population!G40)*1000</f>
        <v>134.21880461377143</v>
      </c>
      <c r="H40" s="41">
        <f>('CO2'!H40/Population!H40)*1000</f>
        <v>975.53963845441706</v>
      </c>
      <c r="I40" s="43">
        <f>('CO2'!I40/Population!I40)*1000</f>
        <v>1992.2532564106755</v>
      </c>
      <c r="J40" s="41">
        <f>('CO2'!J40/Population!J40)*1000</f>
        <v>176.85729407504388</v>
      </c>
      <c r="K40">
        <f>('CO2'!K40/Population!K40)*1000</f>
        <v>0</v>
      </c>
      <c r="L40" s="41">
        <f>('CO2'!L40/Population!L40)*1000</f>
        <v>892.49913584514343</v>
      </c>
      <c r="M40" s="45">
        <f>('CO2'!M40/Population!M40)*1000</f>
        <v>1137.5502008032129</v>
      </c>
      <c r="N40" s="41">
        <f>('CO2'!N40/Population!N40)*1000</f>
        <v>664.96163682864449</v>
      </c>
      <c r="O40" s="41">
        <f>('CO2'!O40/Population!O40)*1000</f>
        <v>148.34024896265561</v>
      </c>
      <c r="P40" s="41">
        <f>('CO2'!P40/Population!P40)*1000</f>
        <v>206.02501914730661</v>
      </c>
      <c r="Q40">
        <f>('CO2'!Q40/Population!Q40)*1000</f>
        <v>0</v>
      </c>
      <c r="R40" s="41">
        <f>('CO2'!R40/Population!R40)*1000</f>
        <v>689.11917098445599</v>
      </c>
      <c r="S40" s="41">
        <f>('CO2'!S40/Population!S40)*1000</f>
        <v>599.12256649300798</v>
      </c>
      <c r="T40" s="41">
        <f>('CO2'!T40/Population!T40)*1000</f>
        <v>2857.4471942706914</v>
      </c>
      <c r="U40" s="41">
        <f>('CO2'!U40/Population!U40)*1000</f>
        <v>3220.9084273763406</v>
      </c>
      <c r="V40">
        <f>('CO2'!V40/Population!V40)*1000</f>
        <v>0</v>
      </c>
    </row>
    <row r="41" spans="1:22" ht="15.75" x14ac:dyDescent="0.25">
      <c r="A41" s="7">
        <v>1909</v>
      </c>
      <c r="B41" s="41">
        <f>('CO2'!B41/Population!B41)*1000</f>
        <v>1757.0992366412215</v>
      </c>
      <c r="C41" s="41">
        <f>('CO2'!C41/Population!C41)*1000</f>
        <v>2108.1840064188286</v>
      </c>
      <c r="D41">
        <f>('CO2'!D41/Population!D41)*1000</f>
        <v>45.279029144065461</v>
      </c>
      <c r="E41" s="41">
        <f>('CO2'!E41/Population!E41)*1000</f>
        <v>1771.3427713427714</v>
      </c>
      <c r="F41" s="41">
        <f>('CO2'!F41/Population!F41)*1000</f>
        <v>768.01405975395437</v>
      </c>
      <c r="G41" s="41">
        <f>('CO2'!G41/Population!G41)*1000</f>
        <v>120.73128665056916</v>
      </c>
      <c r="H41" s="41">
        <f>('CO2'!H41/Population!H41)*1000</f>
        <v>996.4971174195432</v>
      </c>
      <c r="I41" s="43">
        <f>('CO2'!I41/Population!I41)*1000</f>
        <v>1960.2179309455494</v>
      </c>
      <c r="J41" s="41">
        <f>('CO2'!J41/Population!J41)*1000</f>
        <v>193.71496423936154</v>
      </c>
      <c r="K41">
        <f>('CO2'!K41/Population!K41)*1000</f>
        <v>0</v>
      </c>
      <c r="L41" s="41">
        <f>('CO2'!L41/Population!L41)*1000</f>
        <v>927.32855680655064</v>
      </c>
      <c r="M41" s="45">
        <f>('CO2'!M41/Population!M41)*1000</f>
        <v>1136.71875</v>
      </c>
      <c r="N41" s="41">
        <f>('CO2'!N41/Population!N41)*1000</f>
        <v>664.55428812843263</v>
      </c>
      <c r="O41" s="41">
        <f>('CO2'!O41/Population!O41)*1000</f>
        <v>149.46863215632499</v>
      </c>
      <c r="P41" s="41">
        <f>('CO2'!P41/Population!P41)*1000</f>
        <v>209.8777952436489</v>
      </c>
      <c r="Q41">
        <f>('CO2'!Q41/Population!Q41)*1000</f>
        <v>0</v>
      </c>
      <c r="R41" s="41">
        <f>('CO2'!R41/Population!R41)*1000</f>
        <v>628.64478268842834</v>
      </c>
      <c r="S41" s="41">
        <f>('CO2'!S41/Population!S41)*1000</f>
        <v>596.58629097805476</v>
      </c>
      <c r="T41" s="41">
        <f>('CO2'!T41/Population!T41)*1000</f>
        <v>2857.3000898472596</v>
      </c>
      <c r="U41" s="41">
        <f>('CO2'!U41/Population!U41)*1000</f>
        <v>3495.0630194286973</v>
      </c>
      <c r="V41">
        <f>('CO2'!V41/Population!V41)*1000</f>
        <v>0</v>
      </c>
    </row>
    <row r="42" spans="1:22" ht="15.75" x14ac:dyDescent="0.25">
      <c r="A42" s="7">
        <v>1910</v>
      </c>
      <c r="B42" s="41">
        <f>('CO2'!B42/Population!B42)*1000</f>
        <v>2373.4502570305413</v>
      </c>
      <c r="C42" s="41">
        <f>('CO2'!C42/Population!C42)*1000</f>
        <v>2230.8615630834893</v>
      </c>
      <c r="D42">
        <f>('CO2'!D42/Population!D42)*1000</f>
        <v>51.584443644220379</v>
      </c>
      <c r="E42" s="41">
        <f>('CO2'!E42/Population!E42)*1000</f>
        <v>1960.0723427935447</v>
      </c>
      <c r="F42" s="41">
        <f>('CO2'!F42/Population!F42)*1000</f>
        <v>696.0444136016655</v>
      </c>
      <c r="G42" s="41">
        <f>('CO2'!G42/Population!G42)*1000</f>
        <v>99.009900990099013</v>
      </c>
      <c r="H42" s="41">
        <f>('CO2'!H42/Population!H42)*1000</f>
        <v>997.13758975354165</v>
      </c>
      <c r="I42" s="43">
        <f>('CO2'!I42/Population!I42)*1000</f>
        <v>1932.9559188346796</v>
      </c>
      <c r="J42" s="41">
        <f>('CO2'!J42/Population!J42)*1000</f>
        <v>192.05949907032701</v>
      </c>
      <c r="K42">
        <f>('CO2'!K42/Population!K42)*1000</f>
        <v>0</v>
      </c>
      <c r="L42" s="41">
        <f>('CO2'!L42/Population!L42)*1000</f>
        <v>960.14859844647083</v>
      </c>
      <c r="M42" s="45">
        <f>('CO2'!M42/Population!M42)*1000</f>
        <v>1280.3827751196172</v>
      </c>
      <c r="N42" s="41">
        <f>('CO2'!N42/Population!N42)*1000</f>
        <v>679.94966442953023</v>
      </c>
      <c r="O42" s="41">
        <f>('CO2'!O42/Population!O42)*1000</f>
        <v>150.74779061862679</v>
      </c>
      <c r="P42" s="41">
        <f>('CO2'!P42/Population!P42)*1000</f>
        <v>204.70339409809648</v>
      </c>
      <c r="Q42">
        <f>('CO2'!Q42/Population!Q42)*1000</f>
        <v>0</v>
      </c>
      <c r="R42" s="41">
        <f>('CO2'!R42/Population!R42)*1000</f>
        <v>644.66266593926173</v>
      </c>
      <c r="S42" s="41">
        <f>('CO2'!S42/Population!S42)*1000</f>
        <v>569.2101740294512</v>
      </c>
      <c r="T42" s="41">
        <f>('CO2'!T42/Population!T42)*1000</f>
        <v>2854.2612877371093</v>
      </c>
      <c r="U42" s="41">
        <f>('CO2'!U42/Population!U42)*1000</f>
        <v>3734.1403731930532</v>
      </c>
      <c r="V42">
        <f>('CO2'!V42/Population!V42)*1000</f>
        <v>0</v>
      </c>
    </row>
    <row r="43" spans="1:22" ht="15.75" x14ac:dyDescent="0.25">
      <c r="A43" s="7">
        <v>1911</v>
      </c>
      <c r="B43" s="41">
        <f>('CO2'!B43/Population!B43)*1000</f>
        <v>1965.9619133303343</v>
      </c>
      <c r="C43" s="41">
        <f>('CO2'!C43/Population!C43)*1000</f>
        <v>2239.7232938672341</v>
      </c>
      <c r="D43">
        <f>('CO2'!D43/Population!D43)*1000</f>
        <v>55.406179750517921</v>
      </c>
      <c r="E43" s="41">
        <f>('CO2'!E43/Population!E43)*1000</f>
        <v>2219.838056680162</v>
      </c>
      <c r="F43" s="41">
        <f>('CO2'!F43/Population!F43)*1000</f>
        <v>732.60198834418918</v>
      </c>
      <c r="G43" s="41">
        <f>('CO2'!G43/Population!G43)*1000</f>
        <v>121.2018906144497</v>
      </c>
      <c r="H43" s="41">
        <f>('CO2'!H43/Population!H43)*1000</f>
        <v>1036.7250102888131</v>
      </c>
      <c r="I43" s="43">
        <f>('CO2'!I43/Population!I43)*1000</f>
        <v>1960.1578650629581</v>
      </c>
      <c r="J43" s="41">
        <f>('CO2'!J43/Population!J43)*1000</f>
        <v>196.19687406885717</v>
      </c>
      <c r="K43">
        <f>('CO2'!K43/Population!K43)*1000</f>
        <v>0</v>
      </c>
      <c r="L43" s="41">
        <f>('CO2'!L43/Population!L43)*1000</f>
        <v>1007.0187165775402</v>
      </c>
      <c r="M43" s="45">
        <f>('CO2'!M43/Population!M43)*1000</f>
        <v>1179.0065604498593</v>
      </c>
      <c r="N43" s="41">
        <f>('CO2'!N43/Population!N43)*1000</f>
        <v>690.96209912536449</v>
      </c>
      <c r="O43" s="41">
        <f>('CO2'!O43/Population!O43)*1000</f>
        <v>144.56613310867732</v>
      </c>
      <c r="P43" s="41">
        <f>('CO2'!P43/Population!P43)*1000</f>
        <v>201.06031809542861</v>
      </c>
      <c r="Q43">
        <f>('CO2'!Q43/Population!Q43)*1000</f>
        <v>0</v>
      </c>
      <c r="R43" s="41">
        <f>('CO2'!R43/Population!R43)*1000</f>
        <v>623.06026705160593</v>
      </c>
      <c r="S43" s="41">
        <f>('CO2'!S43/Population!S43)*1000</f>
        <v>622.35169491525426</v>
      </c>
      <c r="T43" s="41">
        <f>('CO2'!T43/Population!T43)*1000</f>
        <v>2902.1162852346029</v>
      </c>
      <c r="U43" s="41">
        <f>('CO2'!U43/Population!U43)*1000</f>
        <v>3638.8140161725069</v>
      </c>
      <c r="V43">
        <f>('CO2'!V43/Population!V43)*1000</f>
        <v>0</v>
      </c>
    </row>
    <row r="44" spans="1:22" ht="15.75" x14ac:dyDescent="0.25">
      <c r="A44" s="7">
        <v>1912</v>
      </c>
      <c r="B44" s="41">
        <f>('CO2'!B44/Population!B44)*1000</f>
        <v>2027.0672218917309</v>
      </c>
      <c r="C44" s="41">
        <f>('CO2'!C44/Population!C44)*1000</f>
        <v>2329.2490118577075</v>
      </c>
      <c r="D44">
        <f>('CO2'!D44/Population!D44)*1000</f>
        <v>65.866712707182316</v>
      </c>
      <c r="E44" s="41">
        <f>('CO2'!E44/Population!E44)*1000</f>
        <v>2415.1539068666139</v>
      </c>
      <c r="F44" s="41">
        <f>('CO2'!F44/Population!F44)*1000</f>
        <v>858.69196882412746</v>
      </c>
      <c r="G44" s="41">
        <f>('CO2'!G44/Population!G44)*1000</f>
        <v>135.09006004002669</v>
      </c>
      <c r="H44" s="41">
        <f>('CO2'!H44/Population!H44)*1000</f>
        <v>1046.4469643850189</v>
      </c>
      <c r="I44" s="43">
        <f>('CO2'!I44/Population!I44)*1000</f>
        <v>2113.3934250740804</v>
      </c>
      <c r="J44" s="41">
        <f>('CO2'!J44/Population!J44)*1000</f>
        <v>204.6029609690444</v>
      </c>
      <c r="K44">
        <f>('CO2'!K44/Population!K44)*1000</f>
        <v>0</v>
      </c>
      <c r="L44" s="41">
        <f>('CO2'!L44/Population!L44)*1000</f>
        <v>1120.9624258404747</v>
      </c>
      <c r="M44" s="45">
        <f>('CO2'!M44/Population!M44)*1000</f>
        <v>1215.201465201465</v>
      </c>
      <c r="N44" s="41">
        <f>('CO2'!N44/Population!N44)*1000</f>
        <v>774.65951300041274</v>
      </c>
      <c r="O44" s="41">
        <f>('CO2'!O44/Population!O44)*1000</f>
        <v>167.16968477531856</v>
      </c>
      <c r="P44" s="41">
        <f>('CO2'!P44/Population!P44)*1000</f>
        <v>216.71303656597775</v>
      </c>
      <c r="Q44">
        <f>('CO2'!Q44/Population!Q44)*1000</f>
        <v>0</v>
      </c>
      <c r="R44" s="41">
        <f>('CO2'!R44/Population!R44)*1000</f>
        <v>685.29464445638541</v>
      </c>
      <c r="S44" s="41">
        <f>('CO2'!S44/Population!S44)*1000</f>
        <v>626.08012568735273</v>
      </c>
      <c r="T44" s="41">
        <f>('CO2'!T44/Population!T44)*1000</f>
        <v>2739.0261083960727</v>
      </c>
      <c r="U44" s="41">
        <f>('CO2'!U44/Population!U44)*1000</f>
        <v>3824.8644243127178</v>
      </c>
      <c r="V44">
        <f>('CO2'!V44/Population!V44)*1000</f>
        <v>0</v>
      </c>
    </row>
    <row r="45" spans="1:22" ht="15.75" x14ac:dyDescent="0.25">
      <c r="A45" s="7">
        <v>1913</v>
      </c>
      <c r="B45" s="41">
        <f>('CO2'!B45/Population!B45)*1000</f>
        <v>2404.9061622580166</v>
      </c>
      <c r="C45" s="41">
        <f>('CO2'!C45/Population!C45)*1000</f>
        <v>2421.471432298461</v>
      </c>
      <c r="D45">
        <f>('CO2'!D45/Population!D45)*1000</f>
        <v>69.61115807269654</v>
      </c>
      <c r="E45" s="41">
        <f>('CO2'!E45/Population!E45)*1000</f>
        <v>2755.7310239429444</v>
      </c>
      <c r="F45" s="41">
        <f>('CO2'!F45/Population!F45)*1000</f>
        <v>871.60576600737511</v>
      </c>
      <c r="G45" s="41">
        <f>('CO2'!G45/Population!G45)*1000</f>
        <v>149.98348199537494</v>
      </c>
      <c r="H45" s="41">
        <f>('CO2'!H45/Population!H45)*1000</f>
        <v>1126.3294985891034</v>
      </c>
      <c r="I45" s="43">
        <f>('CO2'!I45/Population!I45)*1000</f>
        <v>2244.735466814227</v>
      </c>
      <c r="J45" s="41">
        <f>('CO2'!J45/Population!J45)*1000</f>
        <v>219.55541237113403</v>
      </c>
      <c r="K45">
        <f>('CO2'!K45/Population!K45)*1000</f>
        <v>0</v>
      </c>
      <c r="L45" s="41">
        <f>('CO2'!L45/Population!L45)*1000</f>
        <v>1219.8247890979883</v>
      </c>
      <c r="M45" s="45">
        <f>('CO2'!M45/Population!M45)*1000</f>
        <v>1024.9554367201426</v>
      </c>
      <c r="N45" s="41">
        <f>('CO2'!N45/Population!N45)*1000</f>
        <v>771.55700858193711</v>
      </c>
      <c r="O45" s="41">
        <f>('CO2'!O45/Population!O45)*1000</f>
        <v>176.32283991962493</v>
      </c>
      <c r="P45" s="41">
        <f>('CO2'!P45/Population!P45)*1000</f>
        <v>234.61481518037803</v>
      </c>
      <c r="Q45">
        <f>('CO2'!Q45/Population!Q45)*1000</f>
        <v>0</v>
      </c>
      <c r="R45" s="41">
        <f>('CO2'!R45/Population!R45)*1000</f>
        <v>765.16634050880623</v>
      </c>
      <c r="S45" s="41">
        <f>('CO2'!S45/Population!S45)*1000</f>
        <v>653.46790890269142</v>
      </c>
      <c r="T45" s="41">
        <f>('CO2'!T45/Population!T45)*1000</f>
        <v>2979.3642796118206</v>
      </c>
      <c r="U45" s="41">
        <f>('CO2'!U45/Population!U45)*1000</f>
        <v>4026.8426121344996</v>
      </c>
      <c r="V45">
        <f>('CO2'!V45/Population!V45)*1000</f>
        <v>0</v>
      </c>
    </row>
    <row r="46" spans="1:22" ht="15.75" x14ac:dyDescent="0.25">
      <c r="A46" s="7">
        <v>1914</v>
      </c>
      <c r="B46" s="41">
        <f>('CO2'!B46/Population!B46)*1000</f>
        <v>1958.2721128416104</v>
      </c>
      <c r="C46" s="41">
        <f>('CO2'!C46/Population!C46)*1000</f>
        <v>1433.8987440113947</v>
      </c>
      <c r="D46">
        <f>('CO2'!D46/Population!D46)*1000</f>
        <v>46.397086213318985</v>
      </c>
      <c r="E46" s="41">
        <f>('CO2'!E46/Population!E46)*1000</f>
        <v>2306.0669714568144</v>
      </c>
      <c r="F46" s="41">
        <f>('CO2'!F46/Population!F46)*1000</f>
        <v>883.03512259774686</v>
      </c>
      <c r="G46" s="41">
        <f>('CO2'!G46/Population!G46)*1000</f>
        <v>61.578774975434001</v>
      </c>
      <c r="H46" s="41">
        <f>('CO2'!H46/Population!H46)*1000</f>
        <v>778.78773266467351</v>
      </c>
      <c r="I46" s="43">
        <f>('CO2'!I46/Population!I46)*1000</f>
        <v>2056.054829339143</v>
      </c>
      <c r="J46" s="41">
        <f>('CO2'!J46/Population!J46)*1000</f>
        <v>198.10264883014443</v>
      </c>
      <c r="K46">
        <f>('CO2'!K46/Population!K46)*1000</f>
        <v>0</v>
      </c>
      <c r="L46" s="41">
        <f>('CO2'!L46/Population!L46)*1000</f>
        <v>1122.829377090967</v>
      </c>
      <c r="M46" s="45">
        <f>('CO2'!M46/Population!M46)*1000</f>
        <v>1213.4733158355207</v>
      </c>
      <c r="N46" s="41">
        <f>('CO2'!N46/Population!N46)*1000</f>
        <v>851.13268608414239</v>
      </c>
      <c r="O46" s="41">
        <f>('CO2'!O46/Population!O46)*1000</f>
        <v>154.01337792642138</v>
      </c>
      <c r="P46" s="41">
        <f>('CO2'!P46/Population!P46)*1000</f>
        <v>231.49328365526031</v>
      </c>
      <c r="Q46">
        <f>('CO2'!Q46/Population!Q46)*1000</f>
        <v>0</v>
      </c>
      <c r="R46" s="41">
        <f>('CO2'!R46/Population!R46)*1000</f>
        <v>716.02756670789893</v>
      </c>
      <c r="S46" s="41">
        <f>('CO2'!S46/Population!S46)*1000</f>
        <v>590.19758788811907</v>
      </c>
      <c r="T46" s="41">
        <f>('CO2'!T46/Population!T46)*1000</f>
        <v>2863.7538274446783</v>
      </c>
      <c r="U46" s="41">
        <f>('CO2'!U46/Population!U46)*1000</f>
        <v>3608.7432792321993</v>
      </c>
      <c r="V46">
        <f>('CO2'!V46/Population!V46)*1000</f>
        <v>0</v>
      </c>
    </row>
    <row r="47" spans="1:22" ht="15.75" x14ac:dyDescent="0.25">
      <c r="A47" s="7">
        <v>1915</v>
      </c>
      <c r="B47" s="41">
        <f>('CO2'!B47/Population!B47)*1000</f>
        <v>1391.9333625602806</v>
      </c>
      <c r="C47" s="41">
        <f>('CO2'!C47/Population!C47)*1000</f>
        <v>1210.7230313184689</v>
      </c>
      <c r="D47">
        <f>('CO2'!D47/Population!D47)*1000</f>
        <v>34.773445732349842</v>
      </c>
      <c r="E47" s="41">
        <f>('CO2'!E47/Population!E47)*1000</f>
        <v>2036.3813942131608</v>
      </c>
      <c r="F47" s="41">
        <f>('CO2'!F47/Population!F47)*1000</f>
        <v>933.87888707037644</v>
      </c>
      <c r="G47" s="41">
        <f>('CO2'!G47/Population!G47)*1000</f>
        <v>9.4064223159260472</v>
      </c>
      <c r="H47" s="41">
        <f>('CO2'!H47/Population!H47)*1000</f>
        <v>696.00553346014181</v>
      </c>
      <c r="I47" s="43">
        <f>('CO2'!I47/Population!I47)*1000</f>
        <v>1907.5796466857919</v>
      </c>
      <c r="J47" s="41">
        <f>('CO2'!J47/Population!J47)*1000</f>
        <v>170.87041230056343</v>
      </c>
      <c r="K47">
        <f>('CO2'!K47/Population!K47)*1000</f>
        <v>0</v>
      </c>
      <c r="L47" s="41">
        <f>('CO2'!L47/Population!L47)*1000</f>
        <v>1047.0680218921032</v>
      </c>
      <c r="M47" s="45">
        <f>('CO2'!M47/Population!M47)*1000</f>
        <v>1168.4027777777776</v>
      </c>
      <c r="N47" s="41">
        <f>('CO2'!N47/Population!N47)*1000</f>
        <v>923.13851080864697</v>
      </c>
      <c r="O47" s="41">
        <f>('CO2'!O47/Population!O47)*1000</f>
        <v>140.61456245824982</v>
      </c>
      <c r="P47" s="41">
        <f>('CO2'!P47/Population!P47)*1000</f>
        <v>203.50620891161429</v>
      </c>
      <c r="Q47">
        <f>('CO2'!Q47/Population!Q47)*1000</f>
        <v>0</v>
      </c>
      <c r="R47" s="41">
        <f>('CO2'!R47/Population!R47)*1000</f>
        <v>716.29213483146066</v>
      </c>
      <c r="S47" s="41">
        <f>('CO2'!S47/Population!S47)*1000</f>
        <v>627.34998712335823</v>
      </c>
      <c r="T47" s="41">
        <f>('CO2'!T47/Population!T47)*1000</f>
        <v>2882.8657747086754</v>
      </c>
      <c r="U47" s="41">
        <f>('CO2'!U47/Population!U47)*1000</f>
        <v>3691.4336097324181</v>
      </c>
      <c r="V47">
        <f>('CO2'!V47/Population!V47)*1000</f>
        <v>0</v>
      </c>
    </row>
    <row r="48" spans="1:22" ht="15.75" x14ac:dyDescent="0.25">
      <c r="A48" s="7">
        <v>1916</v>
      </c>
      <c r="B48" s="41">
        <f>('CO2'!B48/Population!B48)*1000</f>
        <v>321.17216117216117</v>
      </c>
      <c r="C48" s="41">
        <f>('CO2'!C48/Population!C48)*1000</f>
        <v>1610.1520226745686</v>
      </c>
      <c r="D48">
        <f>('CO2'!D48/Population!D48)*1000</f>
        <v>31.194189784498153</v>
      </c>
      <c r="E48" s="41">
        <f>('CO2'!E48/Population!E48)*1000</f>
        <v>2540.4187971755537</v>
      </c>
      <c r="F48" s="41">
        <f>('CO2'!F48/Population!F48)*1000</f>
        <v>901.68175937904266</v>
      </c>
      <c r="G48" s="41">
        <f>('CO2'!G48/Population!G48)*1000</f>
        <v>15.780998389694043</v>
      </c>
      <c r="H48" s="41">
        <f>('CO2'!H48/Population!H48)*1000</f>
        <v>750.60174506067597</v>
      </c>
      <c r="I48" s="43">
        <f>('CO2'!I48/Population!I48)*1000</f>
        <v>2068.1185301773717</v>
      </c>
      <c r="J48" s="41">
        <f>('CO2'!J48/Population!J48)*1000</f>
        <v>168.23973572439829</v>
      </c>
      <c r="K48">
        <f>('CO2'!K48/Population!K48)*1000</f>
        <v>0</v>
      </c>
      <c r="L48" s="41">
        <f>('CO2'!L48/Population!L48)*1000</f>
        <v>938.15224063842845</v>
      </c>
      <c r="M48" s="45">
        <f>('CO2'!M48/Population!M48)*1000</f>
        <v>1190.4761904761904</v>
      </c>
      <c r="N48" s="41">
        <f>('CO2'!N48/Population!N48)*1000</f>
        <v>854.4805709754163</v>
      </c>
      <c r="O48" s="41">
        <f>('CO2'!O48/Population!O48)*1000</f>
        <v>136.09072715143427</v>
      </c>
      <c r="P48" s="41">
        <f>('CO2'!P48/Population!P48)*1000</f>
        <v>235.86320321191891</v>
      </c>
      <c r="Q48">
        <f>('CO2'!Q48/Population!Q48)*1000</f>
        <v>0</v>
      </c>
      <c r="R48" s="41">
        <f>('CO2'!R48/Population!R48)*1000</f>
        <v>749.95640802092407</v>
      </c>
      <c r="S48" s="41">
        <f>('CO2'!S48/Population!S48)*1000</f>
        <v>596.18851403553947</v>
      </c>
      <c r="T48" s="41">
        <f>('CO2'!T48/Population!T48)*1000</f>
        <v>2975.2977598142497</v>
      </c>
      <c r="U48" s="41">
        <f>('CO2'!U48/Population!U48)*1000</f>
        <v>4042.6907897307647</v>
      </c>
      <c r="V48">
        <f>('CO2'!V48/Population!V48)*1000</f>
        <v>0</v>
      </c>
    </row>
    <row r="49" spans="1:22" ht="15.75" x14ac:dyDescent="0.25">
      <c r="A49" s="7">
        <v>1917</v>
      </c>
      <c r="B49" s="41">
        <f>('CO2'!B49/Population!B49)*1000</f>
        <v>138.83566691230655</v>
      </c>
      <c r="C49" s="41">
        <f>('CO2'!C49/Population!C49)*1000</f>
        <v>1279.9844740587398</v>
      </c>
      <c r="D49">
        <f>('CO2'!D49/Population!D49)*1000</f>
        <v>26.50396393595523</v>
      </c>
      <c r="E49" s="41">
        <f>('CO2'!E49/Population!E49)*1000</f>
        <v>2810.8010148604567</v>
      </c>
      <c r="F49" s="41">
        <f>('CO2'!F49/Population!F49)*1000</f>
        <v>648.24281150159743</v>
      </c>
      <c r="G49" s="41">
        <f>('CO2'!G49/Population!G49)*1000</f>
        <v>10.56338028169014</v>
      </c>
      <c r="H49" s="41">
        <f>('CO2'!H49/Population!H49)*1000</f>
        <v>844.76175931582168</v>
      </c>
      <c r="I49" s="43">
        <f>('CO2'!I49/Population!I49)*1000</f>
        <v>2177.0752550826451</v>
      </c>
      <c r="J49" s="41">
        <f>('CO2'!J49/Population!J49)*1000</f>
        <v>115.84739738290197</v>
      </c>
      <c r="K49">
        <f>('CO2'!K49/Population!K49)*1000</f>
        <v>0</v>
      </c>
      <c r="L49" s="41">
        <f>('CO2'!L49/Population!L49)*1000</f>
        <v>354.97445145776976</v>
      </c>
      <c r="M49" s="45">
        <f>('CO2'!M49/Population!M49)*1000</f>
        <v>1093.75</v>
      </c>
      <c r="N49" s="41">
        <f>('CO2'!N49/Population!N49)*1000</f>
        <v>373.97099176793415</v>
      </c>
      <c r="O49" s="41">
        <f>('CO2'!O49/Population!O49)*1000</f>
        <v>75.270607826810988</v>
      </c>
      <c r="P49" s="41">
        <f>('CO2'!P49/Population!P49)*1000</f>
        <v>207.87083753784054</v>
      </c>
      <c r="Q49">
        <f>('CO2'!Q49/Population!Q49)*1000</f>
        <v>0</v>
      </c>
      <c r="R49" s="41">
        <f>('CO2'!R49/Population!R49)*1000</f>
        <v>319.43242775566705</v>
      </c>
      <c r="S49" s="41">
        <f>('CO2'!S49/Population!S49)*1000</f>
        <v>428.75514403292181</v>
      </c>
      <c r="T49" s="41">
        <f>('CO2'!T49/Population!T49)*1000</f>
        <v>2934.3544857768052</v>
      </c>
      <c r="U49" s="41">
        <f>('CO2'!U49/Population!U49)*1000</f>
        <v>4386.2565861082485</v>
      </c>
      <c r="V49">
        <f>('CO2'!V49/Population!V49)*1000</f>
        <v>0</v>
      </c>
    </row>
    <row r="50" spans="1:22" ht="15.75" x14ac:dyDescent="0.25">
      <c r="A50" s="7">
        <v>1918</v>
      </c>
      <c r="B50" s="41">
        <f>('CO2'!B50/Population!B50)*1000</f>
        <v>135.42440909766611</v>
      </c>
      <c r="C50" s="41">
        <f>('CO2'!C50/Population!C50)*1000</f>
        <v>1201.5665796344647</v>
      </c>
      <c r="D50">
        <f>('CO2'!D50/Population!D50)*1000</f>
        <v>24.127564029379304</v>
      </c>
      <c r="E50" s="41">
        <f>('CO2'!E50/Population!E50)*1000</f>
        <v>2917.6021017434919</v>
      </c>
      <c r="F50" s="41">
        <f>('CO2'!F50/Population!F50)*1000</f>
        <v>748.1832543443918</v>
      </c>
      <c r="G50" s="41">
        <f>('CO2'!G50/Population!G50)*1000</f>
        <v>6.4</v>
      </c>
      <c r="H50" s="41">
        <f>('CO2'!H50/Population!H50)*1000</f>
        <v>767.96741217373255</v>
      </c>
      <c r="I50" s="43">
        <f>('CO2'!I50/Population!I50)*1000</f>
        <v>2106.120759691586</v>
      </c>
      <c r="J50" s="41">
        <f>('CO2'!J50/Population!J50)*1000</f>
        <v>138.05970149253733</v>
      </c>
      <c r="K50">
        <f>('CO2'!K50/Population!K50)*1000</f>
        <v>0</v>
      </c>
      <c r="L50" s="41">
        <f>('CO2'!L50/Population!L50)*1000</f>
        <v>587.23341232227483</v>
      </c>
      <c r="M50" s="45">
        <f>('CO2'!M50/Population!M50)*1000</f>
        <v>1072.6643598615917</v>
      </c>
      <c r="N50" s="41">
        <f>('CO2'!N50/Population!N50)*1000</f>
        <v>471.29557796741659</v>
      </c>
      <c r="O50" s="41">
        <f>('CO2'!O50/Population!O50)*1000</f>
        <v>49.72559454515217</v>
      </c>
      <c r="P50" s="41">
        <f>('CO2'!P50/Population!P50)*1000</f>
        <v>217.99522673031026</v>
      </c>
      <c r="Q50">
        <f>('CO2'!Q50/Population!Q50)*1000</f>
        <v>0</v>
      </c>
      <c r="R50" s="41">
        <f>('CO2'!R50/Population!R50)*1000</f>
        <v>376.09781298432927</v>
      </c>
      <c r="S50" s="41">
        <f>('CO2'!S50/Population!S50)*1000</f>
        <v>404.12371134020617</v>
      </c>
      <c r="T50" s="41">
        <f>('CO2'!T50/Population!T50)*1000</f>
        <v>2735.6951154052604</v>
      </c>
      <c r="U50" s="41">
        <f>('CO2'!U50/Population!U50)*1000</f>
        <v>4539.1013548276451</v>
      </c>
      <c r="V50">
        <f>('CO2'!V50/Population!V50)*1000</f>
        <v>0</v>
      </c>
    </row>
    <row r="51" spans="1:22" ht="15.75" x14ac:dyDescent="0.25">
      <c r="A51" s="7">
        <v>1919</v>
      </c>
      <c r="B51" s="41">
        <f>('CO2'!B51/Population!B51)*1000</f>
        <v>128.19314641744546</v>
      </c>
      <c r="C51" s="41">
        <f>('CO2'!C51/Population!C51)*1000</f>
        <v>1605.4011536444677</v>
      </c>
      <c r="D51">
        <f>('CO2'!D51/Population!D51)*1000</f>
        <v>31.227874045090367</v>
      </c>
      <c r="E51" s="41">
        <f>('CO2'!E51/Population!E51)*1000</f>
        <v>2429.4571829667757</v>
      </c>
      <c r="F51" s="41">
        <f>('CO2'!F51/Population!F51)*1000</f>
        <v>702.06121174266082</v>
      </c>
      <c r="G51" s="41">
        <f>('CO2'!G51/Population!G51)*1000</f>
        <v>20.853384664741739</v>
      </c>
      <c r="H51" s="41">
        <f>('CO2'!H51/Population!H51)*1000</f>
        <v>819.06976744186045</v>
      </c>
      <c r="I51" s="43">
        <f>('CO2'!I51/Population!I51)*1000</f>
        <v>1746.3953622805425</v>
      </c>
      <c r="J51" s="41">
        <f>('CO2'!J51/Population!J51)*1000</f>
        <v>136.34899328859061</v>
      </c>
      <c r="K51">
        <f>('CO2'!K51/Population!K51)*1000</f>
        <v>0</v>
      </c>
      <c r="L51" s="41">
        <f>('CO2'!L51/Population!L51)*1000</f>
        <v>881.55767817781043</v>
      </c>
      <c r="M51" s="45">
        <f>('CO2'!M51/Population!M51)*1000</f>
        <v>943.09623430962347</v>
      </c>
      <c r="N51" s="41">
        <f>('CO2'!N51/Population!N51)*1000</f>
        <v>554.74452554744528</v>
      </c>
      <c r="O51" s="41">
        <f>('CO2'!O51/Population!O51)*1000</f>
        <v>97.824281680783926</v>
      </c>
      <c r="P51" s="41">
        <f>('CO2'!P51/Population!P51)*1000</f>
        <v>206.10687022900765</v>
      </c>
      <c r="Q51">
        <f>('CO2'!Q51/Population!Q51)*1000</f>
        <v>0</v>
      </c>
      <c r="R51" s="41">
        <f>('CO2'!R51/Population!R51)*1000</f>
        <v>359.51972555746141</v>
      </c>
      <c r="S51" s="41">
        <f>('CO2'!S51/Population!S51)*1000</f>
        <v>324.89015249418458</v>
      </c>
      <c r="T51" s="41">
        <f>('CO2'!T51/Population!T51)*1000</f>
        <v>2675.2482056131003</v>
      </c>
      <c r="U51" s="41">
        <f>('CO2'!U51/Population!U51)*1000</f>
        <v>3821.8122173447232</v>
      </c>
      <c r="V51">
        <f>('CO2'!V51/Population!V51)*1000</f>
        <v>0</v>
      </c>
    </row>
    <row r="52" spans="1:22" ht="15.75" x14ac:dyDescent="0.25">
      <c r="A52" s="7">
        <v>1920</v>
      </c>
      <c r="B52" s="41">
        <f>('CO2'!B52/Population!B52)*1000</f>
        <v>614.25251742835007</v>
      </c>
      <c r="C52" s="41">
        <f>('CO2'!C52/Population!C52)*1000</f>
        <v>1993.2468220338983</v>
      </c>
      <c r="D52">
        <f>('CO2'!D52/Population!D52)*1000</f>
        <v>36.308568092249303</v>
      </c>
      <c r="E52" s="41">
        <f>('CO2'!E52/Population!E52)*1000</f>
        <v>2617.5267106160491</v>
      </c>
      <c r="F52" s="41">
        <f>('CO2'!F52/Population!F52)*1000</f>
        <v>605.49043800123377</v>
      </c>
      <c r="G52" s="41">
        <f>('CO2'!G52/Population!G52)*1000</f>
        <v>23.938716884774976</v>
      </c>
      <c r="H52" s="41">
        <f>('CO2'!H52/Population!H52)*1000</f>
        <v>1062.1538461538462</v>
      </c>
      <c r="I52" s="43">
        <f>('CO2'!I52/Population!I52)*1000</f>
        <v>1923.7034847439813</v>
      </c>
      <c r="J52" s="41">
        <f>('CO2'!J52/Population!J52)*1000</f>
        <v>130.40804321086688</v>
      </c>
      <c r="K52">
        <f>('CO2'!K52/Population!K52)*1000</f>
        <v>0</v>
      </c>
      <c r="L52" s="41">
        <f>('CO2'!L52/Population!L52)*1000</f>
        <v>883.61565420560748</v>
      </c>
      <c r="M52" s="45">
        <f>('CO2'!M52/Population!M52)*1000</f>
        <v>782.43352135374698</v>
      </c>
      <c r="N52" s="41">
        <f>('CO2'!N52/Population!N52)*1000</f>
        <v>549.14611005692609</v>
      </c>
      <c r="O52" s="41">
        <f>('CO2'!O52/Population!O52)*1000</f>
        <v>95.206501907447333</v>
      </c>
      <c r="P52" s="41">
        <f>('CO2'!P52/Population!P52)*1000</f>
        <v>180.6706857573474</v>
      </c>
      <c r="Q52">
        <f>('CO2'!Q52/Population!Q52)*1000</f>
        <v>0</v>
      </c>
      <c r="R52" s="41">
        <f>('CO2'!R52/Population!R52)*1000</f>
        <v>483.1518039482641</v>
      </c>
      <c r="S52" s="41">
        <f>('CO2'!S52/Population!S52)*1000</f>
        <v>509.15656435388189</v>
      </c>
      <c r="T52" s="41">
        <f>('CO2'!T52/Population!T52)*1000</f>
        <v>2739.7748873368787</v>
      </c>
      <c r="U52" s="41">
        <f>('CO2'!U52/Population!U52)*1000</f>
        <v>4432.6774637213348</v>
      </c>
      <c r="V52">
        <f>('CO2'!V52/Population!V52)*1000</f>
        <v>0</v>
      </c>
    </row>
    <row r="53" spans="1:22" ht="15.75" x14ac:dyDescent="0.25">
      <c r="A53" s="7">
        <v>1921</v>
      </c>
      <c r="B53" s="41">
        <f>('CO2'!B53/Population!B53)*1000</f>
        <v>811.50061500615016</v>
      </c>
      <c r="C53" s="41">
        <f>('CO2'!C53/Population!C53)*1000</f>
        <v>1837.9530916844349</v>
      </c>
      <c r="D53">
        <f>('CO2'!D53/Population!D53)*1000</f>
        <v>28.209803711251745</v>
      </c>
      <c r="E53" s="41">
        <f>('CO2'!E53/Population!E53)*1000</f>
        <v>2433.0970314576871</v>
      </c>
      <c r="F53" s="41">
        <f>('CO2'!F53/Population!F53)*1000</f>
        <v>564.38356164383561</v>
      </c>
      <c r="G53" s="41">
        <f>('CO2'!G53/Population!G53)*1000</f>
        <v>24.290220820189276</v>
      </c>
      <c r="H53" s="41">
        <f>('CO2'!H53/Population!H53)*1000</f>
        <v>959.19979612640157</v>
      </c>
      <c r="I53" s="43">
        <f>('CO2'!I53/Population!I53)*1000</f>
        <v>2097.396586166014</v>
      </c>
      <c r="J53" s="41">
        <f>('CO2'!J53/Population!J53)*1000</f>
        <v>158.44631344352763</v>
      </c>
      <c r="K53">
        <f>('CO2'!K53/Population!K53)*1000</f>
        <v>0</v>
      </c>
      <c r="L53" s="41">
        <f>('CO2'!L53/Population!L53)*1000</f>
        <v>916.19708134662631</v>
      </c>
      <c r="M53" s="45">
        <f>('CO2'!M53/Population!M53)*1000</f>
        <v>749.01960784313724</v>
      </c>
      <c r="N53" s="41">
        <f>('CO2'!N53/Population!N53)*1000</f>
        <v>345.20239880059972</v>
      </c>
      <c r="O53" s="41">
        <f>('CO2'!O53/Population!O53)*1000</f>
        <v>96.524460550156476</v>
      </c>
      <c r="P53" s="41">
        <f>('CO2'!P53/Population!P53)*1000</f>
        <v>189.24851711736957</v>
      </c>
      <c r="Q53">
        <f>('CO2'!Q53/Population!Q53)*1000</f>
        <v>0</v>
      </c>
      <c r="R53" s="41">
        <f>('CO2'!R53/Population!R53)*1000</f>
        <v>276.77517287906898</v>
      </c>
      <c r="S53" s="41">
        <f>('CO2'!S53/Population!S53)*1000</f>
        <v>314.49948400412796</v>
      </c>
      <c r="T53" s="41">
        <f>('CO2'!T53/Population!T53)*1000</f>
        <v>1980.4637865311311</v>
      </c>
      <c r="U53" s="41">
        <f>('CO2'!U53/Population!U53)*1000</f>
        <v>3561.6625674534712</v>
      </c>
      <c r="V53">
        <f>('CO2'!V53/Population!V53)*1000</f>
        <v>0</v>
      </c>
    </row>
    <row r="54" spans="1:22" ht="15.75" x14ac:dyDescent="0.25">
      <c r="A54" s="7">
        <v>1922</v>
      </c>
      <c r="B54" s="41">
        <f>('CO2'!B54/Population!B54)*1000</f>
        <v>777.11397058823525</v>
      </c>
      <c r="C54" s="41">
        <f>('CO2'!C54/Population!C54)*1000</f>
        <v>2015.4537049266939</v>
      </c>
      <c r="D54">
        <f>('CO2'!D54/Population!D54)*1000</f>
        <v>36.157241959217998</v>
      </c>
      <c r="E54" s="41">
        <f>('CO2'!E54/Population!E54)*1000</f>
        <v>2062.3430505513702</v>
      </c>
      <c r="F54" s="41">
        <f>('CO2'!F54/Population!F54)*1000</f>
        <v>792.89584587597824</v>
      </c>
      <c r="G54" s="41">
        <f>('CO2'!G54/Population!G54)*1000</f>
        <v>60.436137071651089</v>
      </c>
      <c r="H54" s="41">
        <f>('CO2'!H54/Population!H54)*1000</f>
        <v>1129.5788939624556</v>
      </c>
      <c r="I54" s="43">
        <f>('CO2'!I54/Population!I54)*1000</f>
        <v>2008.1906300484652</v>
      </c>
      <c r="J54" s="41">
        <f>('CO2'!J54/Population!J54)*1000</f>
        <v>184.16215932363596</v>
      </c>
      <c r="K54">
        <f>('CO2'!K54/Population!K54)*1000</f>
        <v>0</v>
      </c>
      <c r="L54" s="41">
        <f>('CO2'!L54/Population!L54)*1000</f>
        <v>1058.4470989761091</v>
      </c>
      <c r="M54" s="45">
        <f>('CO2'!M54/Population!M54)*1000</f>
        <v>745.398773006135</v>
      </c>
      <c r="N54" s="41">
        <f>('CO2'!N54/Population!N54)*1000</f>
        <v>656.40074211502781</v>
      </c>
      <c r="O54" s="41">
        <f>('CO2'!O54/Population!O54)*1000</f>
        <v>131.46762121705174</v>
      </c>
      <c r="P54" s="41">
        <f>('CO2'!P54/Population!P54)*1000</f>
        <v>188.55187719622711</v>
      </c>
      <c r="Q54">
        <f>('CO2'!Q54/Population!Q54)*1000</f>
        <v>0</v>
      </c>
      <c r="R54" s="41">
        <f>('CO2'!R54/Population!R54)*1000</f>
        <v>454.53022944230446</v>
      </c>
      <c r="S54" s="41">
        <f>('CO2'!S54/Population!S54)*1000</f>
        <v>433.40216830149711</v>
      </c>
      <c r="T54" s="41">
        <f>('CO2'!T54/Population!T54)*1000</f>
        <v>2633.9358153790681</v>
      </c>
      <c r="U54" s="41">
        <f>('CO2'!U54/Population!U54)*1000</f>
        <v>3540.7117772709171</v>
      </c>
      <c r="V54">
        <f>('CO2'!V54/Population!V54)*1000</f>
        <v>0</v>
      </c>
    </row>
    <row r="55" spans="1:22" ht="15.75" x14ac:dyDescent="0.25">
      <c r="A55" s="7">
        <v>1923</v>
      </c>
      <c r="B55" s="41">
        <f>('CO2'!B55/Population!B55)*1000</f>
        <v>741.55586122573743</v>
      </c>
      <c r="C55" s="41">
        <f>('CO2'!C55/Population!C55)*1000</f>
        <v>2569.6136214800258</v>
      </c>
      <c r="D55">
        <f>('CO2'!D55/Population!D55)*1000</f>
        <v>43.260317242326444</v>
      </c>
      <c r="E55" s="41">
        <f>('CO2'!E55/Population!E55)*1000</f>
        <v>2741.6810717372514</v>
      </c>
      <c r="F55" s="41">
        <f>('CO2'!F55/Population!F55)*1000</f>
        <v>856.07866507747326</v>
      </c>
      <c r="G55" s="41">
        <f>('CO2'!G55/Population!G55)*1000</f>
        <v>124.26765340733888</v>
      </c>
      <c r="H55" s="41">
        <f>('CO2'!H55/Population!H55)*1000</f>
        <v>1260.531594784353</v>
      </c>
      <c r="I55" s="43">
        <f>('CO2'!I55/Population!I55)*1000</f>
        <v>1453.9618341438361</v>
      </c>
      <c r="J55" s="41">
        <f>('CO2'!J55/Population!J55)*1000</f>
        <v>190.35361414456577</v>
      </c>
      <c r="K55">
        <f>('CO2'!K55/Population!K55)*1000</f>
        <v>0</v>
      </c>
      <c r="L55" s="41">
        <f>('CO2'!L55/Population!L55)*1000</f>
        <v>1038.181818181818</v>
      </c>
      <c r="M55" s="45">
        <f>('CO2'!M55/Population!M55)*1000</f>
        <v>789.59276018099547</v>
      </c>
      <c r="N55" s="41">
        <f>('CO2'!N55/Population!N55)*1000</f>
        <v>683.37633615923335</v>
      </c>
      <c r="O55" s="41">
        <f>('CO2'!O55/Population!O55)*1000</f>
        <v>117.46745942471478</v>
      </c>
      <c r="P55" s="41">
        <f>('CO2'!P55/Population!P55)*1000</f>
        <v>215.04096672311988</v>
      </c>
      <c r="Q55">
        <f>('CO2'!Q55/Population!Q55)*1000</f>
        <v>0</v>
      </c>
      <c r="R55" s="41">
        <f>('CO2'!R55/Population!R55)*1000</f>
        <v>550.60863765215936</v>
      </c>
      <c r="S55" s="41">
        <f>('CO2'!S55/Population!S55)*1000</f>
        <v>538.75869173319597</v>
      </c>
      <c r="T55" s="41">
        <f>('CO2'!T55/Population!T55)*1000</f>
        <v>2783.9268095793345</v>
      </c>
      <c r="U55" s="41">
        <f>('CO2'!U55/Population!U55)*1000</f>
        <v>4599.4999421641296</v>
      </c>
      <c r="V55">
        <f>('CO2'!V55/Population!V55)*1000</f>
        <v>0</v>
      </c>
    </row>
    <row r="56" spans="1:22" ht="15.75" x14ac:dyDescent="0.25">
      <c r="A56" s="7">
        <v>1924</v>
      </c>
      <c r="B56" s="41">
        <f>('CO2'!B56/Population!B56)*1000</f>
        <v>835.72081682413898</v>
      </c>
      <c r="C56" s="41">
        <f>('CO2'!C56/Population!C56)*1000</f>
        <v>2700.4022317373815</v>
      </c>
      <c r="D56">
        <f>('CO2'!D56/Population!D56)*1000</f>
        <v>46.86606331796925</v>
      </c>
      <c r="E56" s="41">
        <f>('CO2'!E56/Population!E56)*1000</f>
        <v>2248.2435597189692</v>
      </c>
      <c r="F56" s="41">
        <f>('CO2'!F56/Population!F56)*1000</f>
        <v>993.803481853054</v>
      </c>
      <c r="G56" s="41">
        <f>('CO2'!G56/Population!G56)*1000</f>
        <v>145.47677261613691</v>
      </c>
      <c r="H56" s="41">
        <f>('CO2'!H56/Population!H56)*1000</f>
        <v>1399.0573058794344</v>
      </c>
      <c r="I56" s="43">
        <f>('CO2'!I56/Population!I56)*1000</f>
        <v>1966.6969711469449</v>
      </c>
      <c r="J56" s="41">
        <f>('CO2'!J56/Population!J56)*1000</f>
        <v>226.30765266683844</v>
      </c>
      <c r="K56">
        <f>('CO2'!K56/Population!K56)*1000</f>
        <v>0</v>
      </c>
      <c r="L56" s="41">
        <f>('CO2'!L56/Population!L56)*1000</f>
        <v>1149.5044052863436</v>
      </c>
      <c r="M56" s="45">
        <f>('CO2'!M56/Population!M56)*1000</f>
        <v>806.66666666666663</v>
      </c>
      <c r="N56" s="41">
        <f>('CO2'!N56/Population!N56)*1000</f>
        <v>772.81055331623304</v>
      </c>
      <c r="O56" s="41">
        <f>('CO2'!O56/Population!O56)*1000</f>
        <v>131.26984126984127</v>
      </c>
      <c r="P56" s="41">
        <f>('CO2'!P56/Population!P56)*1000</f>
        <v>227.42308215143413</v>
      </c>
      <c r="Q56">
        <f>('CO2'!Q56/Population!Q56)*1000</f>
        <v>0</v>
      </c>
      <c r="R56" s="41">
        <f>('CO2'!R56/Population!R56)*1000</f>
        <v>654.54243481149308</v>
      </c>
      <c r="S56" s="41">
        <f>('CO2'!S56/Population!S56)*1000</f>
        <v>506.67351129363448</v>
      </c>
      <c r="T56" s="41">
        <f>('CO2'!T56/Population!T56)*1000</f>
        <v>2892.3076923076924</v>
      </c>
      <c r="U56" s="41">
        <f>('CO2'!U56/Population!U56)*1000</f>
        <v>4039.6218509401347</v>
      </c>
      <c r="V56">
        <f>('CO2'!V56/Population!V56)*1000</f>
        <v>0</v>
      </c>
    </row>
    <row r="57" spans="1:22" ht="15.75" x14ac:dyDescent="0.25">
      <c r="A57" s="7">
        <v>1925</v>
      </c>
      <c r="B57" s="41">
        <f>('CO2'!B57/Population!B57)*1000</f>
        <v>787.4506229109694</v>
      </c>
      <c r="C57" s="41">
        <f>('CO2'!C57/Population!C57)*1000</f>
        <v>2738.0125980203111</v>
      </c>
      <c r="D57">
        <f>('CO2'!D57/Population!D57)*1000</f>
        <v>48.364763286298299</v>
      </c>
      <c r="E57" s="41">
        <f>('CO2'!E57/Population!E57)*1000</f>
        <v>2150.6964080008379</v>
      </c>
      <c r="F57" s="41">
        <f>('CO2'!F57/Population!F57)*1000</f>
        <v>854.30656934306569</v>
      </c>
      <c r="G57" s="41">
        <f>('CO2'!G57/Population!G57)*1000</f>
        <v>141.34382566585955</v>
      </c>
      <c r="H57" s="41">
        <f>('CO2'!H57/Population!H57)*1000</f>
        <v>1437.0598374784536</v>
      </c>
      <c r="I57" s="43">
        <f>('CO2'!I57/Population!I57)*1000</f>
        <v>1979.1976696323973</v>
      </c>
      <c r="J57" s="41">
        <f>('CO2'!J57/Population!J57)*1000</f>
        <v>215.80492786927101</v>
      </c>
      <c r="K57">
        <f>('CO2'!K57/Population!K57)*1000</f>
        <v>0</v>
      </c>
      <c r="L57" s="41">
        <f>('CO2'!L57/Population!L57)*1000</f>
        <v>1244.6375237578063</v>
      </c>
      <c r="M57" s="45">
        <f>('CO2'!M57/Population!M57)*1000</f>
        <v>807.52532561505063</v>
      </c>
      <c r="N57" s="41">
        <f>('CO2'!N57/Population!N57)*1000</f>
        <v>754.64142701128503</v>
      </c>
      <c r="O57" s="41">
        <f>('CO2'!O57/Population!O57)*1000</f>
        <v>133.58419567262465</v>
      </c>
      <c r="P57" s="41">
        <f>('CO2'!P57/Population!P57)*1000</f>
        <v>233.26753992463665</v>
      </c>
      <c r="Q57">
        <f>('CO2'!Q57/Population!Q57)*1000</f>
        <v>0</v>
      </c>
      <c r="R57" s="41">
        <f>('CO2'!R57/Population!R57)*1000</f>
        <v>582.29942100909852</v>
      </c>
      <c r="S57" s="41">
        <f>('CO2'!S57/Population!S57)*1000</f>
        <v>526.08695652173913</v>
      </c>
      <c r="T57" s="41">
        <f>('CO2'!T57/Population!T57)*1000</f>
        <v>2723.6068266051179</v>
      </c>
      <c r="U57" s="41">
        <f>('CO2'!U57/Population!U57)*1000</f>
        <v>4085.9963537546005</v>
      </c>
      <c r="V57">
        <f>('CO2'!V57/Population!V57)*1000</f>
        <v>0</v>
      </c>
    </row>
    <row r="58" spans="1:22" ht="15.75" x14ac:dyDescent="0.25">
      <c r="A58" s="7">
        <v>1926</v>
      </c>
      <c r="B58" s="41">
        <f>('CO2'!B58/Population!B58)*1000</f>
        <v>769.65015901862785</v>
      </c>
      <c r="C58" s="41">
        <f>('CO2'!C58/Population!C58)*1000</f>
        <v>2702.9576746557877</v>
      </c>
      <c r="D58">
        <f>('CO2'!D58/Population!D58)*1000</f>
        <v>48.299034019319613</v>
      </c>
      <c r="E58" s="41">
        <f>('CO2'!E58/Population!E58)*1000</f>
        <v>2381.5504993307941</v>
      </c>
      <c r="F58" s="41">
        <f>('CO2'!F58/Population!F58)*1000</f>
        <v>827.63615295480884</v>
      </c>
      <c r="G58" s="41">
        <f>('CO2'!G58/Population!G58)*1000</f>
        <v>130.57801737047021</v>
      </c>
      <c r="H58" s="41">
        <f>('CO2'!H58/Population!H58)*1000</f>
        <v>1427.2816246635673</v>
      </c>
      <c r="I58" s="43">
        <f>('CO2'!I58/Population!I58)*1000</f>
        <v>1772.4815338676724</v>
      </c>
      <c r="J58" s="41">
        <f>('CO2'!J58/Population!J58)*1000</f>
        <v>247.63303123892462</v>
      </c>
      <c r="K58">
        <f>('CO2'!K58/Population!K58)*1000</f>
        <v>0</v>
      </c>
      <c r="L58" s="41">
        <f>('CO2'!L58/Population!L58)*1000</f>
        <v>1254.0489894257796</v>
      </c>
      <c r="M58" s="45">
        <f>('CO2'!M58/Population!M58)*1000</f>
        <v>825.77903682719545</v>
      </c>
      <c r="N58" s="41">
        <f>('CO2'!N58/Population!N58)*1000</f>
        <v>628.30256967064781</v>
      </c>
      <c r="O58" s="41">
        <f>('CO2'!O58/Population!O58)*1000</f>
        <v>132.56930463063344</v>
      </c>
      <c r="P58" s="41">
        <f>('CO2'!P58/Population!P58)*1000</f>
        <v>222.75512922994938</v>
      </c>
      <c r="Q58">
        <f>('CO2'!Q58/Population!Q58)*1000</f>
        <v>0</v>
      </c>
      <c r="R58" s="41">
        <f>('CO2'!R58/Population!R58)*1000</f>
        <v>564.14907651715043</v>
      </c>
      <c r="S58" s="41">
        <f>('CO2'!S58/Population!S58)*1000</f>
        <v>517.54832146490332</v>
      </c>
      <c r="T58" s="41">
        <f>('CO2'!T58/Population!T58)*1000</f>
        <v>1486.5802971347719</v>
      </c>
      <c r="U58" s="41">
        <f>('CO2'!U58/Population!U58)*1000</f>
        <v>4373.3507555766737</v>
      </c>
      <c r="V58">
        <f>('CO2'!V58/Population!V58)*1000</f>
        <v>0</v>
      </c>
    </row>
    <row r="59" spans="1:22" ht="15.75" x14ac:dyDescent="0.25">
      <c r="A59" s="7">
        <v>1927</v>
      </c>
      <c r="B59" s="41">
        <f>('CO2'!B59/Population!B59)*1000</f>
        <v>829.23146610297454</v>
      </c>
      <c r="C59" s="41">
        <f>('CO2'!C59/Population!C59)*1000</f>
        <v>3124.1143724696358</v>
      </c>
      <c r="D59">
        <f>('CO2'!D59/Population!D59)*1000</f>
        <v>52.489948396492231</v>
      </c>
      <c r="E59" s="41">
        <f>('CO2'!E59/Population!E59)*1000</f>
        <v>2534.9823321554773</v>
      </c>
      <c r="F59" s="41">
        <f>('CO2'!F59/Population!F59)*1000</f>
        <v>1046.6187050359713</v>
      </c>
      <c r="G59" s="41">
        <f>('CO2'!G59/Population!G59)*1000</f>
        <v>230.99762470308787</v>
      </c>
      <c r="H59" s="41">
        <f>('CO2'!H59/Population!H59)*1000</f>
        <v>1420.2247191011236</v>
      </c>
      <c r="I59" s="43">
        <f>('CO2'!I59/Population!I59)*1000</f>
        <v>2050.6536713368637</v>
      </c>
      <c r="J59" s="41">
        <f>('CO2'!J59/Population!J59)*1000</f>
        <v>276.60108411965467</v>
      </c>
      <c r="K59">
        <f>('CO2'!K59/Population!K59)*1000</f>
        <v>0</v>
      </c>
      <c r="L59" s="41">
        <f>('CO2'!L59/Population!L59)*1000</f>
        <v>1367.7402323125659</v>
      </c>
      <c r="M59" s="45">
        <f>('CO2'!M59/Population!M59)*1000</f>
        <v>853.86221294363247</v>
      </c>
      <c r="N59" s="41">
        <f>('CO2'!N59/Population!N59)*1000</f>
        <v>839.27927927927931</v>
      </c>
      <c r="O59" s="41">
        <f>('CO2'!O59/Population!O59)*1000</f>
        <v>151.57540532272867</v>
      </c>
      <c r="P59" s="41">
        <f>('CO2'!P59/Population!P59)*1000</f>
        <v>257.30865608651692</v>
      </c>
      <c r="Q59">
        <f>('CO2'!Q59/Population!Q59)*1000</f>
        <v>0</v>
      </c>
      <c r="R59" s="41">
        <f>('CO2'!R59/Population!R59)*1000</f>
        <v>791.1527709258346</v>
      </c>
      <c r="S59" s="41">
        <f>('CO2'!S59/Population!S59)*1000</f>
        <v>593.0232558139536</v>
      </c>
      <c r="T59" s="41">
        <f>('CO2'!T59/Population!T59)*1000</f>
        <v>2806.4949657405978</v>
      </c>
      <c r="U59" s="41">
        <f>('CO2'!U59/Population!U59)*1000</f>
        <v>4213.3520777894937</v>
      </c>
      <c r="V59">
        <f>('CO2'!V59/Population!V59)*1000</f>
        <v>0</v>
      </c>
    </row>
    <row r="60" spans="1:22" ht="15.75" x14ac:dyDescent="0.25">
      <c r="A60" s="7">
        <v>1928</v>
      </c>
      <c r="B60" s="41">
        <f>('CO2'!B60/Population!B60)*1000</f>
        <v>870.69095288273365</v>
      </c>
      <c r="C60" s="41">
        <f>('CO2'!C60/Population!C60)*1000</f>
        <v>3023.0923694779117</v>
      </c>
      <c r="D60">
        <f>('CO2'!D60/Population!D60)*1000</f>
        <v>50.19544580256872</v>
      </c>
      <c r="E60" s="41">
        <f>('CO2'!E60/Population!E60)*1000</f>
        <v>2532.5022261798754</v>
      </c>
      <c r="F60" s="41">
        <f>('CO2'!F60/Population!F60)*1000</f>
        <v>980.26880183014009</v>
      </c>
      <c r="G60" s="41">
        <f>('CO2'!G60/Population!G60)*1000</f>
        <v>251.47232037691401</v>
      </c>
      <c r="H60" s="41">
        <f>('CO2'!H60/Population!H60)*1000</f>
        <v>1407.0889159561511</v>
      </c>
      <c r="I60" s="43">
        <f>('CO2'!I60/Population!I60)*1000</f>
        <v>2139.9375708539751</v>
      </c>
      <c r="J60" s="41">
        <f>('CO2'!J60/Population!J60)*1000</f>
        <v>259.16986015030108</v>
      </c>
      <c r="K60">
        <f>('CO2'!K60/Population!K60)*1000</f>
        <v>0</v>
      </c>
      <c r="L60" s="41">
        <f>('CO2'!L60/Population!L60)*1000</f>
        <v>1350.8269305899205</v>
      </c>
      <c r="M60" s="45">
        <f>('CO2'!M60/Population!M60)*1000</f>
        <v>885.14442916093537</v>
      </c>
      <c r="N60" s="41">
        <f>('CO2'!N60/Population!N60)*1000</f>
        <v>828.36624775583482</v>
      </c>
      <c r="O60" s="41">
        <f>('CO2'!O60/Population!O60)*1000</f>
        <v>164.67744372261672</v>
      </c>
      <c r="P60" s="41">
        <f>('CO2'!P60/Population!P60)*1000</f>
        <v>255.55990773382075</v>
      </c>
      <c r="Q60">
        <f>('CO2'!Q60/Population!Q60)*1000</f>
        <v>0</v>
      </c>
      <c r="R60" s="41">
        <f>('CO2'!R60/Population!R60)*1000</f>
        <v>727.24290634738395</v>
      </c>
      <c r="S60" s="41">
        <f>('CO2'!S60/Population!S60)*1000</f>
        <v>613.59077231695085</v>
      </c>
      <c r="T60" s="41">
        <f>('CO2'!T60/Population!T60)*1000</f>
        <v>2620.738075387248</v>
      </c>
      <c r="U60" s="41">
        <f>('CO2'!U60/Population!U60)*1000</f>
        <v>4123.7156012598061</v>
      </c>
      <c r="V60">
        <f>('CO2'!V60/Population!V60)*1000</f>
        <v>0</v>
      </c>
    </row>
    <row r="61" spans="1:22" ht="15.75" x14ac:dyDescent="0.25">
      <c r="A61" s="7">
        <v>1929</v>
      </c>
      <c r="B61" s="41">
        <f>('CO2'!B61/Population!B61)*1000</f>
        <v>990.09603841536625</v>
      </c>
      <c r="C61" s="41">
        <f>('CO2'!C61/Population!C61)*1000</f>
        <v>3294.9452191235059</v>
      </c>
      <c r="D61">
        <f>('CO2'!D61/Population!D61)*1000</f>
        <v>52.653979449139662</v>
      </c>
      <c r="E61" s="41">
        <f>('CO2'!E61/Population!E61)*1000</f>
        <v>2622.9985443959245</v>
      </c>
      <c r="F61" s="41">
        <f>('CO2'!F61/Population!F61)*1000</f>
        <v>1173.6782262649233</v>
      </c>
      <c r="G61" s="41">
        <f>('CO2'!G61/Population!G61)*1000</f>
        <v>267.23130841121497</v>
      </c>
      <c r="H61" s="41">
        <f>('CO2'!H61/Population!H61)*1000</f>
        <v>1551.0065486296387</v>
      </c>
      <c r="I61" s="43">
        <f>('CO2'!I61/Population!I61)*1000</f>
        <v>2272.1852361018859</v>
      </c>
      <c r="J61" s="41">
        <f>('CO2'!J61/Population!J61)*1000</f>
        <v>297.01747016234646</v>
      </c>
      <c r="K61">
        <f>('CO2'!K61/Population!K61)*1000</f>
        <v>0</v>
      </c>
      <c r="L61" s="41">
        <f>('CO2'!L61/Population!L61)*1000</f>
        <v>1447.314315086096</v>
      </c>
      <c r="M61" s="45">
        <f>('CO2'!M61/Population!M61)*1000</f>
        <v>908.2256968048946</v>
      </c>
      <c r="N61" s="41">
        <f>('CO2'!N61/Population!N61)*1000</f>
        <v>929.51699463327373</v>
      </c>
      <c r="O61" s="41">
        <f>('CO2'!O61/Population!O61)*1000</f>
        <v>161.61766900462618</v>
      </c>
      <c r="P61" s="41">
        <f>('CO2'!P61/Population!P61)*1000</f>
        <v>281.9474364498061</v>
      </c>
      <c r="Q61">
        <f>('CO2'!Q61/Population!Q61)*1000</f>
        <v>0</v>
      </c>
      <c r="R61" s="41">
        <f>('CO2'!R61/Population!R61)*1000</f>
        <v>864.87812857843937</v>
      </c>
      <c r="S61" s="41">
        <f>('CO2'!S61/Population!S61)*1000</f>
        <v>696.6683242168076</v>
      </c>
      <c r="T61" s="41">
        <f>('CO2'!T61/Population!T61)*1000</f>
        <v>2752.9996496759504</v>
      </c>
      <c r="U61" s="41">
        <f>('CO2'!U61/Population!U61)*1000</f>
        <v>4376.6779827395803</v>
      </c>
      <c r="V61">
        <f>('CO2'!V61/Population!V61)*1000</f>
        <v>0</v>
      </c>
    </row>
    <row r="62" spans="1:22" ht="15.75" x14ac:dyDescent="0.25">
      <c r="A62" s="7">
        <v>1930</v>
      </c>
      <c r="B62" s="41">
        <f>('CO2'!B62/Population!B62)*1000</f>
        <v>770.34709754637947</v>
      </c>
      <c r="C62" s="41">
        <f>('CO2'!C62/Population!C62)*1000</f>
        <v>3166.0475482912329</v>
      </c>
      <c r="D62">
        <f>('CO2'!D62/Population!D62)*1000</f>
        <v>44.834366062917063</v>
      </c>
      <c r="E62" s="41">
        <f>('CO2'!E62/Population!E62)*1000</f>
        <v>2455.3775743707097</v>
      </c>
      <c r="F62" s="41">
        <f>('CO2'!F62/Population!F62)*1000</f>
        <v>1064.0880858272164</v>
      </c>
      <c r="G62" s="41">
        <f>('CO2'!G62/Population!G62)*1000</f>
        <v>209.62597854450564</v>
      </c>
      <c r="H62" s="41">
        <f>('CO2'!H62/Population!H62)*1000</f>
        <v>1558.8079788512377</v>
      </c>
      <c r="I62" s="43">
        <f>('CO2'!I62/Population!I62)*1000</f>
        <v>1936.2516132997359</v>
      </c>
      <c r="J62" s="41">
        <f>('CO2'!J62/Population!J62)*1000</f>
        <v>264.71525581623393</v>
      </c>
      <c r="K62">
        <f>('CO2'!K62/Population!K62)*1000</f>
        <v>0</v>
      </c>
      <c r="L62" s="41">
        <f>('CO2'!L62/Population!L62)*1000</f>
        <v>1411.7199391171994</v>
      </c>
      <c r="M62" s="45">
        <f>('CO2'!M62/Population!M62)*1000</f>
        <v>889.48425987943733</v>
      </c>
      <c r="N62" s="41">
        <f>('CO2'!N62/Population!N62)*1000</f>
        <v>848.59280370502313</v>
      </c>
      <c r="O62" s="41">
        <f>('CO2'!O62/Population!O62)*1000</f>
        <v>173.93867924528303</v>
      </c>
      <c r="P62" s="41">
        <f>('CO2'!P62/Population!P62)*1000</f>
        <v>275.23992322456814</v>
      </c>
      <c r="Q62">
        <f>('CO2'!Q62/Population!Q62)*1000</f>
        <v>0</v>
      </c>
      <c r="R62" s="41">
        <f>('CO2'!R62/Population!R62)*1000</f>
        <v>842.76626977654541</v>
      </c>
      <c r="S62" s="41">
        <f>('CO2'!S62/Population!S62)*1000</f>
        <v>644.03850901012095</v>
      </c>
      <c r="T62" s="41">
        <f>('CO2'!T62/Population!T62)*1000</f>
        <v>2624.7329176296166</v>
      </c>
      <c r="U62" s="41">
        <f>('CO2'!U62/Population!U62)*1000</f>
        <v>3844.923504867872</v>
      </c>
      <c r="V62">
        <f>('CO2'!V62/Population!V62)*1000</f>
        <v>0</v>
      </c>
    </row>
    <row r="63" spans="1:22" ht="15.75" x14ac:dyDescent="0.25">
      <c r="A63" s="7">
        <v>1931</v>
      </c>
      <c r="B63" s="41">
        <f>('CO2'!B63/Population!B63)*1000</f>
        <v>736.91275167785227</v>
      </c>
      <c r="C63" s="41">
        <f>('CO2'!C63/Population!C63)*1000</f>
        <v>2825.7445237509228</v>
      </c>
      <c r="D63">
        <f>('CO2'!D63/Population!D63)*1000</f>
        <v>33.220457730032699</v>
      </c>
      <c r="E63" s="41">
        <f>('CO2'!E63/Population!E63)*1000</f>
        <v>1942.6667917800507</v>
      </c>
      <c r="F63" s="41">
        <f>('CO2'!F63/Population!F63)*1000</f>
        <v>1095.2647800504342</v>
      </c>
      <c r="G63" s="41">
        <f>('CO2'!G63/Population!G63)*1000</f>
        <v>236.47871116225548</v>
      </c>
      <c r="H63" s="41">
        <f>('CO2'!H63/Population!H63)*1000</f>
        <v>1418.1796464405161</v>
      </c>
      <c r="I63" s="43">
        <f>('CO2'!I63/Population!I63)*1000</f>
        <v>1608.5933081637954</v>
      </c>
      <c r="J63" s="41">
        <f>('CO2'!J63/Population!J63)*1000</f>
        <v>226.83069143246135</v>
      </c>
      <c r="K63">
        <f>('CO2'!K63/Population!K63)*1000</f>
        <v>0</v>
      </c>
      <c r="L63" s="41">
        <f>('CO2'!L63/Population!L63)*1000</f>
        <v>1533.9417427178396</v>
      </c>
      <c r="M63" s="45">
        <f>('CO2'!M63/Population!M63)*1000</f>
        <v>764.20079260237787</v>
      </c>
      <c r="N63" s="41">
        <f>('CO2'!N63/Population!N63)*1000</f>
        <v>781.51558073654394</v>
      </c>
      <c r="O63" s="41">
        <f>('CO2'!O63/Population!O63)*1000</f>
        <v>155.77231037996796</v>
      </c>
      <c r="P63" s="41">
        <f>('CO2'!P63/Population!P63)*1000</f>
        <v>259.80992608236534</v>
      </c>
      <c r="Q63">
        <f>('CO2'!Q63/Population!Q63)*1000</f>
        <v>0</v>
      </c>
      <c r="R63" s="41">
        <f>('CO2'!R63/Population!R63)*1000</f>
        <v>840.37711313394016</v>
      </c>
      <c r="S63" s="41">
        <f>('CO2'!S63/Population!S63)*1000</f>
        <v>675.49019607843138</v>
      </c>
      <c r="T63" s="41">
        <f>('CO2'!T63/Population!T63)*1000</f>
        <v>2441.9412249858919</v>
      </c>
      <c r="U63" s="41">
        <f>('CO2'!U63/Population!U63)*1000</f>
        <v>3247.7032567618526</v>
      </c>
      <c r="V63">
        <f>('CO2'!V63/Population!V63)*1000</f>
        <v>0</v>
      </c>
    </row>
    <row r="64" spans="1:22" ht="15.75" x14ac:dyDescent="0.25">
      <c r="A64" s="7">
        <v>1932</v>
      </c>
      <c r="B64" s="41">
        <f>('CO2'!B64/Population!B64)*1000</f>
        <v>615.76208178438662</v>
      </c>
      <c r="C64" s="41">
        <f>('CO2'!C64/Population!C64)*1000</f>
        <v>2257.8793061324213</v>
      </c>
      <c r="D64">
        <f>('CO2'!D64/Population!D64)*1000</f>
        <v>32.554280973767774</v>
      </c>
      <c r="E64" s="41">
        <f>('CO2'!E64/Population!E64)*1000</f>
        <v>1775.2455067630165</v>
      </c>
      <c r="F64" s="41">
        <f>('CO2'!F64/Population!F64)*1000</f>
        <v>1017.2078823202886</v>
      </c>
      <c r="G64" s="41">
        <f>('CO2'!G64/Population!G64)*1000</f>
        <v>235.51241792749073</v>
      </c>
      <c r="H64" s="41">
        <f>('CO2'!H64/Population!H64)*1000</f>
        <v>1250.5016722408027</v>
      </c>
      <c r="I64" s="43">
        <f>('CO2'!I64/Population!I64)*1000</f>
        <v>1442.4493274088502</v>
      </c>
      <c r="J64" s="41">
        <f>('CO2'!J64/Population!J64)*1000</f>
        <v>184.95812314450532</v>
      </c>
      <c r="K64">
        <f>('CO2'!K64/Population!K64)*1000</f>
        <v>0</v>
      </c>
      <c r="L64" s="41">
        <f>('CO2'!L64/Population!L64)*1000</f>
        <v>1391.6040871599162</v>
      </c>
      <c r="M64" s="45">
        <f>('CO2'!M64/Population!M64)*1000</f>
        <v>632.61296660117887</v>
      </c>
      <c r="N64" s="41">
        <f>('CO2'!N64/Population!N64)*1000</f>
        <v>830.04926108374389</v>
      </c>
      <c r="O64" s="41">
        <f>('CO2'!O64/Population!O64)*1000</f>
        <v>133.01696865113604</v>
      </c>
      <c r="P64" s="41">
        <f>('CO2'!P64/Population!P64)*1000</f>
        <v>241.9132108632883</v>
      </c>
      <c r="Q64">
        <f>('CO2'!Q64/Population!Q64)*1000</f>
        <v>0</v>
      </c>
      <c r="R64" s="41">
        <f>('CO2'!R64/Population!R64)*1000</f>
        <v>828.04404145077729</v>
      </c>
      <c r="S64" s="41">
        <f>('CO2'!S64/Population!S64)*1000</f>
        <v>680.3998049731839</v>
      </c>
      <c r="T64" s="41">
        <f>('CO2'!T64/Population!T64)*1000</f>
        <v>2332.0599978418045</v>
      </c>
      <c r="U64" s="41">
        <f>('CO2'!U64/Population!U64)*1000</f>
        <v>2733.6968653337158</v>
      </c>
      <c r="V64">
        <f>('CO2'!V64/Population!V64)*1000</f>
        <v>11.864406779661017</v>
      </c>
    </row>
    <row r="65" spans="1:22" ht="15.75" x14ac:dyDescent="0.25">
      <c r="A65" s="7">
        <v>1933</v>
      </c>
      <c r="B65" s="41">
        <f>('CO2'!B65/Population!B65)*1000</f>
        <v>575.74859175807887</v>
      </c>
      <c r="C65" s="41">
        <f>('CO2'!C65/Population!C65)*1000</f>
        <v>2409.4277730530916</v>
      </c>
      <c r="D65">
        <f>('CO2'!D65/Population!D65)*1000</f>
        <v>36.133770638858515</v>
      </c>
      <c r="E65" s="41">
        <f>('CO2'!E65/Population!E65)*1000</f>
        <v>1736.7890832493817</v>
      </c>
      <c r="F65" s="41">
        <f>('CO2'!F65/Population!F65)*1000</f>
        <v>1004.6793283787503</v>
      </c>
      <c r="G65" s="41">
        <f>('CO2'!G65/Population!G65)*1000</f>
        <v>249.5745887691435</v>
      </c>
      <c r="H65" s="41">
        <f>('CO2'!H65/Population!H65)*1000</f>
        <v>1299.1883504416328</v>
      </c>
      <c r="I65" s="43">
        <f>('CO2'!I65/Population!I65)*1000</f>
        <v>1508.1406091447438</v>
      </c>
      <c r="J65" s="41">
        <f>('CO2'!J65/Population!J65)*1000</f>
        <v>199.29106890522837</v>
      </c>
      <c r="K65">
        <f>('CO2'!K65/Population!K65)*1000</f>
        <v>0</v>
      </c>
      <c r="L65" s="41">
        <f>('CO2'!L65/Population!L65)*1000</f>
        <v>1278.0138399902878</v>
      </c>
      <c r="M65" s="45">
        <f>('CO2'!M65/Population!M65)*1000</f>
        <v>628.57142857142856</v>
      </c>
      <c r="N65" s="41">
        <f>('CO2'!N65/Population!N65)*1000</f>
        <v>876.48705388383485</v>
      </c>
      <c r="O65" s="41">
        <f>('CO2'!O65/Population!O65)*1000</f>
        <v>154.97159090909091</v>
      </c>
      <c r="P65" s="41">
        <f>('CO2'!P65/Population!P65)*1000</f>
        <v>211.71544648039134</v>
      </c>
      <c r="Q65">
        <f>('CO2'!Q65/Population!Q65)*1000</f>
        <v>0</v>
      </c>
      <c r="R65" s="41">
        <f>('CO2'!R65/Population!R65)*1000</f>
        <v>859.05499113046278</v>
      </c>
      <c r="S65" s="41">
        <f>('CO2'!S65/Population!S65)*1000</f>
        <v>633.43037360504604</v>
      </c>
      <c r="T65" s="41">
        <f>('CO2'!T65/Population!T65)*1000</f>
        <v>2300.8168529664663</v>
      </c>
      <c r="U65" s="41">
        <f>('CO2'!U65/Population!U65)*1000</f>
        <v>2913.9404025994609</v>
      </c>
      <c r="V65">
        <f>('CO2'!V65/Population!V65)*1000</f>
        <v>10.005558643690939</v>
      </c>
    </row>
    <row r="66" spans="1:22" ht="15.75" x14ac:dyDescent="0.25">
      <c r="A66" s="7">
        <v>1934</v>
      </c>
      <c r="B66" s="41">
        <f>('CO2'!B66/Population!B66)*1000</f>
        <v>555.32544378698219</v>
      </c>
      <c r="C66" s="41">
        <f>('CO2'!C66/Population!C66)*1000</f>
        <v>2476.3979665940451</v>
      </c>
      <c r="D66">
        <f>('CO2'!D66/Population!D66)*1000</f>
        <v>34.666520162619491</v>
      </c>
      <c r="E66" s="41">
        <f>('CO2'!E66/Population!E66)*1000</f>
        <v>1977.4252039891205</v>
      </c>
      <c r="F66" s="41">
        <f>('CO2'!F66/Population!F66)*1000</f>
        <v>1090.2891434806327</v>
      </c>
      <c r="G66" s="41">
        <f>('CO2'!G66/Population!G66)*1000</f>
        <v>304.029304029304</v>
      </c>
      <c r="H66" s="41">
        <f>('CO2'!H66/Population!H66)*1000</f>
        <v>1310.1072705601905</v>
      </c>
      <c r="I66" s="43">
        <f>('CO2'!I66/Population!I66)*1000</f>
        <v>1679.441039618124</v>
      </c>
      <c r="J66" s="41">
        <f>('CO2'!J66/Population!J66)*1000</f>
        <v>257.26367804623095</v>
      </c>
      <c r="K66">
        <f>('CO2'!K66/Population!K66)*1000</f>
        <v>0</v>
      </c>
      <c r="L66" s="41">
        <f>('CO2'!L66/Population!L66)*1000</f>
        <v>1263.9971226471646</v>
      </c>
      <c r="M66" s="45">
        <f>('CO2'!M66/Population!M66)*1000</f>
        <v>700.38659793814429</v>
      </c>
      <c r="N66" s="41">
        <f>('CO2'!N66/Population!N66)*1000</f>
        <v>900.83507306889351</v>
      </c>
      <c r="O66" s="41">
        <f>('CO2'!O66/Population!O66)*1000</f>
        <v>156.86824750947105</v>
      </c>
      <c r="P66" s="41">
        <f>('CO2'!P66/Population!P66)*1000</f>
        <v>226.99084151299849</v>
      </c>
      <c r="Q66">
        <f>('CO2'!Q66/Population!Q66)*1000</f>
        <v>0</v>
      </c>
      <c r="R66" s="41">
        <f>('CO2'!R66/Population!R66)*1000</f>
        <v>953.39119254259083</v>
      </c>
      <c r="S66" s="41">
        <f>('CO2'!S66/Population!S66)*1000</f>
        <v>629.95169082125597</v>
      </c>
      <c r="T66" s="41">
        <f>('CO2'!T66/Population!T66)*1000</f>
        <v>2475.228217545965</v>
      </c>
      <c r="U66" s="41">
        <f>('CO2'!U66/Population!U66)*1000</f>
        <v>3083.0695081037657</v>
      </c>
      <c r="V66">
        <f>('CO2'!V66/Population!V66)*1000</f>
        <v>7.6544559868780748</v>
      </c>
    </row>
    <row r="67" spans="1:22" ht="15.75" x14ac:dyDescent="0.25">
      <c r="A67" s="7">
        <v>1935</v>
      </c>
      <c r="B67" s="41">
        <f>('CO2'!B67/Population!B67)*1000</f>
        <v>562.0470344623576</v>
      </c>
      <c r="C67" s="41">
        <f>('CO2'!C67/Population!C67)*1000</f>
        <v>2359.4353281853282</v>
      </c>
      <c r="D67">
        <f>('CO2'!D67/Population!D67)*1000</f>
        <v>40.48452220726783</v>
      </c>
      <c r="E67" s="41">
        <f>('CO2'!E67/Population!E67)*1000</f>
        <v>1931.2140804597702</v>
      </c>
      <c r="F67" s="41">
        <f>('CO2'!F67/Population!F67)*1000</f>
        <v>1126.657645466847</v>
      </c>
      <c r="G67" s="41">
        <f>('CO2'!G67/Population!G67)*1000</f>
        <v>268.45637583892619</v>
      </c>
      <c r="H67" s="41">
        <f>('CO2'!H67/Population!H67)*1000</f>
        <v>1271.5069146399619</v>
      </c>
      <c r="I67" s="43">
        <f>('CO2'!I67/Population!I67)*1000</f>
        <v>1846.2861330023479</v>
      </c>
      <c r="J67" s="41">
        <f>('CO2'!J67/Population!J67)*1000</f>
        <v>291.99368356548587</v>
      </c>
      <c r="K67">
        <f>('CO2'!K67/Population!K67)*1000</f>
        <v>0</v>
      </c>
      <c r="L67" s="41">
        <f>('CO2'!L67/Population!L67)*1000</f>
        <v>1205.952098648328</v>
      </c>
      <c r="M67" s="45">
        <f>('CO2'!M67/Population!M67)*1000</f>
        <v>725.35211267605632</v>
      </c>
      <c r="N67" s="41">
        <f>('CO2'!N67/Population!N67)*1000</f>
        <v>924.19522326064384</v>
      </c>
      <c r="O67" s="41">
        <f>('CO2'!O67/Population!O67)*1000</f>
        <v>165.60421286031044</v>
      </c>
      <c r="P67" s="41">
        <f>('CO2'!P67/Population!P67)*1000</f>
        <v>249.39989421864192</v>
      </c>
      <c r="Q67">
        <f>('CO2'!Q67/Population!Q67)*1000</f>
        <v>0</v>
      </c>
      <c r="R67" s="41">
        <f>('CO2'!R67/Population!R67)*1000</f>
        <v>999.83979493752008</v>
      </c>
      <c r="S67" s="41">
        <f>('CO2'!S67/Population!S67)*1000</f>
        <v>622.38267148014438</v>
      </c>
      <c r="T67" s="41">
        <f>('CO2'!T67/Population!T67)*1000</f>
        <v>2498.9545105402408</v>
      </c>
      <c r="U67" s="41">
        <f>('CO2'!U67/Population!U67)*1000</f>
        <v>3181.0901070710706</v>
      </c>
      <c r="V67">
        <f>('CO2'!V67/Population!V67)*1000</f>
        <v>7.5309306078536844</v>
      </c>
    </row>
    <row r="68" spans="1:22" ht="15.75" x14ac:dyDescent="0.25">
      <c r="A68" s="7">
        <v>1936</v>
      </c>
      <c r="B68" s="41">
        <f>('CO2'!B68/Population!B68)*1000</f>
        <v>548.97898786623261</v>
      </c>
      <c r="C68" s="41">
        <f>('CO2'!C68/Population!C68)*1000</f>
        <v>2462.1767889356584</v>
      </c>
      <c r="D68">
        <f>('CO2'!D68/Population!D68)*1000</f>
        <v>37.06048376460658</v>
      </c>
      <c r="E68" s="41">
        <f>('CO2'!E68/Population!E68)*1000</f>
        <v>2091.7015031575202</v>
      </c>
      <c r="F68" s="41">
        <f>('CO2'!F68/Population!F68)*1000</f>
        <v>1157.1735626007521</v>
      </c>
      <c r="G68" s="41">
        <f>('CO2'!G68/Population!G68)*1000</f>
        <v>376.28436545404054</v>
      </c>
      <c r="H68" s="41">
        <f>('CO2'!H68/Population!H68)*1000</f>
        <v>1290.050107372942</v>
      </c>
      <c r="I68" s="43">
        <f>('CO2'!I68/Population!I68)*1000</f>
        <v>2024.91499502591</v>
      </c>
      <c r="J68" s="41">
        <f>('CO2'!J68/Population!J68)*1000</f>
        <v>204.32748538011697</v>
      </c>
      <c r="K68">
        <f>('CO2'!K68/Population!K68)*1000</f>
        <v>0</v>
      </c>
      <c r="L68" s="41">
        <f>('CO2'!L68/Population!L68)*1000</f>
        <v>1278.5345232503523</v>
      </c>
      <c r="M68" s="45">
        <f>('CO2'!M68/Population!M68)*1000</f>
        <v>724.72981563890664</v>
      </c>
      <c r="N68" s="41">
        <f>('CO2'!N68/Population!N68)*1000</f>
        <v>981.40495867768595</v>
      </c>
      <c r="O68" s="41">
        <f>('CO2'!O68/Population!O68)*1000</f>
        <v>154.27789185489391</v>
      </c>
      <c r="P68" s="41">
        <f>('CO2'!P68/Population!P68)*1000</f>
        <v>88.633615477629988</v>
      </c>
      <c r="Q68">
        <f>('CO2'!Q68/Population!Q68)*1000</f>
        <v>0</v>
      </c>
      <c r="R68" s="41">
        <f>('CO2'!R68/Population!R68)*1000</f>
        <v>1092.3470202907813</v>
      </c>
      <c r="S68" s="41">
        <f>('CO2'!S68/Population!S68)*1000</f>
        <v>649.71209213051827</v>
      </c>
      <c r="T68" s="41">
        <f>('CO2'!T68/Population!T68)*1000</f>
        <v>2630.7852424544935</v>
      </c>
      <c r="U68" s="41">
        <f>('CO2'!U68/Population!U68)*1000</f>
        <v>3628.2978839144862</v>
      </c>
      <c r="V68">
        <f>('CO2'!V68/Population!V68)*1000</f>
        <v>7.940709370037057</v>
      </c>
    </row>
    <row r="69" spans="1:22" ht="15.75" x14ac:dyDescent="0.25">
      <c r="A69" s="7">
        <v>1937</v>
      </c>
      <c r="B69" s="41">
        <f>('CO2'!B69/Population!B69)*1000</f>
        <v>616.58031088082896</v>
      </c>
      <c r="C69" s="41">
        <f>('CO2'!C69/Population!C69)*1000</f>
        <v>2953.2710280373831</v>
      </c>
      <c r="D69">
        <f>('CO2'!D69/Population!D69)*1000</f>
        <v>42.960167498125983</v>
      </c>
      <c r="E69" s="41">
        <f>('CO2'!E69/Population!E69)*1000</f>
        <v>2249.8016047967549</v>
      </c>
      <c r="F69" s="41">
        <f>('CO2'!F69/Population!F69)*1000</f>
        <v>1186.4497199253135</v>
      </c>
      <c r="G69" s="41">
        <f>('CO2'!G69/Population!G69)*1000</f>
        <v>510.47986762272478</v>
      </c>
      <c r="H69" s="41">
        <f>('CO2'!H69/Population!H69)*1000</f>
        <v>1417.1714762699739</v>
      </c>
      <c r="I69" s="43">
        <f>('CO2'!I69/Population!I69)*1000</f>
        <v>2267.5620291607083</v>
      </c>
      <c r="J69" s="41">
        <f>('CO2'!J69/Population!J69)*1000</f>
        <v>286.38432246679668</v>
      </c>
      <c r="K69">
        <f>('CO2'!K69/Population!K69)*1000</f>
        <v>0</v>
      </c>
      <c r="L69" s="41">
        <f>('CO2'!L69/Population!L69)*1000</f>
        <v>1396.5577392720083</v>
      </c>
      <c r="M69" s="45">
        <f>('CO2'!M69/Population!M69)*1000</f>
        <v>753.62318840579712</v>
      </c>
      <c r="N69" s="41">
        <f>('CO2'!N69/Population!N69)*1000</f>
        <v>1099.6916752312436</v>
      </c>
      <c r="O69" s="41">
        <f>('CO2'!O69/Population!O69)*1000</f>
        <v>181.99026500811249</v>
      </c>
      <c r="P69" s="41">
        <f>('CO2'!P69/Population!P69)*1000</f>
        <v>57.181647566186165</v>
      </c>
      <c r="Q69">
        <f>('CO2'!Q69/Population!Q69)*1000</f>
        <v>0</v>
      </c>
      <c r="R69" s="41">
        <f>('CO2'!R69/Population!R69)*1000</f>
        <v>1258.763543658381</v>
      </c>
      <c r="S69" s="41">
        <f>('CO2'!S69/Population!S69)*1000</f>
        <v>683.25358851674639</v>
      </c>
      <c r="T69" s="41">
        <f>('CO2'!T69/Population!T69)*1000</f>
        <v>2701.9602867474464</v>
      </c>
      <c r="U69" s="41">
        <f>('CO2'!U69/Population!U69)*1000</f>
        <v>3772.6163257739604</v>
      </c>
      <c r="V69">
        <f>('CO2'!V69/Population!V69)*1000</f>
        <v>10.411244143675169</v>
      </c>
    </row>
    <row r="70" spans="1:22" ht="15.75" x14ac:dyDescent="0.25">
      <c r="A70" s="7">
        <v>1938</v>
      </c>
      <c r="B70" s="41">
        <f>('CO2'!B70/Population!B70)*1000</f>
        <v>233.97008736857694</v>
      </c>
      <c r="C70" s="41">
        <f>('CO2'!C70/Population!C70)*1000</f>
        <v>2579.0542154287077</v>
      </c>
      <c r="D70">
        <f>('CO2'!D70/Population!D70)*1000</f>
        <v>42.147922998986829</v>
      </c>
      <c r="E70" s="41">
        <f>('CO2'!E70/Population!E70)*1000</f>
        <v>2038.7705204331121</v>
      </c>
      <c r="F70" s="41">
        <f>('CO2'!F70/Population!F70)*1000</f>
        <v>1057.4530050304475</v>
      </c>
      <c r="G70" s="41">
        <f>('CO2'!G70/Population!G70)*1000</f>
        <v>425.32822757111597</v>
      </c>
      <c r="H70" s="41">
        <f>('CO2'!H70/Population!H70)*1000</f>
        <v>1312.5834127740704</v>
      </c>
      <c r="I70" s="43">
        <f>('CO2'!I70/Population!I70)*1000</f>
        <v>2393.8854692377258</v>
      </c>
      <c r="J70" s="41">
        <f>('CO2'!J70/Population!J70)*1000</f>
        <v>282.84852253621682</v>
      </c>
      <c r="K70">
        <f>('CO2'!K70/Population!K70)*1000</f>
        <v>0</v>
      </c>
      <c r="L70" s="41">
        <f>('CO2'!L70/Population!L70)*1000</f>
        <v>1360.9671848013818</v>
      </c>
      <c r="M70" s="45">
        <f>('CO2'!M70/Population!M70)*1000</f>
        <v>722.56857855361602</v>
      </c>
      <c r="N70" s="41">
        <f>('CO2'!N70/Population!N70)*1000</f>
        <v>974.11444141689378</v>
      </c>
      <c r="O70" s="41">
        <f>('CO2'!O70/Population!O70)*1000</f>
        <v>150.10683760683759</v>
      </c>
      <c r="P70" s="41">
        <f>('CO2'!P70/Population!P70)*1000</f>
        <v>142.7667233672218</v>
      </c>
      <c r="Q70">
        <f>('CO2'!Q70/Population!Q70)*1000</f>
        <v>0</v>
      </c>
      <c r="R70" s="41">
        <f>('CO2'!R70/Population!R70)*1000</f>
        <v>1132.9204383039541</v>
      </c>
      <c r="S70" s="41">
        <f>('CO2'!S70/Population!S70)*1000</f>
        <v>681.05916030534354</v>
      </c>
      <c r="T70" s="41">
        <f>('CO2'!T70/Population!T70)*1000</f>
        <v>2580.0311618309684</v>
      </c>
      <c r="U70" s="41">
        <f>('CO2'!U70/Population!U70)*1000</f>
        <v>3165.7239645605323</v>
      </c>
      <c r="V70">
        <f>('CO2'!V70/Population!V70)*1000</f>
        <v>10.758196721311474</v>
      </c>
    </row>
    <row r="71" spans="1:22" ht="15.75" x14ac:dyDescent="0.25">
      <c r="A71" s="7">
        <v>1939</v>
      </c>
      <c r="B71" s="41">
        <f>('CO2'!B71/Population!B71)*1000</f>
        <v>260.0330677889674</v>
      </c>
      <c r="C71" s="41">
        <f>('CO2'!C71/Population!C71)*1000</f>
        <v>2397.5214489990467</v>
      </c>
      <c r="D71">
        <f>('CO2'!D71/Population!D71)*1000</f>
        <v>40.308769142942239</v>
      </c>
      <c r="E71" s="41">
        <f>('CO2'!E71/Population!E71)*1000</f>
        <v>2241.1408815903201</v>
      </c>
      <c r="F71" s="41">
        <f>('CO2'!F71/Population!F71)*1000</f>
        <v>1169.5137976346912</v>
      </c>
      <c r="G71" s="41">
        <f>('CO2'!G71/Population!G71)*1000</f>
        <v>360.82474226804123</v>
      </c>
      <c r="H71" s="41">
        <f>('CO2'!H71/Population!H71)*1000</f>
        <v>1267.6849642004772</v>
      </c>
      <c r="I71" s="43">
        <f>('CO2'!I71/Population!I71)*1000</f>
        <v>2555.2348237739225</v>
      </c>
      <c r="J71" s="41">
        <f>('CO2'!J71/Population!J71)*1000</f>
        <v>287.08537558417873</v>
      </c>
      <c r="K71">
        <f>('CO2'!K71/Population!K71)*1000</f>
        <v>0</v>
      </c>
      <c r="L71" s="41">
        <f>('CO2'!L71/Population!L71)*1000</f>
        <v>1264.9738100660441</v>
      </c>
      <c r="M71" s="45">
        <f>('CO2'!M71/Population!M71)*1000</f>
        <v>748.61708666256914</v>
      </c>
      <c r="N71" s="41">
        <f>('CO2'!N71/Population!N71)*1000</f>
        <v>1156.3981042654027</v>
      </c>
      <c r="O71" s="41">
        <f>('CO2'!O71/Population!O71)*1000</f>
        <v>171.08560875873897</v>
      </c>
      <c r="P71" s="41">
        <f>('CO2'!P71/Population!P71)*1000</f>
        <v>168.12321197632951</v>
      </c>
      <c r="Q71">
        <f>('CO2'!Q71/Population!Q71)*1000</f>
        <v>0</v>
      </c>
      <c r="R71" s="41">
        <f>('CO2'!R71/Population!R71)*1000</f>
        <v>1264.3060385709771</v>
      </c>
      <c r="S71" s="41">
        <f>('CO2'!S71/Population!S71)*1000</f>
        <v>769.61483594864478</v>
      </c>
      <c r="T71" s="41">
        <f>('CO2'!T71/Population!T71)*1000</f>
        <v>2573.1282948886251</v>
      </c>
      <c r="U71" s="41">
        <f>('CO2'!U71/Population!U71)*1000</f>
        <v>3460.5934361672203</v>
      </c>
      <c r="V71">
        <f>('CO2'!V71/Population!V71)*1000</f>
        <v>12.345679012345679</v>
      </c>
    </row>
    <row r="72" spans="1:22" ht="15.75" x14ac:dyDescent="0.25">
      <c r="A72" s="7">
        <v>1940</v>
      </c>
      <c r="B72" s="41">
        <f>('CO2'!B72/Population!B72)*1000</f>
        <v>299.03057419835943</v>
      </c>
      <c r="C72" s="41">
        <f>('CO2'!C72/Population!C72)*1000</f>
        <v>2030.9130122214233</v>
      </c>
      <c r="D72">
        <f>('CO2'!D72/Population!D72)*1000</f>
        <v>43.075351461789175</v>
      </c>
      <c r="E72" s="41">
        <f>('CO2'!E72/Population!E72)*1000</f>
        <v>2536.5331964407937</v>
      </c>
      <c r="F72" s="41">
        <f>('CO2'!F72/Population!F72)*1000</f>
        <v>1055.8455114822548</v>
      </c>
      <c r="G72" s="41">
        <f>('CO2'!G72/Population!G72)*1000</f>
        <v>170.90319091400758</v>
      </c>
      <c r="H72" s="41">
        <f>('CO2'!H72/Population!H72)*1000</f>
        <v>916.8780487804878</v>
      </c>
      <c r="I72" s="43">
        <f>('CO2'!I72/Population!I72)*1000</f>
        <v>2557.3709458008161</v>
      </c>
      <c r="J72" s="41">
        <f>('CO2'!J72/Population!J72)*1000</f>
        <v>301.9101959811461</v>
      </c>
      <c r="K72">
        <f>('CO2'!K72/Population!K72)*1000</f>
        <v>0</v>
      </c>
      <c r="L72" s="41">
        <f>('CO2'!L72/Population!L72)*1000</f>
        <v>1027.8184480234261</v>
      </c>
      <c r="M72" s="45">
        <f>('CO2'!M72/Population!M72)*1000</f>
        <v>794.0097799511002</v>
      </c>
      <c r="N72" s="41">
        <f>('CO2'!N72/Population!N72)*1000</f>
        <v>597.71274806592669</v>
      </c>
      <c r="O72" s="41">
        <f>('CO2'!O72/Population!O72)*1000</f>
        <v>138.63192182410424</v>
      </c>
      <c r="P72" s="41">
        <f>('CO2'!P72/Population!P72)*1000</f>
        <v>229.14159257677525</v>
      </c>
      <c r="Q72">
        <f>('CO2'!Q72/Population!Q72)*1000</f>
        <v>0</v>
      </c>
      <c r="R72" s="41">
        <f>('CO2'!R72/Population!R72)*1000</f>
        <v>793.42353681560724</v>
      </c>
      <c r="S72" s="41">
        <f>('CO2'!S72/Population!S72)*1000</f>
        <v>536.91433980123054</v>
      </c>
      <c r="T72" s="41">
        <f>('CO2'!T72/Population!T72)*1000</f>
        <v>2688.9851947082489</v>
      </c>
      <c r="U72" s="41">
        <f>('CO2'!U72/Population!U72)*1000</f>
        <v>3850.9465684537499</v>
      </c>
      <c r="V72">
        <f>('CO2'!V72/Population!V72)*1000</f>
        <v>11.704834605597965</v>
      </c>
    </row>
    <row r="73" spans="1:22" ht="15.75" x14ac:dyDescent="0.25">
      <c r="A73" s="7">
        <v>1941</v>
      </c>
      <c r="B73" s="41">
        <f>('CO2'!B73/Population!B73)*1000</f>
        <v>322.75759822090441</v>
      </c>
      <c r="C73" s="41">
        <f>('CO2'!C73/Population!C73)*1000</f>
        <v>2149.7100048332527</v>
      </c>
      <c r="D73">
        <f>('CO2'!D73/Population!D73)*1000</f>
        <v>40.766360027573754</v>
      </c>
      <c r="E73" s="41">
        <f>('CO2'!E73/Population!E73)*1000</f>
        <v>2774.9196141479101</v>
      </c>
      <c r="F73" s="41">
        <f>('CO2'!F73/Population!F73)*1000</f>
        <v>1229.3554232461815</v>
      </c>
      <c r="G73" s="41">
        <f>('CO2'!G73/Population!G73)*1000</f>
        <v>239.33009184224744</v>
      </c>
      <c r="H73" s="41">
        <f>('CO2'!H73/Population!H73)*1000</f>
        <v>826.5151515151515</v>
      </c>
      <c r="I73" s="43">
        <f>('CO2'!I73/Population!I73)*1000</f>
        <v>2567.6214338591199</v>
      </c>
      <c r="J73" s="41">
        <f>('CO2'!J73/Population!J73)*1000</f>
        <v>261.76957124334962</v>
      </c>
      <c r="K73">
        <f>('CO2'!K73/Population!K73)*1000</f>
        <v>0</v>
      </c>
      <c r="L73" s="41">
        <f>('CO2'!L73/Population!L73)*1000</f>
        <v>1130.1583760874414</v>
      </c>
      <c r="M73" s="45">
        <f>('CO2'!M73/Population!M73)*1000</f>
        <v>837.93738489871089</v>
      </c>
      <c r="N73" s="41">
        <f>('CO2'!N73/Population!N73)*1000</f>
        <v>439.46488294314378</v>
      </c>
      <c r="O73" s="41">
        <f>('CO2'!O73/Population!O73)*1000</f>
        <v>133.04112414593268</v>
      </c>
      <c r="P73" s="41">
        <f>('CO2'!P73/Population!P73)*1000</f>
        <v>226.02871550098155</v>
      </c>
      <c r="Q73">
        <f>('CO2'!Q73/Population!Q73)*1000</f>
        <v>0</v>
      </c>
      <c r="R73" s="41">
        <f>('CO2'!R73/Population!R73)*1000</f>
        <v>642.66708405071211</v>
      </c>
      <c r="S73" s="41">
        <f>('CO2'!S73/Population!S73)*1000</f>
        <v>425.24682651622004</v>
      </c>
      <c r="T73" s="41">
        <f>('CO2'!T73/Population!T73)*1000</f>
        <v>2658.6195453791274</v>
      </c>
      <c r="U73" s="41">
        <f>('CO2'!U73/Population!U73)*1000</f>
        <v>4155.8071116022766</v>
      </c>
      <c r="V73">
        <f>('CO2'!V73/Population!V73)*1000</f>
        <v>12.078510317060896</v>
      </c>
    </row>
    <row r="74" spans="1:22" ht="15.75" x14ac:dyDescent="0.25">
      <c r="A74" s="7">
        <v>1942</v>
      </c>
      <c r="B74" s="41">
        <f>('CO2'!B74/Population!B74)*1000</f>
        <v>343.94810555801268</v>
      </c>
      <c r="C74" s="41">
        <f>('CO2'!C74/Population!C74)*1000</f>
        <v>2021.3410937310537</v>
      </c>
      <c r="D74">
        <f>('CO2'!D74/Population!D74)*1000</f>
        <v>37.196127144814135</v>
      </c>
      <c r="E74" s="41">
        <f>('CO2'!E74/Population!E74)*1000</f>
        <v>2989.0550589021641</v>
      </c>
      <c r="F74" s="41">
        <f>('CO2'!F74/Population!F74)*1000</f>
        <v>1151.9344094286446</v>
      </c>
      <c r="G74" s="41">
        <f>('CO2'!G74/Population!G74)*1000</f>
        <v>206.85005393743259</v>
      </c>
      <c r="H74" s="41">
        <f>('CO2'!H74/Population!H74)*1000</f>
        <v>848.60406091370555</v>
      </c>
      <c r="I74" s="43">
        <f>('CO2'!I74/Population!I74)*1000</f>
        <v>2573.5522489200102</v>
      </c>
      <c r="J74" s="41">
        <f>('CO2'!J74/Population!J74)*1000</f>
        <v>254.08852546440315</v>
      </c>
      <c r="K74">
        <f>('CO2'!K74/Population!K74)*1000</f>
        <v>0</v>
      </c>
      <c r="L74" s="41">
        <f>('CO2'!L74/Population!L74)*1000</f>
        <v>1044.2380004423799</v>
      </c>
      <c r="M74" s="45">
        <f>('CO2'!M74/Population!M74)*1000</f>
        <v>848.68822452715062</v>
      </c>
      <c r="N74" s="41">
        <f>('CO2'!N74/Population!N74)*1000</f>
        <v>419.74077766699901</v>
      </c>
      <c r="O74" s="41">
        <f>('CO2'!O74/Population!O74)*1000</f>
        <v>105.54561717352415</v>
      </c>
      <c r="P74" s="41">
        <f>('CO2'!P74/Population!P74)*1000</f>
        <v>240.43235810862424</v>
      </c>
      <c r="Q74">
        <f>('CO2'!Q74/Population!Q74)*1000</f>
        <v>0</v>
      </c>
      <c r="R74" s="41">
        <f>('CO2'!R74/Population!R74)*1000</f>
        <v>552.70522388059703</v>
      </c>
      <c r="S74" s="41">
        <f>('CO2'!S74/Population!S74)*1000</f>
        <v>371.90853943070459</v>
      </c>
      <c r="T74" s="41">
        <f>('CO2'!T74/Population!T74)*1000</f>
        <v>2644.2768595041325</v>
      </c>
      <c r="U74" s="41">
        <f>('CO2'!U74/Population!U74)*1000</f>
        <v>4422.6951088000233</v>
      </c>
      <c r="V74">
        <f>('CO2'!V74/Population!V74)*1000</f>
        <v>9.9502487562189046</v>
      </c>
    </row>
    <row r="75" spans="1:22" ht="15.75" x14ac:dyDescent="0.25">
      <c r="A75" s="7">
        <v>1943</v>
      </c>
      <c r="B75" s="41">
        <f>('CO2'!B75/Population!B75)*1000</f>
        <v>385.42890716803765</v>
      </c>
      <c r="C75" s="41">
        <f>('CO2'!C75/Population!C75)*1000</f>
        <v>1915.7971366173258</v>
      </c>
      <c r="D75">
        <f>('CO2'!D75/Population!D75)*1000</f>
        <v>40.097067561744488</v>
      </c>
      <c r="E75" s="41">
        <f>('CO2'!E75/Population!E75)*1000</f>
        <v>3110.3590590177464</v>
      </c>
      <c r="F75" s="41">
        <f>('CO2'!F75/Population!F75)*1000</f>
        <v>1425.4241580146875</v>
      </c>
      <c r="G75" s="41">
        <f>('CO2'!G75/Population!G75)*1000</f>
        <v>289.43832303144319</v>
      </c>
      <c r="H75" s="41">
        <f>('CO2'!H75/Population!H75)*1000</f>
        <v>876.56410256410254</v>
      </c>
      <c r="I75" s="43">
        <f>('CO2'!I75/Population!I75)*1000</f>
        <v>2633.7362059905413</v>
      </c>
      <c r="J75" s="41">
        <f>('CO2'!J75/Population!J75)*1000</f>
        <v>43.008610576178143</v>
      </c>
      <c r="K75">
        <f>('CO2'!K75/Population!K75)*1000</f>
        <v>0</v>
      </c>
      <c r="L75" s="41">
        <f>('CO2'!L75/Population!L75)*1000</f>
        <v>1047.2371745578382</v>
      </c>
      <c r="M75" s="45">
        <f>('CO2'!M75/Population!M75)*1000</f>
        <v>897.73423147581138</v>
      </c>
      <c r="N75" s="41">
        <f>('CO2'!N75/Population!N75)*1000</f>
        <v>490.10554089709763</v>
      </c>
      <c r="O75" s="41">
        <f>('CO2'!O75/Population!O75)*1000</f>
        <v>101.69706180344478</v>
      </c>
      <c r="P75" s="41">
        <f>('CO2'!P75/Population!P75)*1000</f>
        <v>246.75029370523364</v>
      </c>
      <c r="Q75">
        <f>('CO2'!Q75/Population!Q75)*1000</f>
        <v>0</v>
      </c>
      <c r="R75" s="41">
        <f>('CO2'!R75/Population!R75)*1000</f>
        <v>666.10169491525426</v>
      </c>
      <c r="S75" s="41">
        <f>('CO2'!S75/Population!S75)*1000</f>
        <v>389.77561878325241</v>
      </c>
      <c r="T75" s="41">
        <f>('CO2'!T75/Population!T75)*1000</f>
        <v>2544.425997663408</v>
      </c>
      <c r="U75" s="41">
        <f>('CO2'!U75/Population!U75)*1000</f>
        <v>4507.6417623404623</v>
      </c>
      <c r="V75">
        <f>('CO2'!V75/Population!V75)*1000</f>
        <v>8.8582677165354333</v>
      </c>
    </row>
    <row r="76" spans="1:22" ht="15.75" x14ac:dyDescent="0.25">
      <c r="A76" s="7">
        <v>1944</v>
      </c>
      <c r="B76" s="41">
        <f>('CO2'!B76/Population!B76)*1000</f>
        <v>375.03658179689785</v>
      </c>
      <c r="C76" s="41">
        <f>('CO2'!C76/Population!C76)*1000</f>
        <v>1090.9419852852491</v>
      </c>
      <c r="D76">
        <f>('CO2'!D76/Population!D76)*1000</f>
        <v>35.666024235174234</v>
      </c>
      <c r="E76" s="41">
        <f>('CO2'!E76/Population!E76)*1000</f>
        <v>3123.7365503749593</v>
      </c>
      <c r="F76" s="41">
        <f>('CO2'!F76/Population!F76)*1000</f>
        <v>1384.6923461730864</v>
      </c>
      <c r="G76" s="41">
        <f>('CO2'!G76/Population!G76)*1000</f>
        <v>199.19678714859438</v>
      </c>
      <c r="H76" s="41">
        <f>('CO2'!H76/Population!H76)*1000</f>
        <v>561.2339331619537</v>
      </c>
      <c r="I76" s="43">
        <f>('CO2'!I76/Population!I76)*1000</f>
        <v>2344.9509768839903</v>
      </c>
      <c r="J76" s="41">
        <f>('CO2'!J76/Population!J76)*1000</f>
        <v>21.594170898653122</v>
      </c>
      <c r="K76">
        <f>('CO2'!K76/Population!K76)*1000</f>
        <v>0</v>
      </c>
      <c r="L76" s="41">
        <f>('CO2'!L76/Population!L76)*1000</f>
        <v>694.16893732970027</v>
      </c>
      <c r="M76" s="45">
        <f>('CO2'!M76/Population!M76)*1000</f>
        <v>902.66021765417167</v>
      </c>
      <c r="N76" s="41">
        <f>('CO2'!N76/Population!N76)*1000</f>
        <v>435.29411764705884</v>
      </c>
      <c r="O76" s="41">
        <f>('CO2'!O76/Population!O76)*1000</f>
        <v>111.20873603614912</v>
      </c>
      <c r="P76" s="41">
        <f>('CO2'!P76/Population!P76)*1000</f>
        <v>264.75896818831313</v>
      </c>
      <c r="Q76">
        <f>('CO2'!Q76/Population!Q76)*1000</f>
        <v>0</v>
      </c>
      <c r="R76" s="41">
        <f>('CO2'!R76/Population!R76)*1000</f>
        <v>517.83536585365857</v>
      </c>
      <c r="S76" s="41">
        <f>('CO2'!S76/Population!S76)*1000</f>
        <v>278.41429880843259</v>
      </c>
      <c r="T76" s="41">
        <f>('CO2'!T76/Population!T76)*1000</f>
        <v>2461.3391545617756</v>
      </c>
      <c r="U76" s="41">
        <f>('CO2'!U76/Population!U76)*1000</f>
        <v>4793.8418131959097</v>
      </c>
      <c r="V76">
        <f>('CO2'!V76/Population!V76)*1000</f>
        <v>12.652068126520682</v>
      </c>
    </row>
    <row r="77" spans="1:22" ht="15.75" x14ac:dyDescent="0.25">
      <c r="A77" s="7">
        <v>1945</v>
      </c>
      <c r="B77" s="41">
        <f>('CO2'!B77/Population!B77)*1000</f>
        <v>183.11516399470509</v>
      </c>
      <c r="C77" s="41">
        <f>('CO2'!C77/Population!C77)*1000</f>
        <v>1268.4974217532078</v>
      </c>
      <c r="D77">
        <f>('CO2'!D77/Population!D77)*1000</f>
        <v>40.311587147030181</v>
      </c>
      <c r="E77" s="41">
        <f>('CO2'!E77/Population!E77)*1000</f>
        <v>2871.9767816833278</v>
      </c>
      <c r="F77" s="41">
        <f>('CO2'!F77/Population!F77)*1000</f>
        <v>947.5896168108776</v>
      </c>
      <c r="G77" s="41">
        <f>('CO2'!G77/Population!G77)*1000</f>
        <v>46.567323044172433</v>
      </c>
      <c r="H77" s="41">
        <f>('CO2'!H77/Population!H77)*1000</f>
        <v>736.77581863979844</v>
      </c>
      <c r="I77" s="43">
        <f>('CO2'!I77/Population!I77)*1000</f>
        <v>7.3432835820895521</v>
      </c>
      <c r="J77" s="41">
        <f>('CO2'!J77/Population!J77)*1000</f>
        <v>26.165221601161921</v>
      </c>
      <c r="K77">
        <f>('CO2'!K77/Population!K77)*1000</f>
        <v>0</v>
      </c>
      <c r="L77" s="41">
        <f>('CO2'!L77/Population!L77)*1000</f>
        <v>431.76419779745197</v>
      </c>
      <c r="M77" s="45">
        <f>('CO2'!M77/Population!M77)*1000</f>
        <v>908.76777251184842</v>
      </c>
      <c r="N77" s="41">
        <f>('CO2'!N77/Population!N77)*1000</f>
        <v>354.25428663862829</v>
      </c>
      <c r="O77" s="41">
        <f>('CO2'!O77/Population!O77)*1000</f>
        <v>113.33665090818612</v>
      </c>
      <c r="P77" s="41">
        <f>('CO2'!P77/Population!P77)*1000</f>
        <v>287.92627415864484</v>
      </c>
      <c r="Q77">
        <f>('CO2'!Q77/Population!Q77)*1000</f>
        <v>0</v>
      </c>
      <c r="R77" s="41">
        <f>('CO2'!R77/Population!R77)*1000</f>
        <v>187.33986435568954</v>
      </c>
      <c r="S77" s="41">
        <f>('CO2'!S77/Population!S77)*1000</f>
        <v>100.40797824116048</v>
      </c>
      <c r="T77" s="41">
        <f>('CO2'!T77/Population!T77)*1000</f>
        <v>2317.6162010491644</v>
      </c>
      <c r="U77" s="41">
        <f>('CO2'!U77/Population!U77)*1000</f>
        <v>4576.1706792716086</v>
      </c>
      <c r="V77">
        <f>('CO2'!V77/Population!V77)*1000</f>
        <v>14.416146083613647</v>
      </c>
    </row>
    <row r="78" spans="1:22" ht="15.75" x14ac:dyDescent="0.25">
      <c r="A78" s="7">
        <v>1946</v>
      </c>
      <c r="B78" s="41">
        <f>('CO2'!B78/Population!B78)*1000</f>
        <v>497.57142857142856</v>
      </c>
      <c r="C78" s="41">
        <f>('CO2'!C78/Population!C78)*1000</f>
        <v>1840.3250866499343</v>
      </c>
      <c r="D78">
        <f>('CO2'!D78/Population!D78)*1000</f>
        <v>43.05370616955171</v>
      </c>
      <c r="E78" s="41">
        <f>('CO2'!E78/Population!E78)*1000</f>
        <v>2990.422668988444</v>
      </c>
      <c r="F78" s="41">
        <f>('CO2'!F78/Population!F78)*1000</f>
        <v>1174.347720068276</v>
      </c>
      <c r="G78" s="41">
        <f>('CO2'!G78/Population!G78)*1000</f>
        <v>235.41776142932213</v>
      </c>
      <c r="H78" s="41">
        <f>('CO2'!H78/Population!H78)*1000</f>
        <v>1119.4341027550261</v>
      </c>
      <c r="I78" s="43">
        <f>('CO2'!I78/Population!I78)*1000</f>
        <v>5.457806363833142</v>
      </c>
      <c r="J78" s="41">
        <f>('CO2'!J78/Population!J78)*1000</f>
        <v>132.35647895024604</v>
      </c>
      <c r="K78">
        <f>('CO2'!K78/Population!K78)*1000</f>
        <v>0</v>
      </c>
      <c r="L78" s="41">
        <f>('CO2'!L78/Population!L78)*1000</f>
        <v>900.78522920203727</v>
      </c>
      <c r="M78" s="45">
        <f>('CO2'!M78/Population!M78)*1000</f>
        <v>858.44229675952249</v>
      </c>
      <c r="N78" s="41">
        <f>('CO2'!N78/Population!N78)*1000</f>
        <v>617.52478413815163</v>
      </c>
      <c r="O78" s="41">
        <f>('CO2'!O78/Population!O78)*1000</f>
        <v>130.94944512946978</v>
      </c>
      <c r="P78" s="41">
        <f>('CO2'!P78/Population!P78)*1000</f>
        <v>283.8738338516215</v>
      </c>
      <c r="Q78">
        <f>('CO2'!Q78/Population!Q78)*1000</f>
        <v>0</v>
      </c>
      <c r="R78" s="41">
        <f>('CO2'!R78/Population!R78)*1000</f>
        <v>706.05744902515255</v>
      </c>
      <c r="S78" s="41">
        <f>('CO2'!S78/Population!S78)*1000</f>
        <v>352.36176404745919</v>
      </c>
      <c r="T78" s="41">
        <f>('CO2'!T78/Population!T78)*1000</f>
        <v>2418.6358372107197</v>
      </c>
      <c r="U78" s="41">
        <f>('CO2'!U78/Population!U78)*1000</f>
        <v>4332.1896576018034</v>
      </c>
      <c r="V78">
        <f>('CO2'!V78/Population!V78)*1000</f>
        <v>18.509729473184624</v>
      </c>
    </row>
    <row r="79" spans="1:22" ht="15.75" x14ac:dyDescent="0.25">
      <c r="A79" s="7">
        <v>1947</v>
      </c>
      <c r="B79" s="41">
        <f>('CO2'!B79/Population!B79)*1000</f>
        <v>690.28833739779088</v>
      </c>
      <c r="C79" s="41">
        <f>('CO2'!C79/Population!C79)*1000</f>
        <v>2649.8224852071007</v>
      </c>
      <c r="D79">
        <f>('CO2'!D79/Population!D79)*1000</f>
        <v>50.435608406622904</v>
      </c>
      <c r="E79" s="41">
        <f>('CO2'!E79/Population!E79)*1000</f>
        <v>3036.9738779939539</v>
      </c>
      <c r="F79" s="41">
        <f>('CO2'!F79/Population!F79)*1000</f>
        <v>1412.4457308248914</v>
      </c>
      <c r="G79" s="41">
        <f>('CO2'!G79/Population!G79)*1000</f>
        <v>385.59212231147967</v>
      </c>
      <c r="H79" s="41">
        <f>('CO2'!H79/Population!H79)*1000</f>
        <v>1232.055063913471</v>
      </c>
      <c r="I79" s="43">
        <f>('CO2'!I79/Population!I79)*1000</f>
        <v>0</v>
      </c>
      <c r="J79" s="41">
        <f>('CO2'!J79/Population!J79)*1000</f>
        <v>218.13640312771503</v>
      </c>
      <c r="K79">
        <f>('CO2'!K79/Population!K79)*1000</f>
        <v>0</v>
      </c>
      <c r="L79" s="41">
        <f>('CO2'!L79/Population!L79)*1000</f>
        <v>1264.1744548286604</v>
      </c>
      <c r="M79" s="45">
        <f>('CO2'!M79/Population!M79)*1000</f>
        <v>828.04674457429053</v>
      </c>
      <c r="N79" s="41">
        <f>('CO2'!N79/Population!N79)*1000</f>
        <v>916.58767772511851</v>
      </c>
      <c r="O79" s="41">
        <f>('CO2'!O79/Population!O79)*1000</f>
        <v>184.89551509226445</v>
      </c>
      <c r="P79" s="41">
        <f>('CO2'!P79/Population!P79)*1000</f>
        <v>312.6033133747199</v>
      </c>
      <c r="Q79">
        <f>('CO2'!Q79/Population!Q79)*1000</f>
        <v>0</v>
      </c>
      <c r="R79" s="41">
        <f>('CO2'!R79/Population!R79)*1000</f>
        <v>1006.9087167426136</v>
      </c>
      <c r="S79" s="41">
        <f>('CO2'!S79/Population!S79)*1000</f>
        <v>570.07073386383729</v>
      </c>
      <c r="T79" s="41">
        <f>('CO2'!T79/Population!T79)*1000</f>
        <v>2542.4584502918074</v>
      </c>
      <c r="U79" s="41">
        <f>('CO2'!U79/Population!U79)*1000</f>
        <v>4679.4758376644913</v>
      </c>
      <c r="V79">
        <f>('CO2'!V79/Population!V79)*1000</f>
        <v>18.74414245548266</v>
      </c>
    </row>
    <row r="80" spans="1:22" ht="15.75" x14ac:dyDescent="0.25">
      <c r="A80" s="7">
        <v>1948</v>
      </c>
      <c r="B80" s="41">
        <f>('CO2'!B80/Population!B80)*1000</f>
        <v>960.89706728004603</v>
      </c>
      <c r="C80" s="41">
        <f>('CO2'!C80/Population!C80)*1000</f>
        <v>2713.3341124225781</v>
      </c>
      <c r="D80">
        <f>('CO2'!D80/Population!D80)*1000</f>
        <v>43.214357733413998</v>
      </c>
      <c r="E80" s="41">
        <f>('CO2'!E80/Population!E80)*1000</f>
        <v>3282.4734446130501</v>
      </c>
      <c r="F80" s="41">
        <f>('CO2'!F80/Population!F80)*1000</f>
        <v>1112.1718377088305</v>
      </c>
      <c r="G80" s="41">
        <f>('CO2'!G80/Population!G80)*1000</f>
        <v>590.23517382413092</v>
      </c>
      <c r="H80" s="41">
        <f>('CO2'!H80/Population!H80)*1000</f>
        <v>1304.6947214789589</v>
      </c>
      <c r="I80" s="43">
        <f>('CO2'!I80/Population!I80)*1000</f>
        <v>0</v>
      </c>
      <c r="J80" s="41">
        <f>('CO2'!J80/Population!J80)*1000</f>
        <v>209.1373622819689</v>
      </c>
      <c r="K80">
        <f>('CO2'!K80/Population!K80)*1000</f>
        <v>0</v>
      </c>
      <c r="L80" s="41">
        <f>('CO2'!L80/Population!L80)*1000</f>
        <v>1316.3265306122448</v>
      </c>
      <c r="M80" s="45">
        <f>('CO2'!M80/Population!M80)*1000</f>
        <v>819.42171303873431</v>
      </c>
      <c r="N80" s="41">
        <f>('CO2'!N80/Population!N80)*1000</f>
        <v>936.58231802561693</v>
      </c>
      <c r="O80" s="41">
        <f>('CO2'!O80/Population!O80)*1000</f>
        <v>173.69186046511629</v>
      </c>
      <c r="P80" s="41">
        <f>('CO2'!P80/Population!P80)*1000</f>
        <v>325.50934868972553</v>
      </c>
      <c r="Q80">
        <f>('CO2'!Q80/Population!Q80)*1000</f>
        <v>0</v>
      </c>
      <c r="R80" s="41">
        <f>('CO2'!R80/Population!R80)*1000</f>
        <v>1221.5603661194248</v>
      </c>
      <c r="S80" s="41">
        <f>('CO2'!S80/Population!S80)*1000</f>
        <v>608.46791793976433</v>
      </c>
      <c r="T80" s="41">
        <f>('CO2'!T80/Population!T80)*1000</f>
        <v>2595.3333066741311</v>
      </c>
      <c r="U80" s="41">
        <f>('CO2'!U80/Population!U80)*1000</f>
        <v>4778.054795078905</v>
      </c>
      <c r="V80">
        <f>('CO2'!V80/Population!V80)*1000</f>
        <v>18.518518518518519</v>
      </c>
    </row>
    <row r="81" spans="1:22" ht="15.75" x14ac:dyDescent="0.25">
      <c r="A81" s="7">
        <v>1949</v>
      </c>
      <c r="B81" s="41">
        <f>('CO2'!B81/Population!B81)*1000</f>
        <v>1044.7933170099382</v>
      </c>
      <c r="C81" s="41">
        <f>('CO2'!C81/Population!C81)*1000</f>
        <v>2559.5542140701182</v>
      </c>
      <c r="D81">
        <f>('CO2'!D81/Population!D81)*1000</f>
        <v>39.630483168862888</v>
      </c>
      <c r="E81" s="41">
        <f>('CO2'!E81/Population!E81)*1000</f>
        <v>2938.8224812532485</v>
      </c>
      <c r="F81" s="41">
        <f>('CO2'!F81/Population!F81)*1000</f>
        <v>1089.3617021276596</v>
      </c>
      <c r="G81" s="41">
        <f>('CO2'!G81/Population!G81)*1000</f>
        <v>339.89401968205908</v>
      </c>
      <c r="H81" s="41">
        <f>('CO2'!H81/Population!H81)*1000</f>
        <v>1507.2565091610415</v>
      </c>
      <c r="I81" s="43">
        <f>('CO2'!I81/Population!I81)*1000</f>
        <v>0</v>
      </c>
      <c r="J81" s="41">
        <f>('CO2'!J81/Population!J81)*1000</f>
        <v>232.36257034643614</v>
      </c>
      <c r="K81">
        <f>('CO2'!K81/Population!K81)*1000</f>
        <v>0</v>
      </c>
      <c r="L81" s="41">
        <f>('CO2'!L81/Population!L81)*1000</f>
        <v>1384.3913218159905</v>
      </c>
      <c r="M81" s="45">
        <f>('CO2'!M81/Population!M81)*1000</f>
        <v>818.27899518973811</v>
      </c>
      <c r="N81" s="41">
        <f>('CO2'!N81/Population!N81)*1000</f>
        <v>878.47866419294996</v>
      </c>
      <c r="O81" s="41">
        <f>('CO2'!O81/Population!O81)*1000</f>
        <v>180.93408572457679</v>
      </c>
      <c r="P81" s="41">
        <f>('CO2'!P81/Population!P81)*1000</f>
        <v>353.00712451629232</v>
      </c>
      <c r="Q81">
        <f>('CO2'!Q81/Population!Q81)*1000</f>
        <v>0</v>
      </c>
      <c r="R81" s="41">
        <f>('CO2'!R81/Population!R81)*1000</f>
        <v>1053.1991373112867</v>
      </c>
      <c r="S81" s="41">
        <f>('CO2'!S81/Population!S81)*1000</f>
        <v>501.93965517241378</v>
      </c>
      <c r="T81" s="41">
        <f>('CO2'!T81/Population!T81)*1000</f>
        <v>2631.7578311337256</v>
      </c>
      <c r="U81" s="41">
        <f>('CO2'!U81/Population!U81)*1000</f>
        <v>3936.1487614341991</v>
      </c>
      <c r="V81">
        <f>('CO2'!V81/Population!V81)*1000</f>
        <v>18.281535648994517</v>
      </c>
    </row>
    <row r="82" spans="1:22" ht="15.75" x14ac:dyDescent="0.25">
      <c r="A82" s="7">
        <v>1950</v>
      </c>
      <c r="B82" s="41">
        <f>('CO2'!B82/Population!B82)*1000</f>
        <v>822.48273276520877</v>
      </c>
      <c r="C82" s="41">
        <f>('CO2'!C82/Population!C82)*1000</f>
        <v>2407.6989882015691</v>
      </c>
      <c r="D82">
        <f>('CO2'!D82/Population!D82)*1000</f>
        <v>100.42461067219655</v>
      </c>
      <c r="E82" s="41">
        <f>('CO2'!E82/Population!E82)*1000</f>
        <v>3002.5503478519167</v>
      </c>
      <c r="F82" s="41">
        <f>('CO2'!F82/Population!F82)*1000</f>
        <v>1405.2915008194802</v>
      </c>
      <c r="G82" s="41">
        <f>('CO2'!G82/Population!G82)*1000</f>
        <v>445.75818803162957</v>
      </c>
      <c r="H82" s="41">
        <f>('CO2'!H82/Population!H82)*1000</f>
        <v>1298.6264640857989</v>
      </c>
      <c r="I82" s="43">
        <f>('CO2'!I82/Population!I82)*1000</f>
        <v>0</v>
      </c>
      <c r="J82" s="41">
        <f>('CO2'!J82/Population!J82)*1000</f>
        <v>240.1655875172487</v>
      </c>
      <c r="K82">
        <f>('CO2'!K82/Population!K82)*1000</f>
        <v>334.00155122009426</v>
      </c>
      <c r="L82" s="41">
        <f>('CO2'!L82/Population!L82)*1000</f>
        <v>1384.0868769124756</v>
      </c>
      <c r="M82" s="45">
        <f>('CO2'!M82/Population!M82)*1000</f>
        <v>1225.6918425203453</v>
      </c>
      <c r="N82" s="41">
        <f>('CO2'!N82/Population!N82)*1000</f>
        <v>705.02639101829448</v>
      </c>
      <c r="O82" s="41">
        <f>('CO2'!O82/Population!O82)*1000</f>
        <v>181.69435314322939</v>
      </c>
      <c r="P82" s="41">
        <f>('CO2'!P82/Population!P82)*1000</f>
        <v>321.38445252555834</v>
      </c>
      <c r="Q82">
        <f>('CO2'!Q82/Population!Q82)*1000</f>
        <v>58.939902141177797</v>
      </c>
      <c r="R82" s="41">
        <f>('CO2'!R82/Population!R82)*1000</f>
        <v>1115.340747077274</v>
      </c>
      <c r="S82" s="41">
        <f>('CO2'!S82/Population!S82)*1000</f>
        <v>595.22795057520239</v>
      </c>
      <c r="T82" s="41">
        <f>('CO2'!T82/Population!T82)*1000</f>
        <v>2724.7391625271812</v>
      </c>
      <c r="U82" s="41">
        <f>('CO2'!U82/Population!U82)*1000</f>
        <v>4545.3434994187992</v>
      </c>
      <c r="V82">
        <f>('CO2'!V82/Population!V82)*1000</f>
        <v>305.34003258479453</v>
      </c>
    </row>
    <row r="83" spans="1:22" ht="15.75" x14ac:dyDescent="0.25">
      <c r="A83" s="7">
        <v>1951</v>
      </c>
      <c r="B83" s="41">
        <f>('CO2'!B83/Population!B83)*1000</f>
        <v>915.72992152925599</v>
      </c>
      <c r="C83" s="41">
        <f>('CO2'!C83/Population!C83)*1000</f>
        <v>2813.656825128543</v>
      </c>
      <c r="D83">
        <f>('CO2'!D83/Population!D83)*1000</f>
        <v>107.51782526624163</v>
      </c>
      <c r="E83" s="41">
        <f>('CO2'!E83/Population!E83)*1000</f>
        <v>3098.3885964896981</v>
      </c>
      <c r="F83" s="41">
        <f>('CO2'!F83/Population!F83)*1000</f>
        <v>1390.4573359172045</v>
      </c>
      <c r="G83" s="41">
        <f>('CO2'!G83/Population!G83)*1000</f>
        <v>538.13653546808985</v>
      </c>
      <c r="H83" s="41">
        <f>('CO2'!H83/Population!H83)*1000</f>
        <v>1456.651579487658</v>
      </c>
      <c r="I83" s="43">
        <f>('CO2'!I83/Population!I83)*1000</f>
        <v>0</v>
      </c>
      <c r="J83" s="41">
        <f>('CO2'!J83/Population!J83)*1000</f>
        <v>281.13796448606013</v>
      </c>
      <c r="K83">
        <f>('CO2'!K83/Population!K83)*1000</f>
        <v>395.73129668823799</v>
      </c>
      <c r="L83" s="41">
        <f>('CO2'!L83/Population!L83)*1000</f>
        <v>1461.6665453726023</v>
      </c>
      <c r="M83" s="45">
        <f>('CO2'!M83/Population!M83)*1000</f>
        <v>1145.1230339701006</v>
      </c>
      <c r="N83" s="41">
        <f>('CO2'!N83/Population!N83)*1000</f>
        <v>784.92149723092916</v>
      </c>
      <c r="O83" s="41">
        <f>('CO2'!O83/Population!O83)*1000</f>
        <v>173.49312446629958</v>
      </c>
      <c r="P83" s="41">
        <f>('CO2'!P83/Population!P83)*1000</f>
        <v>319.49243073982939</v>
      </c>
      <c r="Q83">
        <f>('CO2'!Q83/Population!Q83)*1000</f>
        <v>54.416070432447867</v>
      </c>
      <c r="R83" s="41">
        <f>('CO2'!R83/Population!R83)*1000</f>
        <v>1291.0891089108911</v>
      </c>
      <c r="S83" s="41">
        <f>('CO2'!S83/Population!S83)*1000</f>
        <v>707.09623078542847</v>
      </c>
      <c r="T83" s="41">
        <f>('CO2'!T83/Population!T83)*1000</f>
        <v>2956.85026844303</v>
      </c>
      <c r="U83" s="41">
        <f>('CO2'!U83/Population!U83)*1000</f>
        <v>4603.513733390153</v>
      </c>
      <c r="V83">
        <f>('CO2'!V83/Population!V83)*1000</f>
        <v>322.078576376706</v>
      </c>
    </row>
    <row r="84" spans="1:22" ht="15.75" x14ac:dyDescent="0.25">
      <c r="A84" s="7">
        <v>1952</v>
      </c>
      <c r="B84" s="41">
        <f>('CO2'!B84/Population!B84)*1000</f>
        <v>869.68797471972221</v>
      </c>
      <c r="C84" s="41">
        <f>('CO2'!C84/Population!C84)*1000</f>
        <v>2609.7300182523031</v>
      </c>
      <c r="D84">
        <f>('CO2'!D84/Population!D84)*1000</f>
        <v>120.25957836536017</v>
      </c>
      <c r="E84" s="41">
        <f>('CO2'!E84/Population!E84)*1000</f>
        <v>2942.7312441632334</v>
      </c>
      <c r="F84" s="41">
        <f>('CO2'!F84/Population!F84)*1000</f>
        <v>1442.3165666820489</v>
      </c>
      <c r="G84" s="41">
        <f>('CO2'!G84/Population!G84)*1000</f>
        <v>577.67999022124434</v>
      </c>
      <c r="H84" s="41">
        <f>('CO2'!H84/Population!H84)*1000</f>
        <v>1434.7906632085958</v>
      </c>
      <c r="I84" s="43">
        <f>('CO2'!I84/Population!I84)*1000</f>
        <v>0</v>
      </c>
      <c r="J84" s="41">
        <f>('CO2'!J84/Population!J84)*1000</f>
        <v>289.99706289598453</v>
      </c>
      <c r="K84">
        <f>('CO2'!K84/Population!K84)*1000</f>
        <v>411.7441759261107</v>
      </c>
      <c r="L84" s="41">
        <f>('CO2'!L84/Population!L84)*1000</f>
        <v>1438.452828109607</v>
      </c>
      <c r="M84" s="45">
        <f>('CO2'!M84/Population!M84)*1000</f>
        <v>1275.3196570673463</v>
      </c>
      <c r="N84" s="41">
        <f>('CO2'!N84/Population!N84)*1000</f>
        <v>794.5360918921258</v>
      </c>
      <c r="O84" s="41">
        <f>('CO2'!O84/Population!O84)*1000</f>
        <v>171.35719354214439</v>
      </c>
      <c r="P84" s="41">
        <f>('CO2'!P84/Population!P84)*1000</f>
        <v>359.58132208658043</v>
      </c>
      <c r="Q84">
        <f>('CO2'!Q84/Population!Q84)*1000</f>
        <v>66.225339667764118</v>
      </c>
      <c r="R84" s="41">
        <f>('CO2'!R84/Population!R84)*1000</f>
        <v>1322.6666666666667</v>
      </c>
      <c r="S84" s="41">
        <f>('CO2'!S84/Population!S84)*1000</f>
        <v>636.55244029075811</v>
      </c>
      <c r="T84" s="41">
        <f>('CO2'!T84/Population!T84)*1000</f>
        <v>2859.8255006940312</v>
      </c>
      <c r="U84" s="41">
        <f>('CO2'!U84/Population!U84)*1000</f>
        <v>4408.7894232417029</v>
      </c>
      <c r="V84">
        <f>('CO2'!V84/Population!V84)*1000</f>
        <v>382.16306067781784</v>
      </c>
    </row>
    <row r="85" spans="1:22" ht="15.75" x14ac:dyDescent="0.25">
      <c r="A85" s="7">
        <v>1953</v>
      </c>
      <c r="B85" s="41">
        <f>('CO2'!B85/Population!B85)*1000</f>
        <v>855.10487367945939</v>
      </c>
      <c r="C85" s="41">
        <f>('CO2'!C85/Population!C85)*1000</f>
        <v>2561.7823361080755</v>
      </c>
      <c r="D85">
        <f>('CO2'!D85/Population!D85)*1000</f>
        <v>118.16424356168345</v>
      </c>
      <c r="E85" s="41">
        <f>('CO2'!E85/Population!E85)*1000</f>
        <v>2887.2368626869852</v>
      </c>
      <c r="F85" s="41">
        <f>('CO2'!F85/Population!F85)*1000</f>
        <v>1446.4625750695768</v>
      </c>
      <c r="G85" s="41">
        <f>('CO2'!G85/Population!G85)*1000</f>
        <v>499.10615064985268</v>
      </c>
      <c r="H85" s="41">
        <f>('CO2'!H85/Population!H85)*1000</f>
        <v>1346.4995976549028</v>
      </c>
      <c r="I85" s="43">
        <f>('CO2'!I85/Population!I85)*1000</f>
        <v>0</v>
      </c>
      <c r="J85" s="41">
        <f>('CO2'!J85/Population!J85)*1000</f>
        <v>318.84813478741376</v>
      </c>
      <c r="K85">
        <f>('CO2'!K85/Population!K85)*1000</f>
        <v>453.98352633261317</v>
      </c>
      <c r="L85" s="41">
        <f>('CO2'!L85/Population!L85)*1000</f>
        <v>1437.5045743980093</v>
      </c>
      <c r="M85" s="45">
        <f>('CO2'!M85/Population!M85)*1000</f>
        <v>1139.9874279021446</v>
      </c>
      <c r="N85" s="41">
        <f>('CO2'!N85/Population!N85)*1000</f>
        <v>794.73044028840002</v>
      </c>
      <c r="O85" s="41">
        <f>('CO2'!O85/Population!O85)*1000</f>
        <v>188.71773352216761</v>
      </c>
      <c r="P85" s="41">
        <f>('CO2'!P85/Population!P85)*1000</f>
        <v>369.00960862276406</v>
      </c>
      <c r="Q85">
        <f>('CO2'!Q85/Population!Q85)*1000</f>
        <v>68.531043165201012</v>
      </c>
      <c r="R85" s="41">
        <f>('CO2'!R85/Population!R85)*1000</f>
        <v>1239.1577185887604</v>
      </c>
      <c r="S85" s="41">
        <f>('CO2'!S85/Population!S85)*1000</f>
        <v>578.51578515785161</v>
      </c>
      <c r="T85" s="41">
        <f>('CO2'!T85/Population!T85)*1000</f>
        <v>2913.5255865435934</v>
      </c>
      <c r="U85" s="41">
        <f>('CO2'!U85/Population!U85)*1000</f>
        <v>4439.7380512410728</v>
      </c>
      <c r="V85">
        <f>('CO2'!V85/Population!V85)*1000</f>
        <v>419.01642789589829</v>
      </c>
    </row>
    <row r="86" spans="1:22" ht="15.75" x14ac:dyDescent="0.25">
      <c r="A86" s="7">
        <v>1954</v>
      </c>
      <c r="B86" s="41">
        <f>('CO2'!B86/Population!B86)*1000</f>
        <v>963.94791568957078</v>
      </c>
      <c r="C86" s="41">
        <f>('CO2'!C86/Population!C86)*1000</f>
        <v>2653.7012805888853</v>
      </c>
      <c r="D86">
        <f>('CO2'!D86/Population!D86)*1000</f>
        <v>135.05760093326103</v>
      </c>
      <c r="E86" s="41">
        <f>('CO2'!E86/Population!E86)*1000</f>
        <v>2844.8006538654258</v>
      </c>
      <c r="F86" s="41">
        <f>('CO2'!F86/Population!F86)*1000</f>
        <v>1584.6572855197458</v>
      </c>
      <c r="G86" s="41">
        <f>('CO2'!G86/Population!G86)*1000</f>
        <v>596.86163987675855</v>
      </c>
      <c r="H86" s="41">
        <f>('CO2'!H86/Population!H86)*1000</f>
        <v>1409.9767240198985</v>
      </c>
      <c r="I86" s="43">
        <f>('CO2'!I86/Population!I86)*1000</f>
        <v>0</v>
      </c>
      <c r="J86" s="41">
        <f>('CO2'!J86/Population!J86)*1000</f>
        <v>367.15045860162735</v>
      </c>
      <c r="K86">
        <f>('CO2'!K86/Population!K86)*1000</f>
        <v>438.43711101705821</v>
      </c>
      <c r="L86" s="41">
        <f>('CO2'!L86/Population!L86)*1000</f>
        <v>1501.4064498868624</v>
      </c>
      <c r="M86" s="45">
        <f>('CO2'!M86/Population!M86)*1000</f>
        <v>1182.638013856217</v>
      </c>
      <c r="N86" s="41">
        <f>('CO2'!N86/Population!N86)*1000</f>
        <v>794.87462016601035</v>
      </c>
      <c r="O86" s="41">
        <f>('CO2'!O86/Population!O86)*1000</f>
        <v>183.15357792425942</v>
      </c>
      <c r="P86" s="41">
        <f>('CO2'!P86/Population!P86)*1000</f>
        <v>373.22250031339883</v>
      </c>
      <c r="Q86">
        <f>('CO2'!Q86/Population!Q86)*1000</f>
        <v>57.504109123198127</v>
      </c>
      <c r="R86" s="41">
        <f>('CO2'!R86/Population!R86)*1000</f>
        <v>1305.5594066269236</v>
      </c>
      <c r="S86" s="41">
        <f>('CO2'!S86/Population!S86)*1000</f>
        <v>697.70744572935678</v>
      </c>
      <c r="T86" s="41">
        <f>('CO2'!T86/Population!T86)*1000</f>
        <v>2971.5158081355266</v>
      </c>
      <c r="U86" s="41">
        <f>('CO2'!U86/Population!U86)*1000</f>
        <v>4156.9381571037748</v>
      </c>
      <c r="V86">
        <f>('CO2'!V86/Population!V86)*1000</f>
        <v>440.31127417017512</v>
      </c>
    </row>
    <row r="87" spans="1:22" ht="15.75" x14ac:dyDescent="0.25">
      <c r="A87" s="7">
        <v>1955</v>
      </c>
      <c r="B87" s="41">
        <f>('CO2'!B87/Population!B87)*1000</f>
        <v>1142.3825210867892</v>
      </c>
      <c r="C87" s="41">
        <f>('CO2'!C87/Population!C87)*1000</f>
        <v>2832.3922658630713</v>
      </c>
      <c r="D87">
        <f>('CO2'!D87/Population!D87)*1000</f>
        <v>150.37181126043825</v>
      </c>
      <c r="E87" s="41">
        <f>('CO2'!E87/Population!E87)*1000</f>
        <v>2882.054454119273</v>
      </c>
      <c r="F87" s="41">
        <f>('CO2'!F87/Population!F87)*1000</f>
        <v>1664.3388150484343</v>
      </c>
      <c r="G87" s="41">
        <f>('CO2'!G87/Population!G87)*1000</f>
        <v>704.38499138114253</v>
      </c>
      <c r="H87" s="41">
        <f>('CO2'!H87/Population!H87)*1000</f>
        <v>1475.3267899950247</v>
      </c>
      <c r="I87" s="43">
        <f>('CO2'!I87/Population!I87)*1000</f>
        <v>0</v>
      </c>
      <c r="J87" s="41">
        <f>('CO2'!J87/Population!J87)*1000</f>
        <v>411.40789176073861</v>
      </c>
      <c r="K87">
        <f>('CO2'!K87/Population!K87)*1000</f>
        <v>431.25284334275341</v>
      </c>
      <c r="L87" s="41">
        <f>('CO2'!L87/Population!L87)*1000</f>
        <v>1548.3438413474962</v>
      </c>
      <c r="M87" s="45">
        <f>('CO2'!M87/Population!M87)*1000</f>
        <v>1200.2801277802121</v>
      </c>
      <c r="N87" s="41">
        <f>('CO2'!N87/Population!N87)*1000</f>
        <v>909.14157020653204</v>
      </c>
      <c r="O87" s="41">
        <f>('CO2'!O87/Population!O87)*1000</f>
        <v>202.93122886133034</v>
      </c>
      <c r="P87" s="41">
        <f>('CO2'!P87/Population!P87)*1000</f>
        <v>375.05015988917671</v>
      </c>
      <c r="Q87">
        <f>('CO2'!Q87/Population!Q87)*1000</f>
        <v>52.221249240405115</v>
      </c>
      <c r="R87" s="41">
        <f>('CO2'!R87/Population!R87)*1000</f>
        <v>1469.7053153401266</v>
      </c>
      <c r="S87" s="41">
        <f>('CO2'!S87/Population!S87)*1000</f>
        <v>746.58634538152614</v>
      </c>
      <c r="T87" s="41">
        <f>('CO2'!T87/Population!T87)*1000</f>
        <v>3089.1728496839792</v>
      </c>
      <c r="U87" s="41">
        <f>('CO2'!U87/Population!U87)*1000</f>
        <v>4476.7282786218375</v>
      </c>
      <c r="V87">
        <f>('CO2'!V87/Population!V87)*1000</f>
        <v>454.71234981743515</v>
      </c>
    </row>
    <row r="88" spans="1:22" ht="15.75" x14ac:dyDescent="0.25">
      <c r="A88" s="7">
        <v>1956</v>
      </c>
      <c r="B88" s="41">
        <f>('CO2'!B88/Population!B88)*1000</f>
        <v>1107.5377436636975</v>
      </c>
      <c r="C88" s="41">
        <f>('CO2'!C88/Population!C88)*1000</f>
        <v>2960.4951677219856</v>
      </c>
      <c r="D88">
        <f>('CO2'!D88/Population!D88)*1000</f>
        <v>157.0750763232432</v>
      </c>
      <c r="E88" s="41">
        <f>('CO2'!E88/Population!E88)*1000</f>
        <v>3150.3025797309556</v>
      </c>
      <c r="F88" s="41">
        <f>('CO2'!F88/Population!F88)*1000</f>
        <v>1611.7870238046996</v>
      </c>
      <c r="G88" s="41">
        <f>('CO2'!G88/Population!G88)*1000</f>
        <v>775.86005558539841</v>
      </c>
      <c r="H88" s="41">
        <f>('CO2'!H88/Population!H88)*1000</f>
        <v>1641.2432541370895</v>
      </c>
      <c r="I88" s="43">
        <f>('CO2'!I88/Population!I88)*1000</f>
        <v>0</v>
      </c>
      <c r="J88" s="41">
        <f>('CO2'!J88/Population!J88)*1000</f>
        <v>465.95531571308845</v>
      </c>
      <c r="K88">
        <f>('CO2'!K88/Population!K88)*1000</f>
        <v>483.17539662419097</v>
      </c>
      <c r="L88" s="41">
        <f>('CO2'!L88/Population!L88)*1000</f>
        <v>1631.2266911039967</v>
      </c>
      <c r="M88" s="45">
        <f>('CO2'!M88/Population!M88)*1000</f>
        <v>1212.4194723473329</v>
      </c>
      <c r="N88" s="41">
        <f>('CO2'!N88/Population!N88)*1000</f>
        <v>943.0657643139059</v>
      </c>
      <c r="O88" s="41">
        <f>('CO2'!O88/Population!O88)*1000</f>
        <v>223.38967565098218</v>
      </c>
      <c r="P88" s="41">
        <f>('CO2'!P88/Population!P88)*1000</f>
        <v>390.78212613469316</v>
      </c>
      <c r="Q88">
        <f>('CO2'!Q88/Population!Q88)*1000</f>
        <v>43.400198048448978</v>
      </c>
      <c r="R88" s="41">
        <f>('CO2'!R88/Population!R88)*1000</f>
        <v>1618.7286397812716</v>
      </c>
      <c r="S88" s="41">
        <f>('CO2'!S88/Population!S88)*1000</f>
        <v>923.29038652130828</v>
      </c>
      <c r="T88" s="41">
        <f>('CO2'!T88/Population!T88)*1000</f>
        <v>3060.7611753673023</v>
      </c>
      <c r="U88" s="41">
        <f>('CO2'!U88/Population!U88)*1000</f>
        <v>4609.9299597994113</v>
      </c>
      <c r="V88">
        <f>('CO2'!V88/Population!V88)*1000</f>
        <v>459.55074520045702</v>
      </c>
    </row>
    <row r="89" spans="1:22" ht="15.75" x14ac:dyDescent="0.25">
      <c r="A89" s="7">
        <v>1957</v>
      </c>
      <c r="B89" s="41">
        <f>('CO2'!B89/Population!B89)*1000</f>
        <v>1143.5773903006952</v>
      </c>
      <c r="C89" s="41">
        <f>('CO2'!C89/Population!C89)*1000</f>
        <v>2930.1006517774672</v>
      </c>
      <c r="D89">
        <f>('CO2'!D89/Population!D89)*1000</f>
        <v>149.83714020913524</v>
      </c>
      <c r="E89" s="41">
        <f>('CO2'!E89/Population!E89)*1000</f>
        <v>2933.5419303082149</v>
      </c>
      <c r="F89" s="41">
        <f>('CO2'!F89/Population!F89)*1000</f>
        <v>1514.5400974323677</v>
      </c>
      <c r="G89" s="41">
        <f>('CO2'!G89/Population!G89)*1000</f>
        <v>772.89546716003701</v>
      </c>
      <c r="H89" s="41">
        <f>('CO2'!H89/Population!H89)*1000</f>
        <v>1677.6665485471297</v>
      </c>
      <c r="I89" s="43">
        <f>('CO2'!I89/Population!I89)*1000</f>
        <v>0</v>
      </c>
      <c r="J89" s="41">
        <f>('CO2'!J89/Population!J89)*1000</f>
        <v>483.48989467691433</v>
      </c>
      <c r="K89">
        <f>('CO2'!K89/Population!K89)*1000</f>
        <v>560.76138782201883</v>
      </c>
      <c r="L89" s="41">
        <f>('CO2'!L89/Population!L89)*1000</f>
        <v>1594.3578234131719</v>
      </c>
      <c r="M89" s="45">
        <f>('CO2'!M89/Population!M89)*1000</f>
        <v>1261.770506686307</v>
      </c>
      <c r="N89" s="41">
        <f>('CO2'!N89/Population!N89)*1000</f>
        <v>888.04554949142857</v>
      </c>
      <c r="O89" s="41">
        <f>('CO2'!O89/Population!O89)*1000</f>
        <v>240.99391561243644</v>
      </c>
      <c r="P89" s="41">
        <f>('CO2'!P89/Population!P89)*1000</f>
        <v>459.4255525187076</v>
      </c>
      <c r="Q89">
        <f>('CO2'!Q89/Population!Q89)*1000</f>
        <v>69.174824123282875</v>
      </c>
      <c r="R89" s="41">
        <f>('CO2'!R89/Population!R89)*1000</f>
        <v>1439.9782726778924</v>
      </c>
      <c r="S89" s="41">
        <f>('CO2'!S89/Population!S89)*1000</f>
        <v>942.45025360905186</v>
      </c>
      <c r="T89" s="41">
        <f>('CO2'!T89/Population!T89)*1000</f>
        <v>3026.9492514096828</v>
      </c>
      <c r="U89" s="41">
        <f>('CO2'!U89/Population!U89)*1000</f>
        <v>4488.795469345986</v>
      </c>
      <c r="V89">
        <f>('CO2'!V89/Population!V89)*1000</f>
        <v>498.97750848571053</v>
      </c>
    </row>
    <row r="90" spans="1:22" ht="15.75" x14ac:dyDescent="0.25">
      <c r="A90" s="7">
        <v>1958</v>
      </c>
      <c r="B90" s="41">
        <f>('CO2'!B90/Population!B90)*1000</f>
        <v>1097.4104947821479</v>
      </c>
      <c r="C90" s="41">
        <f>('CO2'!C90/Population!C90)*1000</f>
        <v>2644.0709944550285</v>
      </c>
      <c r="D90">
        <f>('CO2'!D90/Population!D90)*1000</f>
        <v>157.892680154282</v>
      </c>
      <c r="E90" s="41">
        <f>('CO2'!E90/Population!E90)*1000</f>
        <v>2847.3822363114796</v>
      </c>
      <c r="F90" s="41">
        <f>('CO2'!F90/Population!F90)*1000</f>
        <v>1619.6647185508641</v>
      </c>
      <c r="G90" s="41">
        <f>('CO2'!G90/Population!G90)*1000</f>
        <v>664.25065369971094</v>
      </c>
      <c r="H90" s="41">
        <f>('CO2'!H90/Population!H90)*1000</f>
        <v>1591.4268191177114</v>
      </c>
      <c r="I90" s="43">
        <f>('CO2'!I90/Population!I90)*1000</f>
        <v>0</v>
      </c>
      <c r="J90" s="41">
        <f>('CO2'!J90/Population!J90)*1000</f>
        <v>483.50715498423477</v>
      </c>
      <c r="K90">
        <f>('CO2'!K90/Population!K90)*1000</f>
        <v>535.34643798491015</v>
      </c>
      <c r="L90" s="41">
        <f>('CO2'!L90/Population!L90)*1000</f>
        <v>1627.1747024973463</v>
      </c>
      <c r="M90" s="45">
        <f>('CO2'!M90/Population!M90)*1000</f>
        <v>1218.0406770360105</v>
      </c>
      <c r="N90" s="41">
        <f>('CO2'!N90/Population!N90)*1000</f>
        <v>866.87654502861631</v>
      </c>
      <c r="O90" s="41">
        <f>('CO2'!O90/Population!O90)*1000</f>
        <v>232.09634867329319</v>
      </c>
      <c r="P90" s="41">
        <f>('CO2'!P90/Population!P90)*1000</f>
        <v>506.70646180778522</v>
      </c>
      <c r="Q90">
        <f>('CO2'!Q90/Population!Q90)*1000</f>
        <v>56.669553760285872</v>
      </c>
      <c r="R90" s="41">
        <f>('CO2'!R90/Population!R90)*1000</f>
        <v>1550.1417195303009</v>
      </c>
      <c r="S90" s="41">
        <f>('CO2'!S90/Population!S90)*1000</f>
        <v>855.16445470282747</v>
      </c>
      <c r="T90" s="41">
        <f>('CO2'!T90/Population!T90)*1000</f>
        <v>2937.5242004181832</v>
      </c>
      <c r="U90" s="41">
        <f>('CO2'!U90/Population!U90)*1000</f>
        <v>4277.5643004997655</v>
      </c>
      <c r="V90">
        <f>('CO2'!V90/Population!V90)*1000</f>
        <v>441.38967026240738</v>
      </c>
    </row>
    <row r="91" spans="1:22" ht="15.75" x14ac:dyDescent="0.25">
      <c r="A91" s="7">
        <v>1959</v>
      </c>
      <c r="B91" s="41">
        <f>('CO2'!B91/Population!B91)*1000</f>
        <v>1086.347365130046</v>
      </c>
      <c r="C91" s="41">
        <f>('CO2'!C91/Population!C91)*1000</f>
        <v>2648.0357664425205</v>
      </c>
      <c r="D91">
        <f>('CO2'!D91/Population!D91)*1000</f>
        <v>153.10361859748636</v>
      </c>
      <c r="E91" s="41">
        <f>('CO2'!E91/Population!E91)*1000</f>
        <v>2817.5864034278361</v>
      </c>
      <c r="F91" s="41">
        <f>('CO2'!F91/Population!F91)*1000</f>
        <v>1563.1337102860223</v>
      </c>
      <c r="G91" s="41">
        <f>('CO2'!G91/Population!G91)*1000</f>
        <v>842.15077252144636</v>
      </c>
      <c r="H91" s="41">
        <f>('CO2'!H91/Population!H91)*1000</f>
        <v>1549.827657222138</v>
      </c>
      <c r="I91" s="43">
        <f>('CO2'!I91/Population!I91)*1000</f>
        <v>0</v>
      </c>
      <c r="J91" s="41">
        <f>('CO2'!J91/Population!J91)*1000</f>
        <v>515.61245785840424</v>
      </c>
      <c r="K91">
        <f>('CO2'!K91/Population!K91)*1000</f>
        <v>563.68634189601369</v>
      </c>
      <c r="L91" s="41">
        <f>('CO2'!L91/Population!L91)*1000</f>
        <v>1614.4327467590397</v>
      </c>
      <c r="M91" s="45">
        <f>('CO2'!M91/Population!M91)*1000</f>
        <v>1208.430961571295</v>
      </c>
      <c r="N91" s="41">
        <f>('CO2'!N91/Population!N91)*1000</f>
        <v>907.44025009773839</v>
      </c>
      <c r="O91" s="41">
        <f>('CO2'!O91/Population!O91)*1000</f>
        <v>243.14990152373198</v>
      </c>
      <c r="P91" s="41">
        <f>('CO2'!P91/Population!P91)*1000</f>
        <v>468.18087071567169</v>
      </c>
      <c r="Q91">
        <f>('CO2'!Q91/Population!Q91)*1000</f>
        <v>58.197508026276644</v>
      </c>
      <c r="R91" s="41">
        <f>('CO2'!R91/Population!R91)*1000</f>
        <v>1554.1230190706419</v>
      </c>
      <c r="S91" s="41">
        <f>('CO2'!S91/Population!S91)*1000</f>
        <v>861.95094124358241</v>
      </c>
      <c r="T91" s="41">
        <f>('CO2'!T91/Population!T91)*1000</f>
        <v>2870.7752713834784</v>
      </c>
      <c r="U91" s="41">
        <f>('CO2'!U91/Population!U91)*1000</f>
        <v>4333.588258449081</v>
      </c>
      <c r="V91">
        <f>('CO2'!V91/Population!V91)*1000</f>
        <v>480.15608680003623</v>
      </c>
    </row>
    <row r="92" spans="1:22" ht="15.75" x14ac:dyDescent="0.25">
      <c r="A92" s="7">
        <v>1960</v>
      </c>
      <c r="B92" s="41">
        <f>('CO2'!B92/Population!B92)*1000</f>
        <v>1192.6321583293332</v>
      </c>
      <c r="C92" s="41">
        <f>('CO2'!C92/Population!C92)*1000</f>
        <v>2721.4405562196366</v>
      </c>
      <c r="D92">
        <f>('CO2'!D92/Population!D92)*1000</f>
        <v>178.42295697554678</v>
      </c>
      <c r="E92" s="41">
        <f>('CO2'!E92/Population!E92)*1000</f>
        <v>2879.7107752795855</v>
      </c>
      <c r="F92" s="41">
        <f>('CO2'!F92/Population!F92)*1000</f>
        <v>1772.7570399476099</v>
      </c>
      <c r="G92" s="41">
        <f>('CO2'!G92/Population!G92)*1000</f>
        <v>929.88080187827336</v>
      </c>
      <c r="H92" s="41">
        <f>('CO2'!H92/Population!H92)*1000</f>
        <v>1587.7125193199381</v>
      </c>
      <c r="I92" s="43">
        <f>('CO2'!I92/Population!I92)*1000</f>
        <v>0</v>
      </c>
      <c r="J92" s="41">
        <f>('CO2'!J92/Population!J92)*1000</f>
        <v>594.0921478317689</v>
      </c>
      <c r="K92">
        <f>('CO2'!K92/Population!K92)*1000</f>
        <v>674.6614401590075</v>
      </c>
      <c r="L92" s="41">
        <f>('CO2'!L92/Population!L92)*1000</f>
        <v>1745.1680306460039</v>
      </c>
      <c r="M92" s="45">
        <f>('CO2'!M92/Population!M92)*1000</f>
        <v>1327.2922142590312</v>
      </c>
      <c r="N92" s="41">
        <f>('CO2'!N92/Population!N92)*1000</f>
        <v>997.69939956534597</v>
      </c>
      <c r="O92" s="41">
        <f>('CO2'!O92/Population!O92)*1000</f>
        <v>248.21007668728626</v>
      </c>
      <c r="P92" s="41">
        <f>('CO2'!P92/Population!P92)*1000</f>
        <v>435.45963150840072</v>
      </c>
      <c r="Q92">
        <f>('CO2'!Q92/Population!Q92)*1000</f>
        <v>62.137558230003592</v>
      </c>
      <c r="R92" s="41">
        <f>('CO2'!R92/Population!R92)*1000</f>
        <v>1794.5187165775401</v>
      </c>
      <c r="S92" s="41">
        <f>('CO2'!S92/Population!S92)*1000</f>
        <v>992.91309212980229</v>
      </c>
      <c r="T92" s="41">
        <f>('CO2'!T92/Population!T92)*1000</f>
        <v>3042.4654395478501</v>
      </c>
      <c r="U92" s="41">
        <f>('CO2'!U92/Population!U92)*1000</f>
        <v>4363.1794809349594</v>
      </c>
      <c r="V92">
        <f>('CO2'!V92/Population!V92)*1000</f>
        <v>465.43438501222255</v>
      </c>
    </row>
    <row r="93" spans="1:22" ht="15.75" x14ac:dyDescent="0.25">
      <c r="A93" s="7">
        <v>1961</v>
      </c>
      <c r="B93" s="41">
        <f>('CO2'!B93/Population!B93)*1000</f>
        <v>1226.1689776285193</v>
      </c>
      <c r="C93" s="41">
        <f>('CO2'!C93/Population!C93)*1000</f>
        <v>2760.8064762486638</v>
      </c>
      <c r="D93">
        <f>('CO2'!D93/Population!D93)*1000</f>
        <v>181.73469600314505</v>
      </c>
      <c r="E93" s="41">
        <f>('CO2'!E93/Population!E93)*1000</f>
        <v>2841.6455786341999</v>
      </c>
      <c r="F93" s="41">
        <f>('CO2'!F93/Population!F93)*1000</f>
        <v>1877.2979491376773</v>
      </c>
      <c r="G93" s="41">
        <f>('CO2'!G93/Population!G93)*1000</f>
        <v>913.24733176657094</v>
      </c>
      <c r="H93" s="41">
        <f>('CO2'!H93/Population!H93)*1000</f>
        <v>1627.2067560685791</v>
      </c>
      <c r="I93" s="43">
        <f>('CO2'!I93/Population!I93)*1000</f>
        <v>0</v>
      </c>
      <c r="J93" s="41">
        <f>('CO2'!J93/Population!J93)*1000</f>
        <v>672.26541470057316</v>
      </c>
      <c r="K93">
        <f>('CO2'!K93/Population!K93)*1000</f>
        <v>813.19066950837691</v>
      </c>
      <c r="L93" s="41">
        <f>('CO2'!L93/Population!L93)*1000</f>
        <v>1778.1175633422699</v>
      </c>
      <c r="M93" s="45">
        <f>('CO2'!M93/Population!M93)*1000</f>
        <v>1319.2460276675781</v>
      </c>
      <c r="N93" s="41">
        <f>('CO2'!N93/Population!N93)*1000</f>
        <v>1008.6431381239958</v>
      </c>
      <c r="O93" s="41">
        <f>('CO2'!O93/Population!O93)*1000</f>
        <v>274.49286916467361</v>
      </c>
      <c r="P93" s="41">
        <f>('CO2'!P93/Population!P93)*1000</f>
        <v>473.66199223955402</v>
      </c>
      <c r="Q93">
        <f>('CO2'!Q93/Population!Q93)*1000</f>
        <v>62.508647683794564</v>
      </c>
      <c r="R93" s="41">
        <f>('CO2'!R93/Population!R93)*1000</f>
        <v>1771.5425531914896</v>
      </c>
      <c r="S93" s="41">
        <f>('CO2'!S93/Population!S93)*1000</f>
        <v>1008.7082728592163</v>
      </c>
      <c r="T93" s="41">
        <f>('CO2'!T93/Population!T93)*1000</f>
        <v>3041.3581532751341</v>
      </c>
      <c r="U93" s="41">
        <f>('CO2'!U93/Population!U93)*1000</f>
        <v>4276.317293716078</v>
      </c>
      <c r="V93">
        <f>('CO2'!V93/Population!V93)*1000</f>
        <v>438.41275859136891</v>
      </c>
    </row>
    <row r="94" spans="1:22" ht="15.75" x14ac:dyDescent="0.25">
      <c r="A94" s="7">
        <v>1962</v>
      </c>
      <c r="B94" s="41">
        <f>('CO2'!B94/Population!B94)*1000</f>
        <v>1296.7989291240337</v>
      </c>
      <c r="C94" s="41">
        <f>('CO2'!C94/Population!C94)*1000</f>
        <v>2902.5644363447022</v>
      </c>
      <c r="D94">
        <f>('CO2'!D94/Population!D94)*1000</f>
        <v>192.57124498237033</v>
      </c>
      <c r="E94" s="41">
        <f>('CO2'!E94/Population!E94)*1000</f>
        <v>2975.900629990263</v>
      </c>
      <c r="F94" s="41">
        <f>('CO2'!F94/Population!F94)*1000</f>
        <v>2167.0365549154394</v>
      </c>
      <c r="G94" s="41">
        <f>('CO2'!G94/Population!G94)*1000</f>
        <v>1020.6074083540635</v>
      </c>
      <c r="H94" s="41">
        <f>('CO2'!H94/Population!H94)*1000</f>
        <v>1693.9008920959056</v>
      </c>
      <c r="I94" s="43">
        <f>('CO2'!I94/Population!I94)*1000</f>
        <v>0</v>
      </c>
      <c r="J94" s="41">
        <f>('CO2'!J94/Population!J94)*1000</f>
        <v>785.53277527771661</v>
      </c>
      <c r="K94">
        <f>('CO2'!K94/Population!K94)*1000</f>
        <v>834.39981174507739</v>
      </c>
      <c r="L94" s="41">
        <f>('CO2'!L94/Population!L94)*1000</f>
        <v>1925.5123525615491</v>
      </c>
      <c r="M94" s="45">
        <f>('CO2'!M94/Population!M94)*1000</f>
        <v>1228.4261919591729</v>
      </c>
      <c r="N94" s="41">
        <f>('CO2'!N94/Population!N94)*1000</f>
        <v>1054.9836366239535</v>
      </c>
      <c r="O94" s="41">
        <f>('CO2'!O94/Population!O94)*1000</f>
        <v>281.27009468059163</v>
      </c>
      <c r="P94" s="41">
        <f>('CO2'!P94/Population!P94)*1000</f>
        <v>525.61037094060498</v>
      </c>
      <c r="Q94">
        <f>('CO2'!Q94/Population!Q94)*1000</f>
        <v>66.791605508711712</v>
      </c>
      <c r="R94" s="41">
        <f>('CO2'!R94/Population!R94)*1000</f>
        <v>1850.9653530811954</v>
      </c>
      <c r="S94" s="41">
        <f>('CO2'!S94/Population!S94)*1000</f>
        <v>1162.3720437698553</v>
      </c>
      <c r="T94" s="41">
        <f>('CO2'!T94/Population!T94)*1000</f>
        <v>3036.3093897770773</v>
      </c>
      <c r="U94" s="41">
        <f>('CO2'!U94/Population!U94)*1000</f>
        <v>4367.0404957702985</v>
      </c>
      <c r="V94">
        <f>('CO2'!V94/Population!V94)*1000</f>
        <v>421.01763117162204</v>
      </c>
    </row>
    <row r="95" spans="1:22" ht="15.75" x14ac:dyDescent="0.25">
      <c r="A95" s="7">
        <v>1963</v>
      </c>
      <c r="B95" s="41">
        <f>('CO2'!B95/Population!B95)*1000</f>
        <v>1405.8341280170284</v>
      </c>
      <c r="C95" s="41">
        <f>('CO2'!C95/Population!C95)*1000</f>
        <v>3107.4748736952092</v>
      </c>
      <c r="D95">
        <f>('CO2'!D95/Population!D95)*1000</f>
        <v>193.66265117900039</v>
      </c>
      <c r="E95" s="41">
        <f>('CO2'!E95/Population!E95)*1000</f>
        <v>2976.2949506745158</v>
      </c>
      <c r="F95" s="41">
        <f>('CO2'!F95/Population!F95)*1000</f>
        <v>2370.195954845643</v>
      </c>
      <c r="G95" s="41">
        <f>('CO2'!G95/Population!G95)*1000</f>
        <v>1167.0659687410257</v>
      </c>
      <c r="H95" s="41">
        <f>('CO2'!H95/Population!H95)*1000</f>
        <v>1866.595626959569</v>
      </c>
      <c r="I95" s="43">
        <f>('CO2'!I95/Population!I95)*1000</f>
        <v>0</v>
      </c>
      <c r="J95" s="41">
        <f>('CO2'!J95/Population!J95)*1000</f>
        <v>877.68539189777789</v>
      </c>
      <c r="K95">
        <f>('CO2'!K95/Population!K95)*1000</f>
        <v>916.0956799336941</v>
      </c>
      <c r="L95" s="41">
        <f>('CO2'!L95/Population!L95)*1000</f>
        <v>2079.0632365159649</v>
      </c>
      <c r="M95" s="45">
        <f>('CO2'!M95/Population!M95)*1000</f>
        <v>1312.2946465461271</v>
      </c>
      <c r="N95" s="41">
        <f>('CO2'!N95/Population!N95)*1000</f>
        <v>1114.4021338918981</v>
      </c>
      <c r="O95" s="41">
        <f>('CO2'!O95/Population!O95)*1000</f>
        <v>301.04827343199435</v>
      </c>
      <c r="P95" s="41">
        <f>('CO2'!P95/Population!P95)*1000</f>
        <v>510.37495139172552</v>
      </c>
      <c r="Q95">
        <f>('CO2'!Q95/Population!Q95)*1000</f>
        <v>64.367483745580216</v>
      </c>
      <c r="R95" s="41">
        <f>('CO2'!R95/Population!R95)*1000</f>
        <v>1985.7969489742241</v>
      </c>
      <c r="S95" s="41">
        <f>('CO2'!S95/Population!S95)*1000</f>
        <v>1370.8757989290032</v>
      </c>
      <c r="T95" s="41">
        <f>('CO2'!T95/Population!T95)*1000</f>
        <v>3070.6573426573427</v>
      </c>
      <c r="U95" s="41">
        <f>('CO2'!U95/Population!U95)*1000</f>
        <v>4494.8901406664481</v>
      </c>
      <c r="V95">
        <f>('CO2'!V95/Population!V95)*1000</f>
        <v>447.54951443917076</v>
      </c>
    </row>
    <row r="96" spans="1:22" ht="15.75" x14ac:dyDescent="0.25">
      <c r="A96" s="7">
        <v>1964</v>
      </c>
      <c r="B96" s="41">
        <f>('CO2'!B96/Population!B96)*1000</f>
        <v>1470.1401658212899</v>
      </c>
      <c r="C96" s="41">
        <f>('CO2'!C96/Population!C96)*1000</f>
        <v>3017.9353047934237</v>
      </c>
      <c r="D96">
        <f>('CO2'!D96/Population!D96)*1000</f>
        <v>191.80100536602734</v>
      </c>
      <c r="E96" s="41">
        <f>('CO2'!E96/Population!E96)*1000</f>
        <v>3289.9815144325371</v>
      </c>
      <c r="F96" s="41">
        <f>('CO2'!F96/Population!F96)*1000</f>
        <v>2495.2485831551439</v>
      </c>
      <c r="G96" s="41">
        <f>('CO2'!G96/Population!G96)*1000</f>
        <v>1370.1087644749616</v>
      </c>
      <c r="H96" s="41">
        <f>('CO2'!H96/Population!H96)*1000</f>
        <v>1907.8347549486393</v>
      </c>
      <c r="I96" s="43">
        <f>('CO2'!I96/Population!I96)*1000</f>
        <v>0</v>
      </c>
      <c r="J96" s="41">
        <f>('CO2'!J96/Population!J96)*1000</f>
        <v>929.91887628342533</v>
      </c>
      <c r="K96">
        <f>('CO2'!K96/Population!K96)*1000</f>
        <v>1001.6430454205105</v>
      </c>
      <c r="L96" s="41">
        <f>('CO2'!L96/Population!L96)*1000</f>
        <v>2178.2583168963447</v>
      </c>
      <c r="M96" s="45">
        <f>('CO2'!M96/Population!M96)*1000</f>
        <v>1378.8846235459791</v>
      </c>
      <c r="N96" s="41">
        <f>('CO2'!N96/Population!N96)*1000</f>
        <v>1195.0717029487548</v>
      </c>
      <c r="O96" s="41">
        <f>('CO2'!O96/Population!O96)*1000</f>
        <v>329.51493559879418</v>
      </c>
      <c r="P96" s="41">
        <f>('CO2'!P96/Population!P96)*1000</f>
        <v>553.38761751334914</v>
      </c>
      <c r="Q96">
        <f>('CO2'!Q96/Population!Q96)*1000</f>
        <v>56.38610879099452</v>
      </c>
      <c r="R96" s="41">
        <f>('CO2'!R96/Population!R96)*1000</f>
        <v>2151.1552016708001</v>
      </c>
      <c r="S96" s="41">
        <f>('CO2'!S96/Population!S96)*1000</f>
        <v>1304.7392559877696</v>
      </c>
      <c r="T96" s="41">
        <f>('CO2'!T96/Population!T96)*1000</f>
        <v>3072.7343446129912</v>
      </c>
      <c r="U96" s="41">
        <f>('CO2'!U96/Population!U96)*1000</f>
        <v>4627.24804444236</v>
      </c>
      <c r="V96">
        <f>('CO2'!V96/Population!V96)*1000</f>
        <v>466.65990892060023</v>
      </c>
    </row>
    <row r="97" spans="1:22" ht="15.75" x14ac:dyDescent="0.25">
      <c r="A97" s="7">
        <v>1965</v>
      </c>
      <c r="B97" s="41">
        <f>('CO2'!B97/Population!B97)*1000</f>
        <v>1432.2870284500286</v>
      </c>
      <c r="C97" s="41">
        <f>('CO2'!C97/Population!C97)*1000</f>
        <v>3043.3632158846754</v>
      </c>
      <c r="D97">
        <f>('CO2'!D97/Population!D97)*1000</f>
        <v>185.09401548445027</v>
      </c>
      <c r="E97" s="41">
        <f>('CO2'!E97/Population!E97)*1000</f>
        <v>3425.9699914862681</v>
      </c>
      <c r="F97" s="41">
        <f>('CO2'!F97/Population!F97)*1000</f>
        <v>2541.140371156554</v>
      </c>
      <c r="G97" s="41">
        <f>('CO2'!G97/Population!G97)*1000</f>
        <v>1513.4543395624457</v>
      </c>
      <c r="H97" s="41">
        <f>('CO2'!H97/Population!H97)*1000</f>
        <v>1926.6495321473035</v>
      </c>
      <c r="I97" s="43">
        <f>('CO2'!I97/Population!I97)*1000</f>
        <v>0</v>
      </c>
      <c r="J97" s="41">
        <f>('CO2'!J97/Population!J97)*1000</f>
        <v>995.43925319935147</v>
      </c>
      <c r="K97">
        <f>('CO2'!K97/Population!K97)*1000</f>
        <v>1067.0640782729133</v>
      </c>
      <c r="L97" s="41">
        <f>('CO2'!L97/Population!L97)*1000</f>
        <v>2229.5802147738368</v>
      </c>
      <c r="M97" s="45">
        <f>('CO2'!M97/Population!M97)*1000</f>
        <v>1414.9371307377669</v>
      </c>
      <c r="N97" s="41">
        <f>('CO2'!N97/Population!N97)*1000</f>
        <v>1201.9382496502294</v>
      </c>
      <c r="O97" s="41">
        <f>('CO2'!O97/Population!O97)*1000</f>
        <v>346.48394923785582</v>
      </c>
      <c r="P97" s="41">
        <f>('CO2'!P97/Population!P97)*1000</f>
        <v>604.46612385646154</v>
      </c>
      <c r="Q97">
        <f>('CO2'!Q97/Population!Q97)*1000</f>
        <v>64.383351797294566</v>
      </c>
      <c r="R97" s="41">
        <f>('CO2'!R97/Population!R97)*1000</f>
        <v>2208.3010085337473</v>
      </c>
      <c r="S97" s="41">
        <f>('CO2'!S97/Population!S97)*1000</f>
        <v>1393.5722698973582</v>
      </c>
      <c r="T97" s="41">
        <f>('CO2'!T97/Population!T97)*1000</f>
        <v>3124.0110395584179</v>
      </c>
      <c r="U97" s="41">
        <f>('CO2'!U97/Population!U97)*1000</f>
        <v>4759.1287833950073</v>
      </c>
      <c r="V97">
        <f>('CO2'!V97/Population!V97)*1000</f>
        <v>559.20000980270936</v>
      </c>
    </row>
    <row r="98" spans="1:22" ht="15.75" x14ac:dyDescent="0.25">
      <c r="A98" s="7">
        <v>1966</v>
      </c>
      <c r="B98" s="41">
        <f>('CO2'!B98/Population!B98)*1000</f>
        <v>1462.1556265676927</v>
      </c>
      <c r="C98" s="41">
        <f>('CO2'!C98/Population!C98)*1000</f>
        <v>3017.522455247271</v>
      </c>
      <c r="D98">
        <f>('CO2'!D98/Population!D98)*1000</f>
        <v>204.9617168891248</v>
      </c>
      <c r="E98" s="41">
        <f>('CO2'!E98/Population!E98)*1000</f>
        <v>3458.2983511354578</v>
      </c>
      <c r="F98" s="41">
        <f>('CO2'!F98/Population!F98)*1000</f>
        <v>2849.400729546639</v>
      </c>
      <c r="G98" s="41">
        <f>('CO2'!G98/Population!G98)*1000</f>
        <v>1757.3084932138422</v>
      </c>
      <c r="H98" s="41">
        <f>('CO2'!H98/Population!H98)*1000</f>
        <v>1884.2679189716241</v>
      </c>
      <c r="I98" s="43">
        <f>('CO2'!I98/Population!I98)*1000</f>
        <v>0</v>
      </c>
      <c r="J98" s="41">
        <f>('CO2'!J98/Population!J98)*1000</f>
        <v>1116.4573603711715</v>
      </c>
      <c r="K98">
        <f>('CO2'!K98/Population!K98)*1000</f>
        <v>1147.0552831643729</v>
      </c>
      <c r="L98" s="41">
        <f>('CO2'!L98/Population!L98)*1000</f>
        <v>2269.566753380223</v>
      </c>
      <c r="M98" s="45">
        <f>('CO2'!M98/Population!M98)*1000</f>
        <v>1422.1130769660097</v>
      </c>
      <c r="N98" s="41">
        <f>('CO2'!N98/Population!N98)*1000</f>
        <v>1421.2916144061157</v>
      </c>
      <c r="O98" s="41">
        <f>('CO2'!O98/Population!O98)*1000</f>
        <v>354.82171087300196</v>
      </c>
      <c r="P98" s="41">
        <f>('CO2'!P98/Population!P98)*1000</f>
        <v>653.18058454069444</v>
      </c>
      <c r="Q98">
        <f>('CO2'!Q98/Population!Q98)*1000</f>
        <v>62.947165478733993</v>
      </c>
      <c r="R98" s="41">
        <f>('CO2'!R98/Population!R98)*1000</f>
        <v>2535.3483606557375</v>
      </c>
      <c r="S98" s="41">
        <f>('CO2'!S98/Population!S98)*1000</f>
        <v>1433.7891927951969</v>
      </c>
      <c r="T98" s="41">
        <f>('CO2'!T98/Population!T98)*1000</f>
        <v>3087.0193803414891</v>
      </c>
      <c r="U98" s="41">
        <f>('CO2'!U98/Population!U98)*1000</f>
        <v>4941.6615791615786</v>
      </c>
      <c r="V98">
        <f>('CO2'!V98/Population!V98)*1000</f>
        <v>541.67139802300971</v>
      </c>
    </row>
    <row r="99" spans="1:22" ht="15.75" x14ac:dyDescent="0.25">
      <c r="A99" s="7">
        <v>1967</v>
      </c>
      <c r="B99" s="41">
        <f>('CO2'!B99/Population!B99)*1000</f>
        <v>1477.4302500827573</v>
      </c>
      <c r="C99" s="41">
        <f>('CO2'!C99/Population!C99)*1000</f>
        <v>3066.8131638152045</v>
      </c>
      <c r="D99">
        <f>('CO2'!D99/Population!D99)*1000</f>
        <v>205.00893000091548</v>
      </c>
      <c r="E99" s="41">
        <f>('CO2'!E99/Population!E99)*1000</f>
        <v>3692.3564034121996</v>
      </c>
      <c r="F99" s="41">
        <f>('CO2'!F99/Population!F99)*1000</f>
        <v>2765.7683723237164</v>
      </c>
      <c r="G99" s="41">
        <f>('CO2'!G99/Population!G99)*1000</f>
        <v>1694.4059417978942</v>
      </c>
      <c r="H99" s="41">
        <f>('CO2'!H99/Population!H99)*1000</f>
        <v>2002.9220138203359</v>
      </c>
      <c r="I99" s="43">
        <f>('CO2'!I99/Population!I99)*1000</f>
        <v>0</v>
      </c>
      <c r="J99" s="41">
        <f>('CO2'!J99/Population!J99)*1000</f>
        <v>1213.8317849283519</v>
      </c>
      <c r="K99">
        <f>('CO2'!K99/Population!K99)*1000</f>
        <v>1324.9851755927202</v>
      </c>
      <c r="L99" s="41">
        <f>('CO2'!L99/Population!L99)*1000</f>
        <v>2311.6941717522086</v>
      </c>
      <c r="M99" s="45">
        <f>('CO2'!M99/Population!M99)*1000</f>
        <v>1363.5613877536059</v>
      </c>
      <c r="N99" s="41">
        <f>('CO2'!N99/Population!N99)*1000</f>
        <v>1392.2275614570344</v>
      </c>
      <c r="O99" s="41">
        <f>('CO2'!O99/Population!O99)*1000</f>
        <v>371.74557838075361</v>
      </c>
      <c r="P99" s="41">
        <f>('CO2'!P99/Population!P99)*1000</f>
        <v>718.22838621594485</v>
      </c>
      <c r="Q99">
        <f>('CO2'!Q99/Population!Q99)*1000</f>
        <v>68.096460838902658</v>
      </c>
      <c r="R99" s="41">
        <f>('CO2'!R99/Population!R99)*1000</f>
        <v>2391.5861718352821</v>
      </c>
      <c r="S99" s="41">
        <f>('CO2'!S99/Population!S99)*1000</f>
        <v>1464.4565396668318</v>
      </c>
      <c r="T99" s="41">
        <f>('CO2'!T99/Population!T99)*1000</f>
        <v>2940.0280208882987</v>
      </c>
      <c r="U99" s="41">
        <f>('CO2'!U99/Population!U99)*1000</f>
        <v>5071.8074399130401</v>
      </c>
      <c r="V99">
        <f>('CO2'!V99/Population!V99)*1000</f>
        <v>484.61404965984241</v>
      </c>
    </row>
    <row r="100" spans="1:22" ht="15.75" x14ac:dyDescent="0.25">
      <c r="A100" s="7">
        <v>1968</v>
      </c>
      <c r="B100" s="41">
        <f>('CO2'!B100/Population!B100)*1000</f>
        <v>1557.433898063261</v>
      </c>
      <c r="C100" s="41">
        <f>('CO2'!C100/Population!C100)*1000</f>
        <v>3371.3946067696934</v>
      </c>
      <c r="D100">
        <f>('CO2'!D100/Population!D100)*1000</f>
        <v>233.11486732050864</v>
      </c>
      <c r="E100" s="41">
        <f>('CO2'!E100/Population!E100)*1000</f>
        <v>3915.0361110716972</v>
      </c>
      <c r="F100" s="41">
        <f>('CO2'!F100/Population!F100)*1000</f>
        <v>2987.6933823680479</v>
      </c>
      <c r="G100" s="41">
        <f>('CO2'!G100/Population!G100)*1000</f>
        <v>1963.7006105520213</v>
      </c>
      <c r="H100" s="41">
        <f>('CO2'!H100/Population!H100)*1000</f>
        <v>2055.2964690206527</v>
      </c>
      <c r="I100" s="43">
        <f>('CO2'!I100/Population!I100)*1000</f>
        <v>0</v>
      </c>
      <c r="J100" s="41">
        <f>('CO2'!J100/Population!J100)*1000</f>
        <v>1284.0604983146682</v>
      </c>
      <c r="K100">
        <f>('CO2'!K100/Population!K100)*1000</f>
        <v>1504.6291574068871</v>
      </c>
      <c r="L100" s="41">
        <f>('CO2'!L100/Population!L100)*1000</f>
        <v>2433.5386037212725</v>
      </c>
      <c r="M100" s="45">
        <f>('CO2'!M100/Population!M100)*1000</f>
        <v>1333.0916998912651</v>
      </c>
      <c r="N100" s="41">
        <f>('CO2'!N100/Population!N100)*1000</f>
        <v>1509.5641954939313</v>
      </c>
      <c r="O100" s="41">
        <f>('CO2'!O100/Population!O100)*1000</f>
        <v>389.24635630084316</v>
      </c>
      <c r="P100" s="41">
        <f>('CO2'!P100/Population!P100)*1000</f>
        <v>797.09859121285376</v>
      </c>
      <c r="Q100">
        <f>('CO2'!Q100/Population!Q100)*1000</f>
        <v>73.146830429511724</v>
      </c>
      <c r="R100" s="41">
        <f>('CO2'!R100/Population!R100)*1000</f>
        <v>2677.5783619817998</v>
      </c>
      <c r="S100" s="41">
        <f>('CO2'!S100/Population!S100)*1000</f>
        <v>1602.2504892367906</v>
      </c>
      <c r="T100" s="41">
        <f>('CO2'!T100/Population!T100)*1000</f>
        <v>2997.8266381714784</v>
      </c>
      <c r="U100" s="41">
        <f>('CO2'!U100/Population!U100)*1000</f>
        <v>5205.723795003637</v>
      </c>
      <c r="V100">
        <f>('CO2'!V100/Population!V100)*1000</f>
        <v>479.72219331003629</v>
      </c>
    </row>
    <row r="101" spans="1:22" ht="15.75" x14ac:dyDescent="0.25">
      <c r="A101" s="7">
        <v>1969</v>
      </c>
      <c r="B101" s="41">
        <f>('CO2'!B101/Population!B101)*1000</f>
        <v>1637.9397813885262</v>
      </c>
      <c r="C101" s="41">
        <f>('CO2'!C101/Population!C101)*1000</f>
        <v>3506.9231329387162</v>
      </c>
      <c r="D101">
        <f>('CO2'!D101/Population!D101)*1000</f>
        <v>246.93322689490645</v>
      </c>
      <c r="E101" s="41">
        <f>('CO2'!E101/Population!E101)*1000</f>
        <v>3908.4630120384245</v>
      </c>
      <c r="F101" s="41">
        <f>('CO2'!F101/Population!F101)*1000</f>
        <v>3312.2136010748591</v>
      </c>
      <c r="G101" s="41">
        <f>('CO2'!G101/Population!G101)*1000</f>
        <v>2237.3445132072534</v>
      </c>
      <c r="H101" s="41">
        <f>('CO2'!H101/Population!H101)*1000</f>
        <v>2189.5667379055758</v>
      </c>
      <c r="I101" s="43">
        <f>('CO2'!I101/Population!I101)*1000</f>
        <v>0</v>
      </c>
      <c r="J101" s="41">
        <f>('CO2'!J101/Population!J101)*1000</f>
        <v>1381.0229382748466</v>
      </c>
      <c r="K101">
        <f>('CO2'!K101/Population!K101)*1000</f>
        <v>1728.5338281919219</v>
      </c>
      <c r="L101" s="41">
        <f>('CO2'!L101/Population!L101)*1000</f>
        <v>2455.4493901965352</v>
      </c>
      <c r="M101" s="45">
        <f>('CO2'!M101/Population!M101)*1000</f>
        <v>1395.7324726555496</v>
      </c>
      <c r="N101" s="41">
        <f>('CO2'!N101/Population!N101)*1000</f>
        <v>1573.6266407200044</v>
      </c>
      <c r="O101" s="41">
        <f>('CO2'!O101/Population!O101)*1000</f>
        <v>438.04687156487711</v>
      </c>
      <c r="P101" s="41">
        <f>('CO2'!P101/Population!P101)*1000</f>
        <v>787.10403036588946</v>
      </c>
      <c r="Q101">
        <f>('CO2'!Q101/Population!Q101)*1000</f>
        <v>95.334747977980754</v>
      </c>
      <c r="R101" s="41">
        <f>('CO2'!R101/Population!R101)*1000</f>
        <v>2959.3373493975905</v>
      </c>
      <c r="S101" s="41">
        <f>('CO2'!S101/Population!S101)*1000</f>
        <v>1672.4082421120413</v>
      </c>
      <c r="T101" s="41">
        <f>('CO2'!T101/Population!T101)*1000</f>
        <v>3092.100755485837</v>
      </c>
      <c r="U101" s="41">
        <f>('CO2'!U101/Population!U101)*1000</f>
        <v>5415.3110614425905</v>
      </c>
      <c r="V101">
        <f>('CO2'!V101/Population!V101)*1000</f>
        <v>544.63839900580285</v>
      </c>
    </row>
    <row r="102" spans="1:22" ht="15.75" x14ac:dyDescent="0.25">
      <c r="A102" s="7">
        <v>1970</v>
      </c>
      <c r="B102" s="41">
        <f>('CO2'!B102/Population!B102)*1000</f>
        <v>1851.3245997166764</v>
      </c>
      <c r="C102" s="41">
        <f>('CO2'!C102/Population!C102)*1000</f>
        <v>3554.4418850775073</v>
      </c>
      <c r="D102">
        <f>('CO2'!D102/Population!D102)*1000</f>
        <v>267.22253077743778</v>
      </c>
      <c r="E102" s="41">
        <f>('CO2'!E102/Population!E102)*1000</f>
        <v>4281.5659743413162</v>
      </c>
      <c r="F102" s="41">
        <f>('CO2'!F102/Population!F102)*1000</f>
        <v>3435.9575852491816</v>
      </c>
      <c r="G102" s="41">
        <f>('CO2'!G102/Population!G102)*1000</f>
        <v>2391.5036492357112</v>
      </c>
      <c r="H102" s="41">
        <f>('CO2'!H102/Population!H102)*1000</f>
        <v>2305.9439885974034</v>
      </c>
      <c r="I102" s="43">
        <f>('CO2'!I102/Population!I102)*1000</f>
        <v>0</v>
      </c>
      <c r="J102" s="41">
        <f>('CO2'!J102/Population!J102)*1000</f>
        <v>1508.0197759643393</v>
      </c>
      <c r="K102">
        <f>('CO2'!K102/Population!K102)*1000</f>
        <v>2009.2966050218829</v>
      </c>
      <c r="L102" s="41">
        <f>('CO2'!L102/Population!L102)*1000</f>
        <v>2969.9973182089011</v>
      </c>
      <c r="M102" s="45">
        <f>('CO2'!M102/Population!M102)*1000</f>
        <v>1368.7876805572744</v>
      </c>
      <c r="N102" s="41">
        <f>('CO2'!N102/Population!N102)*1000</f>
        <v>1970.1417398216222</v>
      </c>
      <c r="O102" s="41">
        <f>('CO2'!O102/Population!O102)*1000</f>
        <v>460.07385949005993</v>
      </c>
      <c r="P102" s="41">
        <f>('CO2'!P102/Population!P102)*1000</f>
        <v>941.27255669043996</v>
      </c>
      <c r="Q102">
        <f>('CO2'!Q102/Population!Q102)*1000</f>
        <v>77.741640990528367</v>
      </c>
      <c r="R102" s="41">
        <f>('CO2'!R102/Population!R102)*1000</f>
        <v>3132.164615193336</v>
      </c>
      <c r="S102" s="41">
        <f>('CO2'!S102/Population!S102)*1000</f>
        <v>1753.4705600765917</v>
      </c>
      <c r="T102" s="41">
        <f>('CO2'!T102/Population!T102)*1000</f>
        <v>3201.251078515962</v>
      </c>
      <c r="U102" s="41">
        <f>('CO2'!U102/Population!U102)*1000</f>
        <v>5757.0908842635044</v>
      </c>
      <c r="V102">
        <f>('CO2'!V102/Population!V102)*1000</f>
        <v>554.59954619166115</v>
      </c>
    </row>
    <row r="103" spans="1:22" ht="15.75" x14ac:dyDescent="0.25">
      <c r="A103" s="7">
        <v>1971</v>
      </c>
      <c r="B103" s="41">
        <f>('CO2'!B103/Population!B103)*1000</f>
        <v>1896.2781325253497</v>
      </c>
      <c r="C103" s="41">
        <f>('CO2'!C103/Population!C103)*1000</f>
        <v>3426.3117084517962</v>
      </c>
      <c r="D103">
        <f>('CO2'!D103/Population!D103)*1000</f>
        <v>284.83183229023558</v>
      </c>
      <c r="E103" s="41">
        <f>('CO2'!E103/Population!E103)*1000</f>
        <v>4365.5340863690835</v>
      </c>
      <c r="F103" s="41">
        <f>('CO2'!F103/Population!F103)*1000</f>
        <v>3135.3223754545015</v>
      </c>
      <c r="G103" s="41">
        <f>('CO2'!G103/Population!G103)*1000</f>
        <v>2399.5451986980406</v>
      </c>
      <c r="H103" s="41">
        <f>('CO2'!H103/Population!H103)*1000</f>
        <v>2405.1533414708579</v>
      </c>
      <c r="I103" s="43">
        <f>('CO2'!I103/Population!I103)*1000</f>
        <v>0</v>
      </c>
      <c r="J103" s="41">
        <f>('CO2'!J103/Population!J103)*1000</f>
        <v>1573.3767856977529</v>
      </c>
      <c r="K103">
        <f>('CO2'!K103/Population!K103)*1000</f>
        <v>2057.6973835325516</v>
      </c>
      <c r="L103" s="41">
        <f>('CO2'!L103/Population!L103)*1000</f>
        <v>2911.7517229336017</v>
      </c>
      <c r="M103" s="45">
        <f>('CO2'!M103/Population!M103)*1000</f>
        <v>1428.3726915452301</v>
      </c>
      <c r="N103" s="41">
        <f>('CO2'!N103/Population!N103)*1000</f>
        <v>1900.3140885858429</v>
      </c>
      <c r="O103" s="41">
        <f>('CO2'!O103/Population!O103)*1000</f>
        <v>497.63916155476085</v>
      </c>
      <c r="P103" s="41">
        <f>('CO2'!P103/Population!P103)*1000</f>
        <v>1026.2302246266245</v>
      </c>
      <c r="Q103">
        <f>('CO2'!Q103/Population!Q103)*1000</f>
        <v>67.369019124953368</v>
      </c>
      <c r="R103" s="41">
        <f>('CO2'!R103/Population!R103)*1000</f>
        <v>2848.6045937268464</v>
      </c>
      <c r="S103" s="41">
        <f>('CO2'!S103/Population!S103)*1000</f>
        <v>1803.1643816547651</v>
      </c>
      <c r="T103" s="41">
        <f>('CO2'!T103/Population!T103)*1000</f>
        <v>3223.5498238145492</v>
      </c>
      <c r="U103" s="41">
        <f>('CO2'!U103/Population!U103)*1000</f>
        <v>5721.3535521836066</v>
      </c>
      <c r="V103">
        <f>('CO2'!V103/Population!V103)*1000</f>
        <v>560.50122397331677</v>
      </c>
    </row>
    <row r="104" spans="1:22" ht="15.75" x14ac:dyDescent="0.25">
      <c r="A104" s="7">
        <v>1972</v>
      </c>
      <c r="B104" s="41">
        <f>('CO2'!B104/Population!B104)*1000</f>
        <v>2031.2290194813206</v>
      </c>
      <c r="C104" s="41">
        <f>('CO2'!C104/Population!C104)*1000</f>
        <v>3674.7999299626126</v>
      </c>
      <c r="D104">
        <f>('CO2'!D104/Population!D104)*1000</f>
        <v>309.16787279179971</v>
      </c>
      <c r="E104" s="41">
        <f>('CO2'!E104/Population!E104)*1000</f>
        <v>4664.0938769099603</v>
      </c>
      <c r="F104" s="41">
        <f>('CO2'!F104/Population!F104)*1000</f>
        <v>3256.0728071742992</v>
      </c>
      <c r="G104" s="41">
        <f>('CO2'!G104/Population!G104)*1000</f>
        <v>2595.6660158283253</v>
      </c>
      <c r="H104" s="41">
        <f>('CO2'!H104/Population!H104)*1000</f>
        <v>2478.4663666956558</v>
      </c>
      <c r="I104" s="43">
        <f>('CO2'!I104/Population!I104)*1000</f>
        <v>0</v>
      </c>
      <c r="J104" s="41">
        <f>('CO2'!J104/Population!J104)*1000</f>
        <v>1650.1438300171044</v>
      </c>
      <c r="K104">
        <f>('CO2'!K104/Population!K104)*1000</f>
        <v>2171.1050424331402</v>
      </c>
      <c r="L104" s="41">
        <f>('CO2'!L104/Population!L104)*1000</f>
        <v>3228.1625467727604</v>
      </c>
      <c r="M104" s="45">
        <f>('CO2'!M104/Population!M104)*1000</f>
        <v>1507.9717319313099</v>
      </c>
      <c r="N104" s="41">
        <f>('CO2'!N104/Population!N104)*1000</f>
        <v>2040.4250796592121</v>
      </c>
      <c r="O104" s="41">
        <f>('CO2'!O104/Population!O104)*1000</f>
        <v>557.83154691236223</v>
      </c>
      <c r="P104" s="41">
        <f>('CO2'!P104/Population!P104)*1000</f>
        <v>1145.9106860713223</v>
      </c>
      <c r="Q104">
        <f>('CO2'!Q104/Population!Q104)*1000</f>
        <v>71.589770942466757</v>
      </c>
      <c r="R104" s="41">
        <f>('CO2'!R104/Population!R104)*1000</f>
        <v>2846.5895099729132</v>
      </c>
      <c r="S104" s="41">
        <f>('CO2'!S104/Population!S104)*1000</f>
        <v>1830.6932858437217</v>
      </c>
      <c r="T104" s="41">
        <f>('CO2'!T104/Population!T104)*1000</f>
        <v>3153.4799122666241</v>
      </c>
      <c r="U104" s="41">
        <f>('CO2'!U104/Population!U104)*1000</f>
        <v>5930.9086404695663</v>
      </c>
      <c r="V104">
        <f>('CO2'!V104/Population!V104)*1000</f>
        <v>585.61045206865037</v>
      </c>
    </row>
    <row r="105" spans="1:22" ht="15.75" x14ac:dyDescent="0.25">
      <c r="A105" s="7">
        <v>1973</v>
      </c>
      <c r="B105" s="41">
        <f>('CO2'!B105/Population!B105)*1000</f>
        <v>2162.7671080651958</v>
      </c>
      <c r="C105" s="41">
        <f>('CO2'!C105/Population!C105)*1000</f>
        <v>3888.8318409595008</v>
      </c>
      <c r="D105">
        <f>('CO2'!D105/Population!D105)*1000</f>
        <v>348.97066068996162</v>
      </c>
      <c r="E105" s="41">
        <f>('CO2'!E105/Population!E105)*1000</f>
        <v>4613.0898291185531</v>
      </c>
      <c r="F105" s="41">
        <f>('CO2'!F105/Population!F105)*1000</f>
        <v>3214.5453647562131</v>
      </c>
      <c r="G105" s="41">
        <f>('CO2'!G105/Population!G105)*1000</f>
        <v>2886.3622384609266</v>
      </c>
      <c r="H105" s="41">
        <f>('CO2'!H105/Population!H105)*1000</f>
        <v>2641.4790092438079</v>
      </c>
      <c r="I105" s="43">
        <f>('CO2'!I105/Population!I105)*1000</f>
        <v>0</v>
      </c>
      <c r="J105" s="41">
        <f>('CO2'!J105/Population!J105)*1000</f>
        <v>1763.3132624082011</v>
      </c>
      <c r="K105">
        <f>('CO2'!K105/Population!K105)*1000</f>
        <v>2297.2528571511493</v>
      </c>
      <c r="L105" s="41">
        <f>('CO2'!L105/Population!L105)*1000</f>
        <v>3361.4110723267436</v>
      </c>
      <c r="M105" s="45">
        <f>('CO2'!M105/Population!M105)*1000</f>
        <v>1658.9245730708819</v>
      </c>
      <c r="N105" s="41">
        <f>('CO2'!N105/Population!N105)*1000</f>
        <v>2101.6948639011184</v>
      </c>
      <c r="O105" s="41">
        <f>('CO2'!O105/Population!O105)*1000</f>
        <v>607.73511438900618</v>
      </c>
      <c r="P105" s="41">
        <f>('CO2'!P105/Population!P105)*1000</f>
        <v>1216.216821355951</v>
      </c>
      <c r="Q105">
        <f>('CO2'!Q105/Population!Q105)*1000</f>
        <v>73.3242048817593</v>
      </c>
      <c r="R105" s="41">
        <f>('CO2'!R105/Population!R105)*1000</f>
        <v>2927.9832862234239</v>
      </c>
      <c r="S105" s="41">
        <f>('CO2'!S105/Population!S105)*1000</f>
        <v>1958.6716554625762</v>
      </c>
      <c r="T105" s="41">
        <f>('CO2'!T105/Population!T105)*1000</f>
        <v>3202.1526418786693</v>
      </c>
      <c r="U105" s="41">
        <f>('CO2'!U105/Population!U105)*1000</f>
        <v>6138.6916081903082</v>
      </c>
      <c r="V105">
        <f>('CO2'!V105/Population!V105)*1000</f>
        <v>555.72903710682181</v>
      </c>
    </row>
    <row r="106" spans="1:22" ht="15.75" x14ac:dyDescent="0.25">
      <c r="A106" s="7">
        <v>1974</v>
      </c>
      <c r="B106" s="41">
        <f>('CO2'!B106/Population!B106)*1000</f>
        <v>2062.3663153151756</v>
      </c>
      <c r="C106" s="41">
        <f>('CO2'!C106/Population!C106)*1000</f>
        <v>3775.159196543746</v>
      </c>
      <c r="D106">
        <f>('CO2'!D106/Population!D106)*1000</f>
        <v>368.43344446328001</v>
      </c>
      <c r="E106" s="41">
        <f>('CO2'!E106/Population!E106)*1000</f>
        <v>4649.0664358439672</v>
      </c>
      <c r="F106" s="41">
        <f>('CO2'!F106/Population!F106)*1000</f>
        <v>2974.0568295582998</v>
      </c>
      <c r="G106" s="41">
        <f>('CO2'!G106/Population!G106)*1000</f>
        <v>2713.9535587755363</v>
      </c>
      <c r="H106" s="41">
        <f>('CO2'!H106/Population!H106)*1000</f>
        <v>2534.8854535295213</v>
      </c>
      <c r="I106" s="43">
        <f>('CO2'!I106/Population!I106)*1000</f>
        <v>0</v>
      </c>
      <c r="J106" s="41">
        <f>('CO2'!J106/Population!J106)*1000</f>
        <v>1774.7173495854572</v>
      </c>
      <c r="K106">
        <f>('CO2'!K106/Population!K106)*1000</f>
        <v>2267.2093399064956</v>
      </c>
      <c r="L106" s="41">
        <f>('CO2'!L106/Population!L106)*1000</f>
        <v>3231.3229621410715</v>
      </c>
      <c r="M106" s="45">
        <f>('CO2'!M106/Population!M106)*1000</f>
        <v>1672.4431075071932</v>
      </c>
      <c r="N106" s="41">
        <f>('CO2'!N106/Population!N106)*1000</f>
        <v>1894.9839633971001</v>
      </c>
      <c r="O106" s="41">
        <f>('CO2'!O106/Population!O106)*1000</f>
        <v>620.8852203158832</v>
      </c>
      <c r="P106" s="41">
        <f>('CO2'!P106/Population!P106)*1000</f>
        <v>1342.0479431628103</v>
      </c>
      <c r="Q106">
        <f>('CO2'!Q106/Population!Q106)*1000</f>
        <v>57.439888677219088</v>
      </c>
      <c r="R106" s="41">
        <f>('CO2'!R106/Population!R106)*1000</f>
        <v>2669.5257934076708</v>
      </c>
      <c r="S106" s="41">
        <f>('CO2'!S106/Population!S106)*1000</f>
        <v>1751.0835913312694</v>
      </c>
      <c r="T106" s="41">
        <f>('CO2'!T106/Population!T106)*1000</f>
        <v>2995.571286283438</v>
      </c>
      <c r="U106" s="41">
        <f>('CO2'!U106/Population!U106)*1000</f>
        <v>5863.9024755206829</v>
      </c>
      <c r="V106">
        <f>('CO2'!V106/Population!V106)*1000</f>
        <v>546.11827935394547</v>
      </c>
    </row>
    <row r="107" spans="1:22" ht="15.75" x14ac:dyDescent="0.25">
      <c r="A107" s="7">
        <v>1975</v>
      </c>
      <c r="B107" s="41">
        <f>('CO2'!B107/Population!B107)*1000</f>
        <v>1957.1434018881096</v>
      </c>
      <c r="C107" s="41">
        <f>('CO2'!C107/Population!C107)*1000</f>
        <v>3399.4568546575738</v>
      </c>
      <c r="D107">
        <f>('CO2'!D107/Population!D107)*1000</f>
        <v>378.61295566638194</v>
      </c>
      <c r="E107" s="41">
        <f>('CO2'!E107/Population!E107)*1000</f>
        <v>4666.3392103131519</v>
      </c>
      <c r="F107" s="41">
        <f>('CO2'!F107/Population!F107)*1000</f>
        <v>2998.6989761181189</v>
      </c>
      <c r="G107" s="41">
        <f>('CO2'!G107/Population!G107)*1000</f>
        <v>2668.3991875942784</v>
      </c>
      <c r="H107" s="41">
        <f>('CO2'!H107/Population!H107)*1000</f>
        <v>2258.8453340746919</v>
      </c>
      <c r="I107" s="43">
        <f>('CO2'!I107/Population!I107)*1000</f>
        <v>0</v>
      </c>
      <c r="J107" s="41">
        <f>('CO2'!J107/Population!J107)*1000</f>
        <v>1679.7879877910946</v>
      </c>
      <c r="K107">
        <f>('CO2'!K107/Population!K107)*1000</f>
        <v>2126.5965181074625</v>
      </c>
      <c r="L107" s="41">
        <f>('CO2'!L107/Population!L107)*1000</f>
        <v>3056.2998125453823</v>
      </c>
      <c r="M107" s="45">
        <f>('CO2'!M107/Population!M107)*1000</f>
        <v>1597.2801334274168</v>
      </c>
      <c r="N107" s="41">
        <f>('CO2'!N107/Population!N107)*1000</f>
        <v>2018.8091122405463</v>
      </c>
      <c r="O107" s="41">
        <f>('CO2'!O107/Population!O107)*1000</f>
        <v>618.84436340530158</v>
      </c>
      <c r="P107" s="41">
        <f>('CO2'!P107/Population!P107)*1000</f>
        <v>1392.8592869072208</v>
      </c>
      <c r="Q107">
        <f>('CO2'!Q107/Population!Q107)*1000</f>
        <v>55.953929958017135</v>
      </c>
      <c r="R107" s="41">
        <f>('CO2'!R107/Population!R107)*1000</f>
        <v>2690.2233614060783</v>
      </c>
      <c r="S107" s="41">
        <f>('CO2'!S107/Population!S107)*1000</f>
        <v>1665.0269383930663</v>
      </c>
      <c r="T107" s="41">
        <f>('CO2'!T107/Population!T107)*1000</f>
        <v>2928.3109490349552</v>
      </c>
      <c r="U107" s="41">
        <f>('CO2'!U107/Population!U107)*1000</f>
        <v>5563.7371338083922</v>
      </c>
      <c r="V107">
        <f>('CO2'!V107/Population!V107)*1000</f>
        <v>572.4331926863573</v>
      </c>
    </row>
    <row r="108" spans="1:22" ht="15.75" x14ac:dyDescent="0.25">
      <c r="A108" s="7">
        <v>1976</v>
      </c>
      <c r="B108" s="41">
        <f>('CO2'!B108/Population!B108)*1000</f>
        <v>2105.6040393759854</v>
      </c>
      <c r="C108" s="41">
        <f>('CO2'!C108/Population!C108)*1000</f>
        <v>3613.6989093874222</v>
      </c>
      <c r="D108">
        <f>('CO2'!D108/Population!D108)*1000</f>
        <v>379.1206329578954</v>
      </c>
      <c r="E108" s="41">
        <f>('CO2'!E108/Population!E108)*1000</f>
        <v>4630.3816307005427</v>
      </c>
      <c r="F108" s="41">
        <f>('CO2'!F108/Population!F108)*1000</f>
        <v>3224.3845163304945</v>
      </c>
      <c r="G108" s="41">
        <f>('CO2'!G108/Population!G108)*1000</f>
        <v>2959.1608713611467</v>
      </c>
      <c r="H108" s="41">
        <f>('CO2'!H108/Population!H108)*1000</f>
        <v>2545.8187928137522</v>
      </c>
      <c r="I108" s="43">
        <f>('CO2'!I108/Population!I108)*1000</f>
        <v>0</v>
      </c>
      <c r="J108" s="41">
        <f>('CO2'!J108/Population!J108)*1000</f>
        <v>1793.8686644649854</v>
      </c>
      <c r="K108">
        <f>('CO2'!K108/Population!K108)*1000</f>
        <v>2197.83063139056</v>
      </c>
      <c r="L108" s="41">
        <f>('CO2'!L108/Population!L108)*1000</f>
        <v>3360.4424370727684</v>
      </c>
      <c r="M108" s="45">
        <f>('CO2'!M108/Population!M108)*1000</f>
        <v>1663.5220624375702</v>
      </c>
      <c r="N108" s="41">
        <f>('CO2'!N108/Population!N108)*1000</f>
        <v>1979.0608998368666</v>
      </c>
      <c r="O108" s="41">
        <f>('CO2'!O108/Population!O108)*1000</f>
        <v>635.52474181482592</v>
      </c>
      <c r="P108" s="41">
        <f>('CO2'!P108/Population!P108)*1000</f>
        <v>1503.356689126083</v>
      </c>
      <c r="Q108">
        <f>('CO2'!Q108/Population!Q108)*1000</f>
        <v>52.879069065773145</v>
      </c>
      <c r="R108" s="41">
        <f>('CO2'!R108/Population!R108)*1000</f>
        <v>2928.9710532717099</v>
      </c>
      <c r="S108" s="41">
        <f>('CO2'!S108/Population!S108)*1000</f>
        <v>1743.1634912091033</v>
      </c>
      <c r="T108" s="41">
        <f>('CO2'!T108/Population!T108)*1000</f>
        <v>2905.828559228552</v>
      </c>
      <c r="U108" s="41">
        <f>('CO2'!U108/Population!U108)*1000</f>
        <v>5769.7342169835119</v>
      </c>
      <c r="V108">
        <f>('CO2'!V108/Population!V108)*1000</f>
        <v>562.04124432016772</v>
      </c>
    </row>
    <row r="109" spans="1:22" ht="15.75" x14ac:dyDescent="0.25">
      <c r="A109" s="7">
        <v>1977</v>
      </c>
      <c r="B109" s="41">
        <f>('CO2'!B109/Population!B109)*1000</f>
        <v>2025.651290954663</v>
      </c>
      <c r="C109" s="41">
        <f>('CO2'!C109/Population!C109)*1000</f>
        <v>3514.2234620945246</v>
      </c>
      <c r="D109">
        <f>('CO2'!D109/Population!D109)*1000</f>
        <v>388.5532424610704</v>
      </c>
      <c r="E109" s="41">
        <f>('CO2'!E109/Population!E109)*1000</f>
        <v>4563.0011262207727</v>
      </c>
      <c r="F109" s="41">
        <f>('CO2'!F109/Population!F109)*1000</f>
        <v>3294.9330627057243</v>
      </c>
      <c r="G109" s="41">
        <f>('CO2'!G109/Population!G109)*1000</f>
        <v>2889.9099411635862</v>
      </c>
      <c r="H109" s="41">
        <f>('CO2'!H109/Population!H109)*1000</f>
        <v>2411.4715509948878</v>
      </c>
      <c r="I109" s="43">
        <f>('CO2'!I109/Population!I109)*1000</f>
        <v>0</v>
      </c>
      <c r="J109" s="41">
        <f>('CO2'!J109/Population!J109)*1000</f>
        <v>1732.6312546663801</v>
      </c>
      <c r="K109">
        <f>('CO2'!K109/Population!K109)*1000</f>
        <v>2239.6545300285175</v>
      </c>
      <c r="L109" s="41">
        <f>('CO2'!L109/Population!L109)*1000</f>
        <v>3233.886925052781</v>
      </c>
      <c r="M109" s="45">
        <f>('CO2'!M109/Population!M109)*1000</f>
        <v>1749.1863881955196</v>
      </c>
      <c r="N109" s="41">
        <f>('CO2'!N109/Population!N109)*1000</f>
        <v>2104.5185688086553</v>
      </c>
      <c r="O109" s="41">
        <f>('CO2'!O109/Population!O109)*1000</f>
        <v>641.44226191708231</v>
      </c>
      <c r="P109" s="41">
        <f>('CO2'!P109/Population!P109)*1000</f>
        <v>1464.310217075112</v>
      </c>
      <c r="Q109">
        <f>('CO2'!Q109/Population!Q109)*1000</f>
        <v>54.317291299141885</v>
      </c>
      <c r="R109" s="41">
        <f>('CO2'!R109/Population!R109)*1000</f>
        <v>2835.5550169655844</v>
      </c>
      <c r="S109" s="41">
        <f>('CO2'!S109/Population!S109)*1000</f>
        <v>1773.7884600527134</v>
      </c>
      <c r="T109" s="41">
        <f>('CO2'!T109/Population!T109)*1000</f>
        <v>2935.5453105252855</v>
      </c>
      <c r="U109" s="41">
        <f>('CO2'!U109/Population!U109)*1000</f>
        <v>5871.9618232919693</v>
      </c>
      <c r="V109">
        <f>('CO2'!V109/Population!V109)*1000</f>
        <v>535.25529697811737</v>
      </c>
    </row>
    <row r="110" spans="1:22" ht="15.75" x14ac:dyDescent="0.25">
      <c r="A110" s="7">
        <v>1978</v>
      </c>
      <c r="B110" s="41">
        <f>('CO2'!B110/Population!B110)*1000</f>
        <v>2072.9129544497346</v>
      </c>
      <c r="C110" s="41">
        <f>('CO2'!C110/Population!C110)*1000</f>
        <v>3768.9858286621156</v>
      </c>
      <c r="D110">
        <f>('CO2'!D110/Population!D110)*1000</f>
        <v>411.64776847799197</v>
      </c>
      <c r="E110" s="41">
        <f>('CO2'!E110/Population!E110)*1000</f>
        <v>4604.2860173986846</v>
      </c>
      <c r="F110" s="41">
        <f>('CO2'!F110/Population!F110)*1000</f>
        <v>3247.4917455993013</v>
      </c>
      <c r="G110" s="41">
        <f>('CO2'!G110/Population!G110)*1000</f>
        <v>2978.8356849238971</v>
      </c>
      <c r="H110" s="41">
        <f>('CO2'!H110/Population!H110)*1000</f>
        <v>2526.4459177319513</v>
      </c>
      <c r="I110" s="43">
        <f>('CO2'!I110/Population!I110)*1000</f>
        <v>0</v>
      </c>
      <c r="J110" s="41">
        <f>('CO2'!J110/Population!J110)*1000</f>
        <v>1809.7749146903841</v>
      </c>
      <c r="K110">
        <f>('CO2'!K110/Population!K110)*1000</f>
        <v>2145.0331199076495</v>
      </c>
      <c r="L110" s="41">
        <f>('CO2'!L110/Population!L110)*1000</f>
        <v>3337.1472295485733</v>
      </c>
      <c r="M110" s="45">
        <f>('CO2'!M110/Population!M110)*1000</f>
        <v>1551.2666624549875</v>
      </c>
      <c r="N110" s="41">
        <f>('CO2'!N110/Population!N110)*1000</f>
        <v>2187.6619218458459</v>
      </c>
      <c r="O110" s="41">
        <f>('CO2'!O110/Population!O110)*1000</f>
        <v>639.46187046205807</v>
      </c>
      <c r="P110" s="41">
        <f>('CO2'!P110/Population!P110)*1000</f>
        <v>1483.2736379560051</v>
      </c>
      <c r="Q110">
        <f>('CO2'!Q110/Population!Q110)*1000</f>
        <v>63.261969054284563</v>
      </c>
      <c r="R110" s="41">
        <f>('CO2'!R110/Population!R110)*1000</f>
        <v>2620.710488158531</v>
      </c>
      <c r="S110" s="41">
        <f>('CO2'!S110/Population!S110)*1000</f>
        <v>1818.0618036790131</v>
      </c>
      <c r="T110" s="41">
        <f>('CO2'!T110/Population!T110)*1000</f>
        <v>2937.8104580981717</v>
      </c>
      <c r="U110" s="41">
        <f>('CO2'!U110/Population!U110)*1000</f>
        <v>5989.9499067771858</v>
      </c>
      <c r="V110">
        <f>('CO2'!V110/Population!V110)*1000</f>
        <v>540.55919917155677</v>
      </c>
    </row>
    <row r="111" spans="1:22" ht="15.75" x14ac:dyDescent="0.25">
      <c r="A111" s="7">
        <v>1979</v>
      </c>
      <c r="B111" s="41">
        <f>('CO2'!B111/Population!B111)*1000</f>
        <v>2224.9376608152274</v>
      </c>
      <c r="C111" s="41">
        <f>('CO2'!C111/Population!C111)*1000</f>
        <v>3887.4883096816166</v>
      </c>
      <c r="D111">
        <f>('CO2'!D111/Population!D111)*1000</f>
        <v>427.6067643067085</v>
      </c>
      <c r="E111" s="41">
        <f>('CO2'!E111/Population!E111)*1000</f>
        <v>4804.0318162533104</v>
      </c>
      <c r="F111" s="41">
        <f>('CO2'!F111/Population!F111)*1000</f>
        <v>3339.196372732958</v>
      </c>
      <c r="G111" s="41">
        <f>('CO2'!G111/Population!G111)*1000</f>
        <v>3109.7511065777626</v>
      </c>
      <c r="H111" s="41">
        <f>('CO2'!H111/Population!H111)*1000</f>
        <v>2631.5194397840833</v>
      </c>
      <c r="I111" s="43">
        <f>('CO2'!I111/Population!I111)*1000</f>
        <v>0</v>
      </c>
      <c r="J111" s="41">
        <f>('CO2'!J111/Population!J111)*1000</f>
        <v>1874.5306488413314</v>
      </c>
      <c r="K111">
        <f>('CO2'!K111/Population!K111)*1000</f>
        <v>2248.6757340647046</v>
      </c>
      <c r="L111" s="41">
        <f>('CO2'!L111/Population!L111)*1000</f>
        <v>3650.5340483914397</v>
      </c>
      <c r="M111" s="45">
        <f>('CO2'!M111/Population!M111)*1000</f>
        <v>1419.7911235404717</v>
      </c>
      <c r="N111" s="41">
        <f>('CO2'!N111/Population!N111)*1000</f>
        <v>2229.5793977041717</v>
      </c>
      <c r="O111" s="41">
        <f>('CO2'!O111/Population!O111)*1000</f>
        <v>701.93407208141048</v>
      </c>
      <c r="P111" s="41">
        <f>('CO2'!P111/Population!P111)*1000</f>
        <v>1493.6015884295095</v>
      </c>
      <c r="Q111">
        <f>('CO2'!Q111/Population!Q111)*1000</f>
        <v>69.069706743001092</v>
      </c>
      <c r="R111" s="41">
        <f>('CO2'!R111/Population!R111)*1000</f>
        <v>2792.3800337593443</v>
      </c>
      <c r="S111" s="41">
        <f>('CO2'!S111/Population!S111)*1000</f>
        <v>1713.7890420794729</v>
      </c>
      <c r="T111" s="41">
        <f>('CO2'!T111/Population!T111)*1000</f>
        <v>3127.6943871380809</v>
      </c>
      <c r="U111" s="41">
        <f>('CO2'!U111/Population!U111)*1000</f>
        <v>5937.8551909533226</v>
      </c>
      <c r="V111">
        <f>('CO2'!V111/Population!V111)*1000</f>
        <v>587.50857927247773</v>
      </c>
    </row>
    <row r="112" spans="1:22" ht="15.75" x14ac:dyDescent="0.25">
      <c r="A112" s="7">
        <v>1980</v>
      </c>
      <c r="B112" s="41">
        <f>('CO2'!B112/Population!B112)*1000</f>
        <v>1889.4134168751482</v>
      </c>
      <c r="C112" s="41">
        <f>('CO2'!C112/Population!C112)*1000</f>
        <v>3746.9025470203519</v>
      </c>
      <c r="D112">
        <f>('CO2'!D112/Population!D112)*1000</f>
        <v>414.72931230694195</v>
      </c>
      <c r="E112" s="41">
        <f>('CO2'!E112/Population!E112)*1000</f>
        <v>4751.944635327508</v>
      </c>
      <c r="F112" s="41">
        <f>('CO2'!F112/Population!F112)*1000</f>
        <v>3205.3315354379356</v>
      </c>
      <c r="G112" s="41">
        <f>('CO2'!G112/Population!G112)*1000</f>
        <v>3323.3358475249161</v>
      </c>
      <c r="H112" s="41">
        <f>('CO2'!H112/Population!H112)*1000</f>
        <v>2500.7076755579751</v>
      </c>
      <c r="I112" s="43">
        <f>('CO2'!I112/Population!I112)*1000</f>
        <v>0</v>
      </c>
      <c r="J112" s="41">
        <f>('CO2'!J112/Population!J112)*1000</f>
        <v>1879.0196078396636</v>
      </c>
      <c r="K112">
        <f>('CO2'!K112/Population!K112)*1000</f>
        <v>2212.2331403080266</v>
      </c>
      <c r="L112" s="41">
        <f>('CO2'!L112/Population!L112)*1000</f>
        <v>3422.4645661759087</v>
      </c>
      <c r="M112" s="45">
        <f>('CO2'!M112/Population!M112)*1000</f>
        <v>1501.8216803621281</v>
      </c>
      <c r="N112" s="41">
        <f>('CO2'!N112/Population!N112)*1000</f>
        <v>2338.4455725202051</v>
      </c>
      <c r="O112" s="41">
        <f>('CO2'!O112/Population!O112)*1000</f>
        <v>752.6232894925239</v>
      </c>
      <c r="P112" s="41">
        <f>('CO2'!P112/Population!P112)*1000</f>
        <v>1564.0054672970489</v>
      </c>
      <c r="Q112">
        <f>('CO2'!Q112/Population!Q112)*1000</f>
        <v>60.175465280549844</v>
      </c>
      <c r="R112" s="41">
        <f>('CO2'!R112/Population!R112)*1000</f>
        <v>2354.8736462093866</v>
      </c>
      <c r="S112" s="41">
        <f>('CO2'!S112/Population!S112)*1000</f>
        <v>1731.3396277564984</v>
      </c>
      <c r="T112" s="41">
        <f>('CO2'!T112/Population!T112)*1000</f>
        <v>2805.234932698796</v>
      </c>
      <c r="U112" s="41">
        <f>('CO2'!U112/Population!U112)*1000</f>
        <v>5653.6029367829778</v>
      </c>
      <c r="V112">
        <f>('CO2'!V112/Population!V112)*1000</f>
        <v>543.34470989761098</v>
      </c>
    </row>
    <row r="113" spans="1:22" ht="15.75" x14ac:dyDescent="0.25">
      <c r="A113" s="7">
        <v>1981</v>
      </c>
      <c r="B113" s="41">
        <f>('CO2'!B113/Population!B113)*1000</f>
        <v>2023.4964596413124</v>
      </c>
      <c r="C113" s="41">
        <f>('CO2'!C113/Population!C113)*1000</f>
        <v>3432.56465429743</v>
      </c>
      <c r="D113">
        <f>('CO2'!D113/Population!D113)*1000</f>
        <v>371.86488030986095</v>
      </c>
      <c r="E113" s="41">
        <f>('CO2'!E113/Population!E113)*1000</f>
        <v>4557.1084337349403</v>
      </c>
      <c r="F113" s="41">
        <f>('CO2'!F113/Population!F113)*1000</f>
        <v>2745.446124744512</v>
      </c>
      <c r="G113" s="41">
        <f>('CO2'!G113/Population!G113)*1000</f>
        <v>2926.4802819354481</v>
      </c>
      <c r="H113" s="41">
        <f>('CO2'!H113/Population!H113)*1000</f>
        <v>2238.2714489431219</v>
      </c>
      <c r="I113" s="43">
        <f>('CO2'!I113/Population!I113)*1000</f>
        <v>0</v>
      </c>
      <c r="J113" s="41">
        <f>('CO2'!J113/Population!J113)*1000</f>
        <v>1824.4682990867889</v>
      </c>
      <c r="K113">
        <f>('CO2'!K113/Population!K113)*1000</f>
        <v>2154.7820767038024</v>
      </c>
      <c r="L113" s="41">
        <f>('CO2'!L113/Population!L113)*1000</f>
        <v>3157.647429122278</v>
      </c>
      <c r="M113" s="45">
        <f>('CO2'!M113/Population!M113)*1000</f>
        <v>1414.870740397746</v>
      </c>
      <c r="N113" s="41">
        <f>('CO2'!N113/Population!N113)*1000</f>
        <v>2210.6484812798585</v>
      </c>
      <c r="O113" s="41">
        <f>('CO2'!O113/Population!O113)*1000</f>
        <v>753.80106088489242</v>
      </c>
      <c r="P113" s="41">
        <f>('CO2'!P113/Population!P113)*1000</f>
        <v>1497.3987306229271</v>
      </c>
      <c r="Q113">
        <f>('CO2'!Q113/Population!Q113)*1000</f>
        <v>70.778011622350206</v>
      </c>
      <c r="R113" s="41">
        <f>('CO2'!R113/Population!R113)*1000</f>
        <v>2275.7211538461538</v>
      </c>
      <c r="S113" s="41">
        <f>('CO2'!S113/Population!S113)*1000</f>
        <v>1649.2230116178634</v>
      </c>
      <c r="T113" s="41">
        <f>('CO2'!T113/Population!T113)*1000</f>
        <v>2712.4859112112199</v>
      </c>
      <c r="U113" s="41">
        <f>('CO2'!U113/Population!U113)*1000</f>
        <v>5373.9671358800379</v>
      </c>
      <c r="V113">
        <f>('CO2'!V113/Population!V113)*1000</f>
        <v>514.74719101123605</v>
      </c>
    </row>
    <row r="114" spans="1:22" ht="15.75" x14ac:dyDescent="0.25">
      <c r="A114" s="7">
        <v>1982</v>
      </c>
      <c r="B114" s="41">
        <f>('CO2'!B114/Population!B114)*1000</f>
        <v>1939.3730082315756</v>
      </c>
      <c r="C114" s="41">
        <f>('CO2'!C114/Population!C114)*1000</f>
        <v>3252.4365373101859</v>
      </c>
      <c r="D114">
        <f>('CO2'!D114/Population!D114)*1000</f>
        <v>363.89775862603466</v>
      </c>
      <c r="E114" s="41">
        <f>('CO2'!E114/Population!E114)*1000</f>
        <v>4331.3797769215817</v>
      </c>
      <c r="F114" s="41">
        <f>('CO2'!F114/Population!F114)*1000</f>
        <v>2848.8748116870302</v>
      </c>
      <c r="G114" s="41">
        <f>('CO2'!G114/Population!G114)*1000</f>
        <v>2434.0507730270961</v>
      </c>
      <c r="H114" s="41">
        <f>('CO2'!H114/Population!H114)*1000</f>
        <v>2139.1098263820313</v>
      </c>
      <c r="I114" s="43">
        <f>('CO2'!I114/Population!I114)*1000</f>
        <v>0</v>
      </c>
      <c r="J114" s="41">
        <f>('CO2'!J114/Population!J114)*1000</f>
        <v>1783.1761899698095</v>
      </c>
      <c r="K114">
        <f>('CO2'!K114/Population!K114)*1000</f>
        <v>2072.4076981351582</v>
      </c>
      <c r="L114" s="41">
        <f>('CO2'!L114/Population!L114)*1000</f>
        <v>2559.6766994859195</v>
      </c>
      <c r="M114" s="45">
        <f>('CO2'!M114/Population!M114)*1000</f>
        <v>1546.1610195834628</v>
      </c>
      <c r="N114" s="41">
        <f>('CO2'!N114/Population!N114)*1000</f>
        <v>2177.5124690536836</v>
      </c>
      <c r="O114" s="41">
        <f>('CO2'!O114/Population!O114)*1000</f>
        <v>809.15651164087978</v>
      </c>
      <c r="P114" s="41">
        <f>('CO2'!P114/Population!P114)*1000</f>
        <v>1507.0303246346884</v>
      </c>
      <c r="Q114">
        <f>('CO2'!Q114/Population!Q114)*1000</f>
        <v>77.301057958715319</v>
      </c>
      <c r="R114" s="41">
        <f>('CO2'!R114/Population!R114)*1000</f>
        <v>2040.4804804804803</v>
      </c>
      <c r="S114" s="41">
        <f>('CO2'!S114/Population!S114)*1000</f>
        <v>1544.342209783792</v>
      </c>
      <c r="T114" s="41">
        <f>('CO2'!T114/Population!T114)*1000</f>
        <v>2655.0192737966818</v>
      </c>
      <c r="U114" s="41">
        <f>('CO2'!U114/Population!U114)*1000</f>
        <v>5051.0139775410717</v>
      </c>
      <c r="V114">
        <f>('CO2'!V114/Population!V114)*1000</f>
        <v>447.77628032345012</v>
      </c>
    </row>
    <row r="115" spans="1:22" ht="15.75" x14ac:dyDescent="0.25">
      <c r="A115" s="7">
        <v>1983</v>
      </c>
      <c r="B115" s="41">
        <f>('CO2'!B115/Population!B115)*1000</f>
        <v>1876.8959614960938</v>
      </c>
      <c r="C115" s="41">
        <f>('CO2'!C115/Population!C115)*1000</f>
        <v>2811.9267172102536</v>
      </c>
      <c r="D115">
        <f>('CO2'!D115/Population!D115)*1000</f>
        <v>344.3543498029706</v>
      </c>
      <c r="E115" s="41">
        <f>('CO2'!E115/Population!E115)*1000</f>
        <v>4254.6638749543336</v>
      </c>
      <c r="F115" s="41">
        <f>('CO2'!F115/Population!F115)*1000</f>
        <v>2664.100266370921</v>
      </c>
      <c r="G115" s="41">
        <f>('CO2'!G115/Population!G115)*1000</f>
        <v>2334.9459109306072</v>
      </c>
      <c r="H115" s="41">
        <f>('CO2'!H115/Population!H115)*1000</f>
        <v>2060.558922920131</v>
      </c>
      <c r="I115" s="43">
        <f>('CO2'!I115/Population!I115)*1000</f>
        <v>0</v>
      </c>
      <c r="J115" s="41">
        <f>('CO2'!J115/Population!J115)*1000</f>
        <v>1740.1514306986655</v>
      </c>
      <c r="K115">
        <f>('CO2'!K115/Population!K115)*1000</f>
        <v>2020.8359441823859</v>
      </c>
      <c r="L115" s="41">
        <f>('CO2'!L115/Population!L115)*1000</f>
        <v>2625.1218373889401</v>
      </c>
      <c r="M115" s="45">
        <f>('CO2'!M115/Population!M115)*1000</f>
        <v>1503.683241252302</v>
      </c>
      <c r="N115" s="41">
        <f>('CO2'!N115/Population!N115)*1000</f>
        <v>1987.6795839195124</v>
      </c>
      <c r="O115" s="41">
        <f>('CO2'!O115/Population!O115)*1000</f>
        <v>833.65046828770312</v>
      </c>
      <c r="P115" s="41">
        <f>('CO2'!P115/Population!P115)*1000</f>
        <v>1463.1195558913087</v>
      </c>
      <c r="Q115">
        <f>('CO2'!Q115/Population!Q115)*1000</f>
        <v>82.992998685289535</v>
      </c>
      <c r="R115" s="41">
        <f>('CO2'!R115/Population!R115)*1000</f>
        <v>1908.7525513266899</v>
      </c>
      <c r="S115" s="41">
        <f>('CO2'!S115/Population!S115)*1000</f>
        <v>1680.7994618734476</v>
      </c>
      <c r="T115" s="41">
        <f>('CO2'!T115/Population!T115)*1000</f>
        <v>2639.5543889471051</v>
      </c>
      <c r="U115" s="41">
        <f>('CO2'!U115/Population!U115)*1000</f>
        <v>5045.2780140049217</v>
      </c>
      <c r="V115">
        <f>('CO2'!V115/Population!V115)*1000</f>
        <v>348.2770157243225</v>
      </c>
    </row>
    <row r="116" spans="1:22" ht="15.75" x14ac:dyDescent="0.25">
      <c r="A116" s="7">
        <v>1984</v>
      </c>
      <c r="B116" s="41">
        <f>('CO2'!B116/Population!B116)*1000</f>
        <v>1969.2533834463047</v>
      </c>
      <c r="C116" s="41">
        <f>('CO2'!C116/Population!C116)*1000</f>
        <v>2916.9076537497594</v>
      </c>
      <c r="D116">
        <f>('CO2'!D116/Population!D116)*1000</f>
        <v>341.75457872738474</v>
      </c>
      <c r="E116" s="41">
        <f>('CO2'!E116/Population!E116)*1000</f>
        <v>4315.3397816495344</v>
      </c>
      <c r="F116" s="41">
        <f>('CO2'!F116/Population!F116)*1000</f>
        <v>2699.3404633639561</v>
      </c>
      <c r="G116" s="41">
        <f>('CO2'!G116/Population!G116)*1000</f>
        <v>2360.4056546494853</v>
      </c>
      <c r="H116" s="41">
        <f>('CO2'!H116/Population!H116)*1000</f>
        <v>1965.2597518045727</v>
      </c>
      <c r="I116" s="43">
        <f>('CO2'!I116/Population!I116)*1000</f>
        <v>0</v>
      </c>
      <c r="J116" s="41">
        <f>('CO2'!J116/Population!J116)*1000</f>
        <v>1768.331047996345</v>
      </c>
      <c r="K116">
        <f>('CO2'!K116/Population!K116)*1000</f>
        <v>2135.8491036970754</v>
      </c>
      <c r="L116" s="41">
        <f>('CO2'!L116/Population!L116)*1000</f>
        <v>2743.1996983083659</v>
      </c>
      <c r="M116" s="45">
        <f>('CO2'!M116/Population!M116)*1000</f>
        <v>1595.5124317768345</v>
      </c>
      <c r="N116" s="41">
        <f>('CO2'!N116/Population!N116)*1000</f>
        <v>2180.1432092741829</v>
      </c>
      <c r="O116" s="41">
        <f>('CO2'!O116/Population!O116)*1000</f>
        <v>801.78955057601684</v>
      </c>
      <c r="P116" s="41">
        <f>('CO2'!P116/Population!P116)*1000</f>
        <v>1414.2584412565061</v>
      </c>
      <c r="Q116">
        <f>('CO2'!Q116/Population!Q116)*1000</f>
        <v>64.217645995156644</v>
      </c>
      <c r="R116" s="41">
        <f>('CO2'!R116/Population!R116)*1000</f>
        <v>1875.374835072568</v>
      </c>
      <c r="S116" s="41">
        <f>('CO2'!S116/Population!S116)*1000</f>
        <v>1636.0669214620493</v>
      </c>
      <c r="T116" s="41">
        <f>('CO2'!T116/Population!T116)*1000</f>
        <v>2556.5941181067101</v>
      </c>
      <c r="U116" s="41">
        <f>('CO2'!U116/Population!U116)*1000</f>
        <v>5157.9344605545111</v>
      </c>
      <c r="V116">
        <f>('CO2'!V116/Population!V116)*1000</f>
        <v>312.83244680851061</v>
      </c>
    </row>
    <row r="117" spans="1:22" ht="15.75" x14ac:dyDescent="0.25">
      <c r="A117" s="7">
        <v>1985</v>
      </c>
      <c r="B117" s="41">
        <f>('CO2'!B117/Population!B117)*1000</f>
        <v>1973.2066135292898</v>
      </c>
      <c r="C117" s="41">
        <f>('CO2'!C117/Population!C117)*1000</f>
        <v>2889.2698464222676</v>
      </c>
      <c r="D117">
        <f>('CO2'!D117/Population!D117)*1000</f>
        <v>359.77784571486802</v>
      </c>
      <c r="E117" s="41">
        <f>('CO2'!E117/Population!E117)*1000</f>
        <v>4224.3732075122589</v>
      </c>
      <c r="F117" s="41">
        <f>('CO2'!F117/Population!F117)*1000</f>
        <v>3187.3259451930121</v>
      </c>
      <c r="G117" s="41">
        <f>('CO2'!G117/Population!G117)*1000</f>
        <v>2763.0762112480293</v>
      </c>
      <c r="H117" s="41">
        <f>('CO2'!H117/Population!H117)*1000</f>
        <v>1935.227473889184</v>
      </c>
      <c r="I117" s="43">
        <f>('CO2'!I117/Population!I117)*1000</f>
        <v>0</v>
      </c>
      <c r="J117" s="41">
        <f>('CO2'!J117/Population!J117)*1000</f>
        <v>1788.8211983473298</v>
      </c>
      <c r="K117">
        <f>('CO2'!K117/Population!K117)*1000</f>
        <v>2067.2632580851032</v>
      </c>
      <c r="L117" s="41">
        <f>('CO2'!L117/Population!L117)*1000</f>
        <v>2784.1378805883223</v>
      </c>
      <c r="M117" s="45">
        <f>('CO2'!M117/Population!M117)*1000</f>
        <v>1788.8086642599278</v>
      </c>
      <c r="N117" s="41">
        <f>('CO2'!N117/Population!N117)*1000</f>
        <v>2290.7129555085844</v>
      </c>
      <c r="O117" s="41">
        <f>('CO2'!O117/Population!O117)*1000</f>
        <v>755.16368683157816</v>
      </c>
      <c r="P117" s="41">
        <f>('CO2'!P117/Population!P117)*1000</f>
        <v>1424.0874358596877</v>
      </c>
      <c r="Q117">
        <f>('CO2'!Q117/Population!Q117)*1000</f>
        <v>64.924194362405487</v>
      </c>
      <c r="R117" s="41">
        <f>('CO2'!R117/Population!R117)*1000</f>
        <v>2037.7245508982039</v>
      </c>
      <c r="S117" s="41">
        <f>('CO2'!S117/Population!S117)*1000</f>
        <v>1654.6893020322161</v>
      </c>
      <c r="T117" s="41">
        <f>('CO2'!T117/Population!T117)*1000</f>
        <v>2696.4562495672926</v>
      </c>
      <c r="U117" s="41">
        <f>('CO2'!U117/Population!U117)*1000</f>
        <v>5130.5743713881766</v>
      </c>
      <c r="V117">
        <f>('CO2'!V117/Population!V117)*1000</f>
        <v>298.47277556440906</v>
      </c>
    </row>
    <row r="118" spans="1:22" ht="15.75" x14ac:dyDescent="0.25">
      <c r="A118" s="7">
        <v>1986</v>
      </c>
      <c r="B118" s="41">
        <f>('CO2'!B118/Population!B118)*1000</f>
        <v>1948.6691889609237</v>
      </c>
      <c r="C118" s="41">
        <f>('CO2'!C118/Population!C118)*1000</f>
        <v>2844.5111440102214</v>
      </c>
      <c r="D118">
        <f>('CO2'!D118/Population!D118)*1000</f>
        <v>386.85839824246057</v>
      </c>
      <c r="E118" s="41">
        <f>('CO2'!E118/Population!E118)*1000</f>
        <v>4029.7972049855366</v>
      </c>
      <c r="F118" s="41">
        <f>('CO2'!F118/Population!F118)*1000</f>
        <v>3119.2059265693779</v>
      </c>
      <c r="G118" s="41">
        <f>('CO2'!G118/Population!G118)*1000</f>
        <v>2957.4656128276283</v>
      </c>
      <c r="H118" s="41">
        <f>('CO2'!H118/Population!H118)*1000</f>
        <v>1853.8210665491406</v>
      </c>
      <c r="I118" s="43">
        <f>('CO2'!I118/Population!I118)*1000</f>
        <v>0</v>
      </c>
      <c r="J118" s="41">
        <f>('CO2'!J118/Population!J118)*1000</f>
        <v>1761.4357203751772</v>
      </c>
      <c r="K118">
        <f>('CO2'!K118/Population!K118)*1000</f>
        <v>2054.5565036909084</v>
      </c>
      <c r="L118" s="41">
        <f>('CO2'!L118/Population!L118)*1000</f>
        <v>2715.3677889770534</v>
      </c>
      <c r="M118" s="45">
        <f>('CO2'!M118/Population!M118)*1000</f>
        <v>1868.6022149057169</v>
      </c>
      <c r="N118" s="41">
        <f>('CO2'!N118/Population!N118)*1000</f>
        <v>2202.0373465533976</v>
      </c>
      <c r="O118" s="41">
        <f>('CO2'!O118/Population!O118)*1000</f>
        <v>840.07820004640962</v>
      </c>
      <c r="P118" s="41">
        <f>('CO2'!P118/Population!P118)*1000</f>
        <v>1341.8827063119149</v>
      </c>
      <c r="Q118">
        <f>('CO2'!Q118/Population!Q118)*1000</f>
        <v>58.878009209689679</v>
      </c>
      <c r="R118" s="41">
        <f>('CO2'!R118/Population!R118)*1000</f>
        <v>2021.2664277180409</v>
      </c>
      <c r="S118" s="41">
        <f>('CO2'!S118/Population!S118)*1000</f>
        <v>1746.7309749587776</v>
      </c>
      <c r="T118" s="41">
        <f>('CO2'!T118/Population!T118)*1000</f>
        <v>2730.9368609834519</v>
      </c>
      <c r="U118" s="41">
        <f>('CO2'!U118/Population!U118)*1000</f>
        <v>5089.3461772018954</v>
      </c>
      <c r="V118">
        <f>('CO2'!V118/Population!V118)*1000</f>
        <v>286.04420983173873</v>
      </c>
    </row>
    <row r="119" spans="1:22" ht="15.75" x14ac:dyDescent="0.25">
      <c r="A119" s="7">
        <v>1987</v>
      </c>
      <c r="B119" s="41">
        <f>('CO2'!B119/Population!B119)*1000</f>
        <v>2077.7413301107031</v>
      </c>
      <c r="C119" s="41">
        <f>('CO2'!C119/Population!C119)*1000</f>
        <v>2848.9797572490929</v>
      </c>
      <c r="D119">
        <f>('CO2'!D119/Population!D119)*1000</f>
        <v>395.68752752976712</v>
      </c>
      <c r="E119" s="41">
        <f>('CO2'!E119/Population!E119)*1000</f>
        <v>4229.2756603652779</v>
      </c>
      <c r="F119" s="41">
        <f>('CO2'!F119/Population!F119)*1000</f>
        <v>3090.6818458427342</v>
      </c>
      <c r="G119" s="41">
        <f>('CO2'!G119/Population!G119)*1000</f>
        <v>3188.131383537092</v>
      </c>
      <c r="H119" s="41">
        <f>('CO2'!H119/Population!H119)*1000</f>
        <v>1806.3661408341959</v>
      </c>
      <c r="I119" s="43">
        <f>('CO2'!I119/Population!I119)*1000</f>
        <v>0</v>
      </c>
      <c r="J119" s="41">
        <f>('CO2'!J119/Population!J119)*1000</f>
        <v>1844.3248327952642</v>
      </c>
      <c r="K119">
        <f>('CO2'!K119/Population!K119)*1000</f>
        <v>2023.0266155273523</v>
      </c>
      <c r="L119" s="41">
        <f>('CO2'!L119/Population!L119)*1000</f>
        <v>2837.0413435053874</v>
      </c>
      <c r="M119" s="45">
        <f>('CO2'!M119/Population!M119)*1000</f>
        <v>1961.5155131264917</v>
      </c>
      <c r="N119" s="41">
        <f>('CO2'!N119/Population!N119)*1000</f>
        <v>2288.7395019811775</v>
      </c>
      <c r="O119" s="41">
        <f>('CO2'!O119/Population!O119)*1000</f>
        <v>867.34738644531683</v>
      </c>
      <c r="P119" s="41">
        <f>('CO2'!P119/Population!P119)*1000</f>
        <v>1338.7875558419703</v>
      </c>
      <c r="Q119">
        <f>('CO2'!Q119/Population!Q119)*1000</f>
        <v>64.813807933642181</v>
      </c>
      <c r="R119" s="41">
        <f>('CO2'!R119/Population!R119)*1000</f>
        <v>1939.1521790902596</v>
      </c>
      <c r="S119" s="41">
        <f>('CO2'!S119/Population!S119)*1000</f>
        <v>1650.6910887343079</v>
      </c>
      <c r="T119" s="41">
        <f>('CO2'!T119/Population!T119)*1000</f>
        <v>2736.8474255382698</v>
      </c>
      <c r="U119" s="41">
        <f>('CO2'!U119/Population!U119)*1000</f>
        <v>5261.274348919791</v>
      </c>
      <c r="V119">
        <f>('CO2'!V119/Population!V119)*1000</f>
        <v>318.4650705149229</v>
      </c>
    </row>
    <row r="120" spans="1:22" ht="15.75" x14ac:dyDescent="0.25">
      <c r="A120" s="7">
        <v>1988</v>
      </c>
      <c r="B120" s="41">
        <f>('CO2'!B120/Population!B120)*1000</f>
        <v>1914.0000034211466</v>
      </c>
      <c r="C120" s="41">
        <f>('CO2'!C120/Population!C120)*1000</f>
        <v>2768.8182921893972</v>
      </c>
      <c r="D120">
        <f>('CO2'!D120/Population!D120)*1000</f>
        <v>391.39525477641513</v>
      </c>
      <c r="E120" s="41">
        <f>('CO2'!E120/Population!E120)*1000</f>
        <v>4404.048366226928</v>
      </c>
      <c r="F120" s="41">
        <f>('CO2'!F120/Population!F120)*1000</f>
        <v>2916.4544959017576</v>
      </c>
      <c r="G120" s="41">
        <f>('CO2'!G120/Population!G120)*1000</f>
        <v>2876.9063724759853</v>
      </c>
      <c r="H120" s="41">
        <f>('CO2'!H120/Population!H120)*1000</f>
        <v>1772.8058684831019</v>
      </c>
      <c r="I120" s="43">
        <f>('CO2'!I120/Population!I120)*1000</f>
        <v>0</v>
      </c>
      <c r="J120" s="41">
        <f>('CO2'!J120/Population!J120)*1000</f>
        <v>1873.5493604217447</v>
      </c>
      <c r="K120">
        <f>('CO2'!K120/Population!K120)*1000</f>
        <v>2199.8075244876154</v>
      </c>
      <c r="L120" s="41">
        <f>('CO2'!L120/Population!L120)*1000</f>
        <v>2714.1169239457204</v>
      </c>
      <c r="M120" s="45">
        <f>('CO2'!M120/Population!M120)*1000</f>
        <v>2060.6962213626898</v>
      </c>
      <c r="N120" s="41">
        <f>('CO2'!N120/Population!N120)*1000</f>
        <v>2167.4001818601291</v>
      </c>
      <c r="O120" s="41">
        <f>('CO2'!O120/Population!O120)*1000</f>
        <v>905.08538234187381</v>
      </c>
      <c r="P120" s="41">
        <f>('CO2'!P120/Population!P120)*1000</f>
        <v>1389.7978538931893</v>
      </c>
      <c r="Q120">
        <f>('CO2'!Q120/Population!Q120)*1000</f>
        <v>54.487114448202007</v>
      </c>
      <c r="R120" s="41">
        <f>('CO2'!R120/Population!R120)*1000</f>
        <v>1856.9227121858701</v>
      </c>
      <c r="S120" s="41">
        <f>('CO2'!S120/Population!S120)*1000</f>
        <v>1655.9985871357758</v>
      </c>
      <c r="T120" s="41">
        <f>('CO2'!T120/Population!T120)*1000</f>
        <v>2721.6249210128349</v>
      </c>
      <c r="U120" s="41">
        <f>('CO2'!U120/Population!U120)*1000</f>
        <v>5440.9570912034651</v>
      </c>
      <c r="V120">
        <f>('CO2'!V120/Population!V120)*1000</f>
        <v>427.31421121251628</v>
      </c>
    </row>
    <row r="121" spans="1:22" ht="15.75" x14ac:dyDescent="0.25">
      <c r="A121" s="7">
        <v>1989</v>
      </c>
      <c r="B121" s="41">
        <f>('CO2'!B121/Population!B121)*1000</f>
        <v>1934.7494664624853</v>
      </c>
      <c r="C121" s="41">
        <f>('CO2'!C121/Population!C121)*1000</f>
        <v>2948.8723594611506</v>
      </c>
      <c r="D121">
        <f>('CO2'!D121/Population!D121)*1000</f>
        <v>392.60993279922508</v>
      </c>
      <c r="E121" s="41">
        <f>('CO2'!E121/Population!E121)*1000</f>
        <v>4386.1603474157491</v>
      </c>
      <c r="F121" s="41">
        <f>('CO2'!F121/Population!F121)*1000</f>
        <v>2591.8673076162477</v>
      </c>
      <c r="G121" s="41">
        <f>('CO2'!G121/Population!G121)*1000</f>
        <v>2889.7069002936259</v>
      </c>
      <c r="H121" s="41">
        <f>('CO2'!H121/Population!H121)*1000</f>
        <v>1842.4274917417547</v>
      </c>
      <c r="I121" s="43">
        <f>('CO2'!I121/Population!I121)*1000</f>
        <v>0</v>
      </c>
      <c r="J121" s="41">
        <f>('CO2'!J121/Population!J121)*1000</f>
        <v>1965.3658163364851</v>
      </c>
      <c r="K121">
        <f>('CO2'!K121/Population!K121)*1000</f>
        <v>2271.7543610259327</v>
      </c>
      <c r="L121" s="41">
        <f>('CO2'!L121/Population!L121)*1000</f>
        <v>2995.3719825977764</v>
      </c>
      <c r="M121" s="45">
        <f>('CO2'!M121/Population!M121)*1000</f>
        <v>2050.9177027827118</v>
      </c>
      <c r="N121" s="41">
        <f>('CO2'!N121/Population!N121)*1000</f>
        <v>2405.9768933462246</v>
      </c>
      <c r="O121" s="41">
        <f>('CO2'!O121/Population!O121)*1000</f>
        <v>1132.5036301487823</v>
      </c>
      <c r="P121" s="41">
        <f>('CO2'!P121/Population!P121)*1000</f>
        <v>1576.3037586865457</v>
      </c>
      <c r="Q121">
        <f>('CO2'!Q121/Population!Q121)*1000</f>
        <v>54.018444323638612</v>
      </c>
      <c r="R121" s="41">
        <f>('CO2'!R121/Population!R121)*1000</f>
        <v>1783.1155068880253</v>
      </c>
      <c r="S121" s="41">
        <f>('CO2'!S121/Population!S121)*1000</f>
        <v>1591.2998493565533</v>
      </c>
      <c r="T121" s="41">
        <f>('CO2'!T121/Population!T121)*1000</f>
        <v>2767.3521354021368</v>
      </c>
      <c r="U121" s="41">
        <f>('CO2'!U121/Population!U121)*1000</f>
        <v>5458.7358960345464</v>
      </c>
      <c r="V121">
        <f>('CO2'!V121/Population!V121)*1000</f>
        <v>431.02331606217615</v>
      </c>
    </row>
    <row r="122" spans="1:22" ht="15.75" x14ac:dyDescent="0.25">
      <c r="A122" s="7">
        <v>1990</v>
      </c>
      <c r="B122" s="41">
        <f>('CO2'!B122/Population!B122)*1000</f>
        <v>2144.2575139328183</v>
      </c>
      <c r="C122" s="41">
        <f>('CO2'!C122/Population!C122)*1000</f>
        <v>2967.1060484627324</v>
      </c>
      <c r="D122">
        <f>('CO2'!D122/Population!D122)*1000</f>
        <v>376.82079777733679</v>
      </c>
      <c r="E122" s="41">
        <f>('CO2'!E122/Population!E122)*1000</f>
        <v>4416.4933466711773</v>
      </c>
      <c r="F122" s="41">
        <f>('CO2'!F122/Population!F122)*1000</f>
        <v>2638.8098395745224</v>
      </c>
      <c r="G122" s="41">
        <f>('CO2'!G122/Population!G122)*1000</f>
        <v>2829.8797276047744</v>
      </c>
      <c r="H122" s="41">
        <f>('CO2'!H122/Population!H122)*1000</f>
        <v>1870.7192958327603</v>
      </c>
      <c r="I122" s="43">
        <f>('CO2'!I122/Population!I122)*1000</f>
        <v>0</v>
      </c>
      <c r="J122" s="41">
        <f>('CO2'!J122/Population!J122)*1000</f>
        <v>2006.7185162206945</v>
      </c>
      <c r="K122">
        <f>('CO2'!K122/Population!K122)*1000</f>
        <v>2416.790400451931</v>
      </c>
      <c r="L122" s="41">
        <f>('CO2'!L122/Population!L122)*1000</f>
        <v>2981.7724096094639</v>
      </c>
      <c r="M122" s="45">
        <f>('CO2'!M122/Population!M122)*1000</f>
        <v>1890.1581722319861</v>
      </c>
      <c r="N122" s="41">
        <f>('CO2'!N122/Population!N122)*1000</f>
        <v>2016.2630604482877</v>
      </c>
      <c r="O122" s="41">
        <f>('CO2'!O122/Population!O122)*1000</f>
        <v>1159.6654898687241</v>
      </c>
      <c r="P122" s="41">
        <f>('CO2'!P122/Population!P122)*1000</f>
        <v>1516.7429129529844</v>
      </c>
      <c r="Q122">
        <f>('CO2'!Q122/Population!Q122)*1000</f>
        <v>59.256853409255811</v>
      </c>
      <c r="R122" s="41">
        <f>('CO2'!R122/Population!R122)*1000</f>
        <v>1629.0454492347237</v>
      </c>
      <c r="S122" s="41">
        <f>('CO2'!S122/Population!S122)*1000</f>
        <v>1709.7615110143511</v>
      </c>
      <c r="T122" s="41">
        <f>('CO2'!T122/Population!T122)*1000</f>
        <v>2708.6109344866873</v>
      </c>
      <c r="U122" s="41">
        <f>('CO2'!U122/Population!U122)*1000</f>
        <v>5198.3894544851601</v>
      </c>
      <c r="V122">
        <f>('CO2'!V122/Population!V122)*1000</f>
        <v>350.16077170418009</v>
      </c>
    </row>
    <row r="123" spans="1:22" ht="15.75" x14ac:dyDescent="0.25">
      <c r="A123" s="7">
        <v>1991</v>
      </c>
      <c r="B123" s="41">
        <f>('CO2'!B123/Population!B123)*1000</f>
        <v>2288.1852260999435</v>
      </c>
      <c r="C123" s="41">
        <f>('CO2'!C123/Population!C123)*1000</f>
        <v>3204.9619335804027</v>
      </c>
      <c r="D123">
        <f>('CO2'!D123/Population!D123)*1000</f>
        <v>389.44160850088548</v>
      </c>
      <c r="E123" s="41">
        <f>('CO2'!E123/Population!E123)*1000</f>
        <v>4355.2081258713406</v>
      </c>
      <c r="F123" s="41">
        <f>('CO2'!F123/Population!F123)*1000</f>
        <v>3238.6224301328275</v>
      </c>
      <c r="G123" s="41">
        <f>('CO2'!G123/Population!G123)*1000</f>
        <v>2923.3397675927931</v>
      </c>
      <c r="H123" s="41">
        <f>('CO2'!H123/Population!H123)*1000</f>
        <v>1993.129849266842</v>
      </c>
      <c r="I123" s="43">
        <f>('CO2'!I123/Population!I123)*1000</f>
        <v>3170.6994692604703</v>
      </c>
      <c r="J123" s="41">
        <f>('CO2'!J123/Population!J123)*1000</f>
        <v>2036.602095085768</v>
      </c>
      <c r="K123">
        <f>('CO2'!K123/Population!K123)*1000</f>
        <v>2421.3395436803312</v>
      </c>
      <c r="L123" s="41">
        <f>('CO2'!L123/Population!L123)*1000</f>
        <v>2969.955303984676</v>
      </c>
      <c r="M123" s="45">
        <f>('CO2'!M123/Population!M123)*1000</f>
        <v>1908.2489146164978</v>
      </c>
      <c r="N123" s="41">
        <f>('CO2'!N123/Population!N123)*1000</f>
        <v>2049.1663837223023</v>
      </c>
      <c r="O123" s="41">
        <f>('CO2'!O123/Population!O123)*1000</f>
        <v>1207.8827632881471</v>
      </c>
      <c r="P123" s="41">
        <f>('CO2'!P123/Population!P123)*1000</f>
        <v>1560.8156807745734</v>
      </c>
      <c r="Q123">
        <f>('CO2'!Q123/Population!Q123)*1000</f>
        <v>63.101370871587129</v>
      </c>
      <c r="R123" s="41">
        <f>('CO2'!R123/Population!R123)*1000</f>
        <v>1684.4609492862946</v>
      </c>
      <c r="S123" s="41">
        <f>('CO2'!S123/Population!S123)*1000</f>
        <v>1654.9234007295938</v>
      </c>
      <c r="T123" s="41">
        <f>('CO2'!T123/Population!T123)*1000</f>
        <v>2763.4130726637486</v>
      </c>
      <c r="U123" s="41">
        <f>('CO2'!U123/Population!U123)*1000</f>
        <v>5192.4770335318362</v>
      </c>
      <c r="V123">
        <f>('CO2'!V123/Population!V123)*1000</f>
        <v>396.67837751517089</v>
      </c>
    </row>
    <row r="124" spans="1:22" ht="15.75" x14ac:dyDescent="0.25">
      <c r="A124" s="7">
        <v>1992</v>
      </c>
      <c r="B124" s="41">
        <f>('CO2'!B124/Population!B124)*1000</f>
        <v>2085.9209934997848</v>
      </c>
      <c r="C124" s="41">
        <f>('CO2'!C124/Population!C124)*1000</f>
        <v>3104.835121210016</v>
      </c>
      <c r="D124">
        <f>('CO2'!D124/Population!D124)*1000</f>
        <v>385.73497744052503</v>
      </c>
      <c r="E124" s="41">
        <f>('CO2'!E124/Population!E124)*1000</f>
        <v>4467.647574005955</v>
      </c>
      <c r="F124" s="41">
        <f>('CO2'!F124/Population!F124)*1000</f>
        <v>2864.4119679165751</v>
      </c>
      <c r="G124" s="41">
        <f>('CO2'!G124/Population!G124)*1000</f>
        <v>2588.9504128018052</v>
      </c>
      <c r="H124" s="41">
        <f>('CO2'!H124/Population!H124)*1000</f>
        <v>1839.5317623473047</v>
      </c>
      <c r="I124" s="43">
        <f>('CO2'!I124/Population!I124)*1000</f>
        <v>3017.9993578978201</v>
      </c>
      <c r="J124" s="41">
        <f>('CO2'!J124/Population!J124)*1000</f>
        <v>2017.5807725032669</v>
      </c>
      <c r="K124">
        <f>('CO2'!K124/Population!K124)*1000</f>
        <v>2464.4317662641447</v>
      </c>
      <c r="L124" s="41">
        <f>('CO2'!L124/Population!L124)*1000</f>
        <v>2881.5274092073382</v>
      </c>
      <c r="M124" s="45">
        <f>('CO2'!M124/Population!M124)*1000</f>
        <v>1961.3623354321694</v>
      </c>
      <c r="N124" s="41">
        <f>('CO2'!N124/Population!N124)*1000</f>
        <v>1883.1842518017047</v>
      </c>
      <c r="O124" s="41">
        <f>('CO2'!O124/Population!O124)*1000</f>
        <v>1323.8742586384733</v>
      </c>
      <c r="P124" s="41">
        <f>('CO2'!P124/Population!P124)*1000</f>
        <v>1613.8788116281198</v>
      </c>
      <c r="Q124">
        <f>('CO2'!Q124/Population!Q124)*1000</f>
        <v>77.665594141795182</v>
      </c>
      <c r="R124" s="41">
        <f>('CO2'!R124/Population!R124)*1000</f>
        <v>1737.5403784033226</v>
      </c>
      <c r="S124" s="41">
        <f>('CO2'!S124/Population!S124)*1000</f>
        <v>1678.8062292516831</v>
      </c>
      <c r="T124" s="41">
        <f>('CO2'!T124/Population!T124)*1000</f>
        <v>2724.1912220866047</v>
      </c>
      <c r="U124" s="41">
        <f>('CO2'!U124/Population!U124)*1000</f>
        <v>5225.0889956876372</v>
      </c>
      <c r="V124">
        <f>('CO2'!V124/Population!V124)*1000</f>
        <v>447.19314938154139</v>
      </c>
    </row>
    <row r="125" spans="1:22" ht="15.75" x14ac:dyDescent="0.25">
      <c r="A125" s="7">
        <v>1993</v>
      </c>
      <c r="B125" s="41">
        <f>('CO2'!B125/Population!B125)*1000</f>
        <v>2057.8076331031257</v>
      </c>
      <c r="C125" s="41">
        <f>('CO2'!C125/Population!C125)*1000</f>
        <v>2945.2399928371892</v>
      </c>
      <c r="D125">
        <f>('CO2'!D125/Population!D125)*1000</f>
        <v>396.96048248713032</v>
      </c>
      <c r="E125" s="41">
        <f>('CO2'!E125/Population!E125)*1000</f>
        <v>4501.4333575104483</v>
      </c>
      <c r="F125" s="41">
        <f>('CO2'!F125/Population!F125)*1000</f>
        <v>3004.2097870127623</v>
      </c>
      <c r="G125" s="41">
        <f>('CO2'!G125/Population!G125)*1000</f>
        <v>2722.6889030781986</v>
      </c>
      <c r="H125" s="41">
        <f>('CO2'!H125/Population!H125)*1000</f>
        <v>1793.3377275262383</v>
      </c>
      <c r="I125" s="43">
        <f>('CO2'!I125/Population!I125)*1000</f>
        <v>2949.9482031022135</v>
      </c>
      <c r="J125" s="41">
        <f>('CO2'!J125/Population!J125)*1000</f>
        <v>1969.7950151320224</v>
      </c>
      <c r="K125">
        <f>('CO2'!K125/Population!K125)*1000</f>
        <v>2424.9041769084338</v>
      </c>
      <c r="L125" s="41">
        <f>('CO2'!L125/Population!L125)*1000</f>
        <v>2957.4580381385413</v>
      </c>
      <c r="M125" s="45">
        <f>('CO2'!M125/Population!M125)*1000</f>
        <v>2074.3567995476392</v>
      </c>
      <c r="N125" s="41">
        <f>('CO2'!N125/Population!N125)*1000</f>
        <v>2036.1951073803027</v>
      </c>
      <c r="O125" s="41">
        <f>('CO2'!O125/Population!O125)*1000</f>
        <v>1280.7198195154172</v>
      </c>
      <c r="P125" s="41">
        <f>('CO2'!P125/Population!P125)*1000</f>
        <v>1509.8824967566156</v>
      </c>
      <c r="Q125">
        <f>('CO2'!Q125/Population!Q125)*1000</f>
        <v>74.289540288323423</v>
      </c>
      <c r="R125" s="41">
        <f>('CO2'!R125/Population!R125)*1000</f>
        <v>1627.4802156210576</v>
      </c>
      <c r="S125" s="41">
        <f>('CO2'!S125/Population!S125)*1000</f>
        <v>1574.9033289030322</v>
      </c>
      <c r="T125" s="41">
        <f>('CO2'!T125/Population!T125)*1000</f>
        <v>2625.0919400857397</v>
      </c>
      <c r="U125" s="41">
        <f>('CO2'!U125/Population!U125)*1000</f>
        <v>5270.3238932815484</v>
      </c>
      <c r="V125">
        <f>('CO2'!V125/Population!V125)*1000</f>
        <v>383.62204724409446</v>
      </c>
    </row>
    <row r="126" spans="1:22" ht="15.75" x14ac:dyDescent="0.25">
      <c r="A126" s="7">
        <v>1994</v>
      </c>
      <c r="B126" s="41">
        <f>('CO2'!B126/Population!B126)*1000</f>
        <v>2075.7293018782839</v>
      </c>
      <c r="C126" s="41">
        <f>('CO2'!C126/Population!C126)*1000</f>
        <v>3052.3819524694172</v>
      </c>
      <c r="D126">
        <f>('CO2'!D126/Population!D126)*1000</f>
        <v>410.11818627846748</v>
      </c>
      <c r="E126" s="41">
        <f>('CO2'!E126/Population!E126)*1000</f>
        <v>4225.5974907094887</v>
      </c>
      <c r="F126" s="41">
        <f>('CO2'!F126/Population!F126)*1000</f>
        <v>3198.2846175553532</v>
      </c>
      <c r="G126" s="41">
        <f>('CO2'!G126/Population!G126)*1000</f>
        <v>3082.9461955106958</v>
      </c>
      <c r="H126" s="41">
        <f>('CO2'!H126/Population!H126)*1000</f>
        <v>1694.8776179661872</v>
      </c>
      <c r="I126" s="43">
        <f>('CO2'!I126/Population!I126)*1000</f>
        <v>2899.2498160393807</v>
      </c>
      <c r="J126" s="41">
        <f>('CO2'!J126/Population!J126)*1000</f>
        <v>1942.8829863031235</v>
      </c>
      <c r="K126">
        <f>('CO2'!K126/Population!K126)*1000</f>
        <v>2560.9921444829602</v>
      </c>
      <c r="L126" s="41">
        <f>('CO2'!L126/Population!L126)*1000</f>
        <v>2939.5018839310219</v>
      </c>
      <c r="M126" s="45">
        <f>('CO2'!M126/Population!M126)*1000</f>
        <v>2006.6926938092581</v>
      </c>
      <c r="N126" s="41">
        <f>('CO2'!N126/Population!N126)*1000</f>
        <v>1839.2127726593735</v>
      </c>
      <c r="O126" s="41">
        <f>('CO2'!O126/Population!O126)*1000</f>
        <v>1293.6182298452045</v>
      </c>
      <c r="P126" s="41">
        <f>('CO2'!P126/Population!P126)*1000</f>
        <v>1604.6974512162981</v>
      </c>
      <c r="Q126">
        <f>('CO2'!Q126/Population!Q126)*1000</f>
        <v>80.834953274930854</v>
      </c>
      <c r="R126" s="41">
        <f>('CO2'!R126/Population!R126)*1000</f>
        <v>1693.7706411570437</v>
      </c>
      <c r="S126" s="41">
        <f>('CO2'!S126/Population!S126)*1000</f>
        <v>1583.8010381571235</v>
      </c>
      <c r="T126" s="41">
        <f>('CO2'!T126/Population!T126)*1000</f>
        <v>2601.072848283251</v>
      </c>
      <c r="U126" s="41">
        <f>('CO2'!U126/Population!U126)*1000</f>
        <v>5301.7193309275162</v>
      </c>
      <c r="V126">
        <f>('CO2'!V126/Population!V126)*1000</f>
        <v>347.10485133020347</v>
      </c>
    </row>
    <row r="127" spans="1:22" ht="15.75" x14ac:dyDescent="0.25">
      <c r="A127" s="7">
        <v>1995</v>
      </c>
      <c r="B127" s="41">
        <f>('CO2'!B127/Population!B127)*1000</f>
        <v>2091.8471766089883</v>
      </c>
      <c r="C127" s="41">
        <f>('CO2'!C127/Population!C127)*1000</f>
        <v>3033.7378152971714</v>
      </c>
      <c r="D127">
        <f>('CO2'!D127/Population!D127)*1000</f>
        <v>430.78315315756004</v>
      </c>
      <c r="E127" s="41">
        <f>('CO2'!E127/Population!E127)*1000</f>
        <v>4223.0305479775016</v>
      </c>
      <c r="F127" s="41">
        <f>('CO2'!F127/Population!F127)*1000</f>
        <v>2873.7081977413959</v>
      </c>
      <c r="G127" s="41">
        <f>('CO2'!G127/Population!G127)*1000</f>
        <v>2822.1305498864367</v>
      </c>
      <c r="H127" s="41">
        <f>('CO2'!H127/Population!H127)*1000</f>
        <v>1796.1381296891748</v>
      </c>
      <c r="I127" s="43">
        <f>('CO2'!I127/Population!I127)*1000</f>
        <v>2885.9071202919863</v>
      </c>
      <c r="J127" s="41">
        <f>('CO2'!J127/Population!J127)*1000</f>
        <v>2048.8338874394276</v>
      </c>
      <c r="K127">
        <f>('CO2'!K127/Population!K127)*1000</f>
        <v>2575.8856889323215</v>
      </c>
      <c r="L127" s="41">
        <f>('CO2'!L127/Population!L127)*1000</f>
        <v>2929.0925563750538</v>
      </c>
      <c r="M127" s="45">
        <f>('CO2'!M127/Population!M127)*1000</f>
        <v>2032.6743547501374</v>
      </c>
      <c r="N127" s="41">
        <f>('CO2'!N127/Population!N127)*1000</f>
        <v>2183.7071451200604</v>
      </c>
      <c r="O127" s="41">
        <f>('CO2'!O127/Population!O127)*1000</f>
        <v>1406.7795448293252</v>
      </c>
      <c r="P127" s="41">
        <f>('CO2'!P127/Population!P127)*1000</f>
        <v>1658.4018275351157</v>
      </c>
      <c r="Q127">
        <f>('CO2'!Q127/Population!Q127)*1000</f>
        <v>85.571016311968208</v>
      </c>
      <c r="R127" s="41">
        <f>('CO2'!R127/Population!R127)*1000</f>
        <v>1567.690041916846</v>
      </c>
      <c r="S127" s="41">
        <f>('CO2'!S127/Population!S127)*1000</f>
        <v>1494.8779576549516</v>
      </c>
      <c r="T127" s="41">
        <f>('CO2'!T127/Population!T127)*1000</f>
        <v>2593.5707337488402</v>
      </c>
      <c r="U127" s="41">
        <f>('CO2'!U127/Population!U127)*1000</f>
        <v>5275.0425611449964</v>
      </c>
      <c r="V127">
        <f>('CO2'!V127/Population!V127)*1000</f>
        <v>388.94066480273375</v>
      </c>
    </row>
    <row r="128" spans="1:22" ht="15.75" x14ac:dyDescent="0.25">
      <c r="A128" s="7">
        <v>1996</v>
      </c>
      <c r="B128" s="41">
        <f>('CO2'!B128/Population!B128)*1000</f>
        <v>2132.1567496835323</v>
      </c>
      <c r="C128" s="41">
        <f>('CO2'!C128/Population!C128)*1000</f>
        <v>3204.8542607703325</v>
      </c>
      <c r="D128">
        <f>('CO2'!D128/Population!D128)*1000</f>
        <v>467.59510133304434</v>
      </c>
      <c r="E128" s="41">
        <f>('CO2'!E128/Population!E128)*1000</f>
        <v>4249.4171717844538</v>
      </c>
      <c r="F128" s="41">
        <f>('CO2'!F128/Population!F128)*1000</f>
        <v>3555.2514929946838</v>
      </c>
      <c r="G128" s="41">
        <f>('CO2'!G128/Population!G128)*1000</f>
        <v>3263.8648831809005</v>
      </c>
      <c r="H128" s="41">
        <f>('CO2'!H128/Population!H128)*1000</f>
        <v>1855.537586902519</v>
      </c>
      <c r="I128" s="43">
        <f>('CO2'!I128/Population!I128)*1000</f>
        <v>2962.4865553970881</v>
      </c>
      <c r="J128" s="41">
        <f>('CO2'!J128/Population!J128)*1000</f>
        <v>2054.6992913978888</v>
      </c>
      <c r="K128">
        <f>('CO2'!K128/Population!K128)*1000</f>
        <v>2616.6754444182957</v>
      </c>
      <c r="L128" s="41">
        <f>('CO2'!L128/Population!L128)*1000</f>
        <v>3145.1314219539922</v>
      </c>
      <c r="M128" s="45">
        <f>('CO2'!M128/Population!M128)*1000</f>
        <v>2121.990803354071</v>
      </c>
      <c r="N128" s="41">
        <f>('CO2'!N128/Population!N128)*1000</f>
        <v>2065.1513246023933</v>
      </c>
      <c r="O128" s="41">
        <f>('CO2'!O128/Population!O128)*1000</f>
        <v>1369.8131014529029</v>
      </c>
      <c r="P128" s="41">
        <f>('CO2'!P128/Population!P128)*1000</f>
        <v>1599.2180048808873</v>
      </c>
      <c r="Q128">
        <f>('CO2'!Q128/Population!Q128)*1000</f>
        <v>101.50073331067767</v>
      </c>
      <c r="R128" s="41">
        <f>('CO2'!R128/Population!R128)*1000</f>
        <v>1779.7760434340007</v>
      </c>
      <c r="S128" s="41">
        <f>('CO2'!S128/Population!S128)*1000</f>
        <v>1516.3575556912217</v>
      </c>
      <c r="T128" s="41">
        <f>('CO2'!T128/Population!T128)*1000</f>
        <v>2658.0613071983576</v>
      </c>
      <c r="U128" s="41">
        <f>('CO2'!U128/Population!U128)*1000</f>
        <v>5345.5406478864916</v>
      </c>
      <c r="V128">
        <f>('CO2'!V128/Population!V128)*1000</f>
        <v>457.74213448488587</v>
      </c>
    </row>
    <row r="129" spans="1:22" ht="15.75" x14ac:dyDescent="0.25">
      <c r="A129" s="7">
        <v>1997</v>
      </c>
      <c r="B129" s="41">
        <f>('CO2'!B129/Population!B129)*1000</f>
        <v>2159.3888183659824</v>
      </c>
      <c r="C129" s="41">
        <f>('CO2'!C129/Population!C129)*1000</f>
        <v>3109.2806153697129</v>
      </c>
      <c r="D129">
        <f>('CO2'!D129/Population!D129)*1000</f>
        <v>486.00857452902352</v>
      </c>
      <c r="E129" s="41">
        <f>('CO2'!E129/Population!E129)*1000</f>
        <v>4348.303394827195</v>
      </c>
      <c r="F129" s="41">
        <f>('CO2'!F129/Population!F129)*1000</f>
        <v>2944.7373914649747</v>
      </c>
      <c r="G129" s="41">
        <f>('CO2'!G129/Population!G129)*1000</f>
        <v>3186.3471645989821</v>
      </c>
      <c r="H129" s="41">
        <f>('CO2'!H129/Population!H129)*1000</f>
        <v>1717.5125302884455</v>
      </c>
      <c r="I129" s="43">
        <f>('CO2'!I129/Population!I129)*1000</f>
        <v>2867.2347696267793</v>
      </c>
      <c r="J129" s="41">
        <f>('CO2'!J129/Population!J129)*1000</f>
        <v>2071.6788458849546</v>
      </c>
      <c r="K129">
        <f>('CO2'!K129/Population!K129)*1000</f>
        <v>2601.5966036020104</v>
      </c>
      <c r="L129" s="41">
        <f>('CO2'!L129/Population!L129)*1000</f>
        <v>2995.2967304740491</v>
      </c>
      <c r="M129" s="45">
        <f>('CO2'!M129/Population!M129)*1000</f>
        <v>2259.4970572498664</v>
      </c>
      <c r="N129" s="41">
        <f>('CO2'!N129/Population!N129)*1000</f>
        <v>2112.7310430735652</v>
      </c>
      <c r="O129" s="41">
        <f>('CO2'!O129/Population!O129)*1000</f>
        <v>1429.3429325209729</v>
      </c>
      <c r="P129" s="41">
        <f>('CO2'!P129/Population!P129)*1000</f>
        <v>1725.4105474479493</v>
      </c>
      <c r="Q129">
        <f>('CO2'!Q129/Population!Q129)*1000</f>
        <v>108.48942180438101</v>
      </c>
      <c r="R129" s="41">
        <f>('CO2'!R129/Population!R129)*1000</f>
        <v>1598.2364910694098</v>
      </c>
      <c r="S129" s="41">
        <f>('CO2'!S129/Population!S129)*1000</f>
        <v>1571.9176658774179</v>
      </c>
      <c r="T129" s="41">
        <f>('CO2'!T129/Population!T129)*1000</f>
        <v>2529.8994532503307</v>
      </c>
      <c r="U129" s="41">
        <f>('CO2'!U129/Population!U129)*1000</f>
        <v>5415.285145645611</v>
      </c>
      <c r="V129">
        <f>('CO2'!V129/Population!V129)*1000</f>
        <v>463.72819100091829</v>
      </c>
    </row>
    <row r="130" spans="1:22" ht="15.75" x14ac:dyDescent="0.25">
      <c r="A130" s="7">
        <v>1998</v>
      </c>
      <c r="B130" s="41">
        <f>('CO2'!B130/Population!B130)*1000</f>
        <v>2213.248744649768</v>
      </c>
      <c r="C130" s="41">
        <f>('CO2'!C130/Population!C130)*1000</f>
        <v>3181.1592997182152</v>
      </c>
      <c r="D130">
        <f>('CO2'!D130/Population!D130)*1000</f>
        <v>497.43868318526177</v>
      </c>
      <c r="E130" s="41">
        <f>('CO2'!E130/Population!E130)*1000</f>
        <v>4616.6208431526584</v>
      </c>
      <c r="F130" s="41">
        <f>('CO2'!F130/Population!F130)*1000</f>
        <v>2883.4003078015685</v>
      </c>
      <c r="G130" s="41">
        <f>('CO2'!G130/Population!G130)*1000</f>
        <v>3019.4387663607981</v>
      </c>
      <c r="H130" s="41">
        <f>('CO2'!H130/Population!H130)*1000</f>
        <v>1842.9173205583547</v>
      </c>
      <c r="I130" s="43">
        <f>('CO2'!I130/Population!I130)*1000</f>
        <v>2843.8131860275653</v>
      </c>
      <c r="J130" s="41">
        <f>('CO2'!J130/Population!J130)*1000</f>
        <v>2110.0839095276588</v>
      </c>
      <c r="K130">
        <f>('CO2'!K130/Population!K130)*1000</f>
        <v>2503.6813811652441</v>
      </c>
      <c r="L130" s="41">
        <f>('CO2'!L130/Population!L130)*1000</f>
        <v>2925.2973022484689</v>
      </c>
      <c r="M130" s="45">
        <f>('CO2'!M130/Population!M130)*1000</f>
        <v>2170.0318809776836</v>
      </c>
      <c r="N130" s="41">
        <f>('CO2'!N130/Population!N130)*1000</f>
        <v>2243.7700751547923</v>
      </c>
      <c r="O130" s="41">
        <f>('CO2'!O130/Population!O130)*1000</f>
        <v>1548.3879044224509</v>
      </c>
      <c r="P130" s="41">
        <f>('CO2'!P130/Population!P130)*1000</f>
        <v>1787.414924008742</v>
      </c>
      <c r="Q130">
        <f>('CO2'!Q130/Population!Q130)*1000</f>
        <v>111.09560099204121</v>
      </c>
      <c r="R130" s="41">
        <f>('CO2'!R130/Population!R130)*1000</f>
        <v>1632.2449440741161</v>
      </c>
      <c r="S130" s="41">
        <f>('CO2'!S130/Population!S130)*1000</f>
        <v>1582.5482675834267</v>
      </c>
      <c r="T130" s="41">
        <f>('CO2'!T130/Population!T130)*1000</f>
        <v>2518.8508123870638</v>
      </c>
      <c r="U130" s="41">
        <f>('CO2'!U130/Population!U130)*1000</f>
        <v>5388.6549012816704</v>
      </c>
      <c r="V130">
        <f>('CO2'!V130/Population!V130)*1000</f>
        <v>471.57190635451508</v>
      </c>
    </row>
    <row r="131" spans="1:22" ht="15.75" x14ac:dyDescent="0.25">
      <c r="A131" s="7">
        <v>1999</v>
      </c>
      <c r="B131" s="41">
        <f>('CO2'!B131/Population!B131)*1000</f>
        <v>2149.4520243988377</v>
      </c>
      <c r="C131" s="41">
        <f>('CO2'!C131/Population!C131)*1000</f>
        <v>3086.3681904089185</v>
      </c>
      <c r="D131">
        <f>('CO2'!D131/Population!D131)*1000</f>
        <v>502.47462074998271</v>
      </c>
      <c r="E131" s="41">
        <f>('CO2'!E131/Population!E131)*1000</f>
        <v>4560.3646864151069</v>
      </c>
      <c r="F131" s="41">
        <f>('CO2'!F131/Population!F131)*1000</f>
        <v>2610.6485287776586</v>
      </c>
      <c r="G131" s="41">
        <f>('CO2'!G131/Population!G131)*1000</f>
        <v>2930.1504023673851</v>
      </c>
      <c r="H131" s="41">
        <f>('CO2'!H131/Population!H131)*1000</f>
        <v>1664.7540444561357</v>
      </c>
      <c r="I131" s="43">
        <f>('CO2'!I131/Population!I131)*1000</f>
        <v>2732.7152806919562</v>
      </c>
      <c r="J131" s="41">
        <f>('CO2'!J131/Population!J131)*1000</f>
        <v>2083.7227040224579</v>
      </c>
      <c r="K131">
        <f>('CO2'!K131/Population!K131)*1000</f>
        <v>2582.794117776104</v>
      </c>
      <c r="L131" s="41">
        <f>('CO2'!L131/Population!L131)*1000</f>
        <v>2813.4507728699509</v>
      </c>
      <c r="M131" s="45">
        <f>('CO2'!M131/Population!M131)*1000</f>
        <v>2357.8224101479918</v>
      </c>
      <c r="N131" s="41">
        <f>('CO2'!N131/Population!N131)*1000</f>
        <v>2506.3981823628164</v>
      </c>
      <c r="O131" s="41">
        <f>('CO2'!O131/Population!O131)*1000</f>
        <v>1715.4863755412739</v>
      </c>
      <c r="P131" s="41">
        <f>('CO2'!P131/Population!P131)*1000</f>
        <v>1927.427053955518</v>
      </c>
      <c r="Q131">
        <f>('CO2'!Q131/Population!Q131)*1000</f>
        <v>120.99141236425172</v>
      </c>
      <c r="R131" s="41">
        <f>('CO2'!R131/Population!R131)*1000</f>
        <v>1573.379995484308</v>
      </c>
      <c r="S131" s="41">
        <f>('CO2'!S131/Population!S131)*1000</f>
        <v>1534.5351992566095</v>
      </c>
      <c r="T131" s="41">
        <f>('CO2'!T131/Population!T131)*1000</f>
        <v>2463.1105156533654</v>
      </c>
      <c r="U131" s="41">
        <f>('CO2'!U131/Population!U131)*1000</f>
        <v>5401.1262289809265</v>
      </c>
      <c r="V131">
        <f>('CO2'!V131/Population!V131)*1000</f>
        <v>554.41354292623942</v>
      </c>
    </row>
    <row r="132" spans="1:22" ht="15.75" x14ac:dyDescent="0.25">
      <c r="A132" s="7">
        <v>2000</v>
      </c>
      <c r="B132" s="41">
        <f>('CO2'!B132/Population!B132)*1000</f>
        <v>2140.8992738321099</v>
      </c>
      <c r="C132" s="41">
        <f>('CO2'!C132/Population!C132)*1000</f>
        <v>3074.3544820159909</v>
      </c>
      <c r="D132">
        <f>('CO2'!D132/Population!D132)*1000</f>
        <v>507.27087114337564</v>
      </c>
      <c r="E132" s="41">
        <f>('CO2'!E132/Population!E132)*1000</f>
        <v>4686.6559485530552</v>
      </c>
      <c r="F132" s="41">
        <f>('CO2'!F132/Population!F132)*1000</f>
        <v>2414.6515842122853</v>
      </c>
      <c r="G132" s="41">
        <f>('CO2'!G132/Population!G132)*1000</f>
        <v>2751.0377578432822</v>
      </c>
      <c r="H132" s="41">
        <f>('CO2'!H132/Population!H132)*1000</f>
        <v>1630.5837708752474</v>
      </c>
      <c r="I132" s="43">
        <f>('CO2'!I132/Population!I132)*1000</f>
        <v>2753.8965615976431</v>
      </c>
      <c r="J132" s="41">
        <f>('CO2'!J132/Population!J132)*1000</f>
        <v>2132.8900572783778</v>
      </c>
      <c r="K132">
        <f>('CO2'!K132/Population!K132)*1000</f>
        <v>2624.3795816269362</v>
      </c>
      <c r="L132" s="41">
        <f>('CO2'!L132/Population!L132)*1000</f>
        <v>2834.7634341353296</v>
      </c>
      <c r="M132" s="45">
        <f>('CO2'!M132/Population!M132)*1000</f>
        <v>2359.5476065228827</v>
      </c>
      <c r="N132" s="41">
        <f>('CO2'!N132/Population!N132)*1000</f>
        <v>2355.756388567358</v>
      </c>
      <c r="O132" s="41">
        <f>('CO2'!O132/Population!O132)*1000</f>
        <v>1661.3457355196801</v>
      </c>
      <c r="P132" s="41">
        <f>('CO2'!P132/Population!P132)*1000</f>
        <v>2006.5183294685953</v>
      </c>
      <c r="Q132">
        <f>('CO2'!Q132/Population!Q132)*1000</f>
        <v>142.57144869622243</v>
      </c>
      <c r="R132" s="41">
        <f>('CO2'!R132/Population!R132)*1000</f>
        <v>1530.5455365193868</v>
      </c>
      <c r="S132" s="41">
        <f>('CO2'!S132/Population!S132)*1000</f>
        <v>1465.4076279909507</v>
      </c>
      <c r="T132" s="41">
        <f>('CO2'!T132/Population!T132)*1000</f>
        <v>2490.7905364407939</v>
      </c>
      <c r="U132" s="41">
        <f>('CO2'!U132/Population!U132)*1000</f>
        <v>5522.0904599550604</v>
      </c>
      <c r="V132">
        <f>('CO2'!V132/Population!V132)*1000</f>
        <v>434.79567307692309</v>
      </c>
    </row>
    <row r="133" spans="1:22" ht="15.75" x14ac:dyDescent="0.25">
      <c r="A133" s="7">
        <v>2001</v>
      </c>
      <c r="B133" s="41">
        <f>('CO2'!B133/Population!B133)*1000</f>
        <v>2203.8469248089882</v>
      </c>
      <c r="C133" s="41">
        <f>('CO2'!C133/Population!C133)*1000</f>
        <v>3041.0004043072076</v>
      </c>
      <c r="D133">
        <f>('CO2'!D133/Population!D133)*1000</f>
        <v>514.44624587689384</v>
      </c>
      <c r="E133" s="41">
        <f>('CO2'!E133/Population!E133)*1000</f>
        <v>4568.8561685310897</v>
      </c>
      <c r="F133" s="41">
        <f>('CO2'!F133/Population!F133)*1000</f>
        <v>2496.720393829075</v>
      </c>
      <c r="G133" s="41">
        <f>('CO2'!G133/Population!G133)*1000</f>
        <v>2970.2861354409551</v>
      </c>
      <c r="H133" s="41">
        <f>('CO2'!H133/Population!H133)*1000</f>
        <v>1711.4136534426389</v>
      </c>
      <c r="I133" s="43">
        <f>('CO2'!I133/Population!I133)*1000</f>
        <v>2829.2955889417899</v>
      </c>
      <c r="J133" s="41">
        <f>('CO2'!J133/Population!J133)*1000</f>
        <v>2123.1076386235723</v>
      </c>
      <c r="K133">
        <f>('CO2'!K133/Population!K133)*1000</f>
        <v>2582.1519705131841</v>
      </c>
      <c r="L133" s="41">
        <f>('CO2'!L133/Population!L133)*1000</f>
        <v>2847.894904586843</v>
      </c>
      <c r="M133" s="45">
        <f>('CO2'!M133/Population!M133)*1000</f>
        <v>2452.0583637311097</v>
      </c>
      <c r="N133" s="41">
        <f>('CO2'!N133/Population!N133)*1000</f>
        <v>2481.841869509512</v>
      </c>
      <c r="O133" s="41">
        <f>('CO2'!O133/Population!O133)*1000</f>
        <v>1650.467667807254</v>
      </c>
      <c r="P133" s="41">
        <f>('CO2'!P133/Population!P133)*1000</f>
        <v>2026.0630451129621</v>
      </c>
      <c r="Q133">
        <f>('CO2'!Q133/Population!Q133)*1000</f>
        <v>142.21531245605081</v>
      </c>
      <c r="R133" s="41">
        <f>('CO2'!R133/Population!R133)*1000</f>
        <v>1559.6196868008949</v>
      </c>
      <c r="S133" s="41">
        <f>('CO2'!S133/Population!S133)*1000</f>
        <v>1602.4648086226723</v>
      </c>
      <c r="T133" s="41">
        <f>('CO2'!T133/Population!T133)*1000</f>
        <v>2513.8788930132273</v>
      </c>
      <c r="U133" s="41">
        <f>('CO2'!U133/Population!U133)*1000</f>
        <v>5361.3077584542752</v>
      </c>
      <c r="V133">
        <f>('CO2'!V133/Population!V133)*1000</f>
        <v>414.5758661887694</v>
      </c>
    </row>
    <row r="134" spans="1:22" ht="15.75" x14ac:dyDescent="0.25">
      <c r="A134" s="7">
        <v>2002</v>
      </c>
      <c r="B134" s="41">
        <f>('CO2'!B134/Population!B134)*1000</f>
        <v>2248.3184247240411</v>
      </c>
      <c r="C134" s="41">
        <f>('CO2'!C134/Population!C134)*1000</f>
        <v>2843.6855421418022</v>
      </c>
      <c r="D134">
        <f>('CO2'!D134/Population!D134)*1000</f>
        <v>499.45429891190514</v>
      </c>
      <c r="E134" s="41">
        <f>('CO2'!E134/Population!E134)*1000</f>
        <v>4474.4793148130584</v>
      </c>
      <c r="F134" s="41">
        <f>('CO2'!F134/Population!F134)*1000</f>
        <v>2499.677656007515</v>
      </c>
      <c r="G134" s="41">
        <f>('CO2'!G134/Population!G134)*1000</f>
        <v>3207.3704819085706</v>
      </c>
      <c r="H134" s="41">
        <f>('CO2'!H134/Population!H134)*1000</f>
        <v>1679.729576735836</v>
      </c>
      <c r="I134" s="43">
        <f>('CO2'!I134/Population!I134)*1000</f>
        <v>2744.4585120623974</v>
      </c>
      <c r="J134" s="41">
        <f>('CO2'!J134/Population!J134)*1000</f>
        <v>2130.8543879512899</v>
      </c>
      <c r="K134">
        <f>('CO2'!K134/Population!K134)*1000</f>
        <v>2608.8436711299109</v>
      </c>
      <c r="L134" s="41">
        <f>('CO2'!L134/Population!L134)*1000</f>
        <v>2915.3690760244945</v>
      </c>
      <c r="M134" s="45">
        <f>('CO2'!M134/Population!M134)*1000</f>
        <v>2322.7296049256029</v>
      </c>
      <c r="N134" s="41">
        <f>('CO2'!N134/Population!N134)*1000</f>
        <v>2250.4233737124887</v>
      </c>
      <c r="O134" s="41">
        <f>('CO2'!O134/Population!O134)*1000</f>
        <v>1746.4282418014336</v>
      </c>
      <c r="P134" s="41">
        <f>('CO2'!P134/Population!P134)*1000</f>
        <v>2136.1051911141708</v>
      </c>
      <c r="Q134">
        <f>('CO2'!Q134/Population!Q134)*1000</f>
        <v>151.08153138494859</v>
      </c>
      <c r="R134" s="41">
        <f>('CO2'!R134/Population!R134)*1000</f>
        <v>1748.9390216662944</v>
      </c>
      <c r="S134" s="41">
        <f>('CO2'!S134/Population!S134)*1000</f>
        <v>1508.3355780420354</v>
      </c>
      <c r="T134" s="41">
        <f>('CO2'!T134/Population!T134)*1000</f>
        <v>2421.2170592777316</v>
      </c>
      <c r="U134" s="41">
        <f>('CO2'!U134/Population!U134)*1000</f>
        <v>5360.0787475521829</v>
      </c>
      <c r="V134">
        <f>('CO2'!V134/Population!V134)*1000</f>
        <v>374.10926365795729</v>
      </c>
    </row>
    <row r="135" spans="1:22" ht="15.75" x14ac:dyDescent="0.25">
      <c r="A135" s="7">
        <v>2003</v>
      </c>
      <c r="B135" s="41">
        <f>('CO2'!B135/Population!B135)*1000</f>
        <v>2416.0028304512648</v>
      </c>
      <c r="C135" s="41">
        <f>('CO2'!C135/Population!C135)*1000</f>
        <v>3031.316766213421</v>
      </c>
      <c r="D135">
        <f>('CO2'!D135/Population!D135)*1000</f>
        <v>476.77212437486412</v>
      </c>
      <c r="E135" s="41">
        <f>('CO2'!E135/Population!E135)*1000</f>
        <v>4730.6281162783398</v>
      </c>
      <c r="F135" s="41">
        <f>('CO2'!F135/Population!F135)*1000</f>
        <v>2817.688386911866</v>
      </c>
      <c r="G135" s="41">
        <f>('CO2'!G135/Population!G135)*1000</f>
        <v>3609.6345307484721</v>
      </c>
      <c r="H135" s="41">
        <f>('CO2'!H135/Population!H135)*1000</f>
        <v>1700.1013334191182</v>
      </c>
      <c r="I135" s="43">
        <f>('CO2'!I135/Population!I135)*1000</f>
        <v>2758.2113743427262</v>
      </c>
      <c r="J135" s="41">
        <f>('CO2'!J135/Population!J135)*1000</f>
        <v>2202.1314984582405</v>
      </c>
      <c r="K135">
        <f>('CO2'!K135/Population!K135)*1000</f>
        <v>2649.6176133419181</v>
      </c>
      <c r="L135" s="41">
        <f>('CO2'!L135/Population!L135)*1000</f>
        <v>2942.3207979068065</v>
      </c>
      <c r="M135" s="45">
        <f>('CO2'!M135/Population!M135)*1000</f>
        <v>2337.121212121212</v>
      </c>
      <c r="N135" s="41">
        <f>('CO2'!N135/Population!N135)*1000</f>
        <v>2551.6968872107827</v>
      </c>
      <c r="O135" s="41">
        <f>('CO2'!O135/Population!O135)*1000</f>
        <v>1594.4724953494554</v>
      </c>
      <c r="P135" s="41">
        <f>('CO2'!P135/Population!P135)*1000</f>
        <v>2177.2658524803669</v>
      </c>
      <c r="Q135">
        <f>('CO2'!Q135/Population!Q135)*1000</f>
        <v>144.64496428284434</v>
      </c>
      <c r="R135" s="41">
        <f>('CO2'!R135/Population!R135)*1000</f>
        <v>1665.4403567447046</v>
      </c>
      <c r="S135" s="41">
        <f>('CO2'!S135/Population!S135)*1000</f>
        <v>1479.9578689848533</v>
      </c>
      <c r="T135" s="41">
        <f>('CO2'!T135/Population!T135)*1000</f>
        <v>2453.3632346095114</v>
      </c>
      <c r="U135" s="41">
        <f>('CO2'!U135/Population!U135)*1000</f>
        <v>5343.0303531894642</v>
      </c>
      <c r="V135">
        <f>('CO2'!V135/Population!V135)*1000</f>
        <v>370.23914968999117</v>
      </c>
    </row>
    <row r="136" spans="1:22" ht="15.75" x14ac:dyDescent="0.25">
      <c r="A136" s="7">
        <v>2004</v>
      </c>
      <c r="B136" s="41">
        <f>('CO2'!B136/Population!B136)*1000</f>
        <v>2397.378663745807</v>
      </c>
      <c r="C136" s="41">
        <f>('CO2'!C136/Population!C136)*1000</f>
        <v>2932.5657723083536</v>
      </c>
      <c r="D136">
        <f>('CO2'!D136/Population!D136)*1000</f>
        <v>494.00232721500998</v>
      </c>
      <c r="E136" s="41">
        <f>('CO2'!E136/Population!E136)*1000</f>
        <v>4687.3191224521543</v>
      </c>
      <c r="F136" s="41">
        <f>('CO2'!F136/Population!F136)*1000</f>
        <v>2548.8640024590868</v>
      </c>
      <c r="G136" s="41">
        <f>('CO2'!G136/Population!G136)*1000</f>
        <v>3508.6696511581526</v>
      </c>
      <c r="H136" s="41">
        <f>('CO2'!H136/Population!H136)*1000</f>
        <v>1701.1865545143444</v>
      </c>
      <c r="I136" s="43">
        <f>('CO2'!I136/Population!I136)*1000</f>
        <v>2732.4849062978269</v>
      </c>
      <c r="J136" s="41">
        <f>('CO2'!J136/Population!J136)*1000</f>
        <v>2220.6442074635797</v>
      </c>
      <c r="K136">
        <f>('CO2'!K136/Population!K136)*1000</f>
        <v>2694.6266080953874</v>
      </c>
      <c r="L136" s="41">
        <f>('CO2'!L136/Population!L136)*1000</f>
        <v>2956.3311490440824</v>
      </c>
      <c r="M136" s="45">
        <f>('CO2'!M136/Population!M136)*1000</f>
        <v>2365.0199600798401</v>
      </c>
      <c r="N136" s="41">
        <f>('CO2'!N136/Population!N136)*1000</f>
        <v>2543.4140114021893</v>
      </c>
      <c r="O136" s="41">
        <f>('CO2'!O136/Population!O136)*1000</f>
        <v>1636.9975898279622</v>
      </c>
      <c r="P136" s="41">
        <f>('CO2'!P136/Population!P136)*1000</f>
        <v>2297.9445780344872</v>
      </c>
      <c r="Q136">
        <f>('CO2'!Q136/Population!Q136)*1000</f>
        <v>160.71305174679523</v>
      </c>
      <c r="R136" s="41">
        <f>('CO2'!R136/Population!R136)*1000</f>
        <v>1654.5737814377921</v>
      </c>
      <c r="S136" s="41">
        <f>('CO2'!S136/Population!S136)*1000</f>
        <v>1478.351445543183</v>
      </c>
      <c r="T136" s="41">
        <f>('CO2'!T136/Population!T136)*1000</f>
        <v>2445.1512996993497</v>
      </c>
      <c r="U136" s="41">
        <f>('CO2'!U136/Population!U136)*1000</f>
        <v>5393.1818337055938</v>
      </c>
      <c r="V136">
        <f>('CO2'!V136/Population!V136)*1000</f>
        <v>449.20728126834996</v>
      </c>
    </row>
    <row r="137" spans="1:22" ht="15.75" x14ac:dyDescent="0.25">
      <c r="A137" s="7">
        <v>2005</v>
      </c>
      <c r="B137" s="41">
        <f>('CO2'!B137/Population!B137)*1000</f>
        <v>2473.5203809160294</v>
      </c>
      <c r="C137" s="41">
        <f>('CO2'!C137/Population!C137)*1000</f>
        <v>2855.4507994104424</v>
      </c>
      <c r="D137">
        <f>('CO2'!D137/Population!D137)*1000</f>
        <v>501.14025387183648</v>
      </c>
      <c r="E137" s="41">
        <f>('CO2'!E137/Population!E137)*1000</f>
        <v>4741.2770950410668</v>
      </c>
      <c r="F137" s="41">
        <f>('CO2'!F137/Population!F137)*1000</f>
        <v>2364.3608135359841</v>
      </c>
      <c r="G137" s="41">
        <f>('CO2'!G137/Population!G137)*1000</f>
        <v>2852.9081015927809</v>
      </c>
      <c r="H137" s="41">
        <f>('CO2'!H137/Population!H137)*1000</f>
        <v>1699.5008901322481</v>
      </c>
      <c r="I137" s="43">
        <f>('CO2'!I137/Population!I137)*1000</f>
        <v>2668.764896479363</v>
      </c>
      <c r="J137" s="41">
        <f>('CO2'!J137/Population!J137)*1000</f>
        <v>2221.7773037768957</v>
      </c>
      <c r="K137">
        <f>('CO2'!K137/Population!K137)*1000</f>
        <v>2647.5062138830299</v>
      </c>
      <c r="L137" s="41">
        <f>('CO2'!L137/Population!L137)*1000</f>
        <v>2862.5339486701528</v>
      </c>
      <c r="M137" s="45">
        <f>('CO2'!M137/Population!M137)*1000</f>
        <v>2285.0790513833995</v>
      </c>
      <c r="N137" s="41">
        <f>('CO2'!N137/Population!N137)*1000</f>
        <v>2519.6814049776603</v>
      </c>
      <c r="O137" s="41">
        <f>('CO2'!O137/Population!O137)*1000</f>
        <v>1685.5614859894918</v>
      </c>
      <c r="P137" s="41">
        <f>('CO2'!P137/Population!P137)*1000</f>
        <v>2389.3531672203649</v>
      </c>
      <c r="Q137">
        <f>('CO2'!Q137/Population!Q137)*1000</f>
        <v>154.84584084559191</v>
      </c>
      <c r="R137" s="41">
        <f>('CO2'!R137/Population!R137)*1000</f>
        <v>1561.9862252832704</v>
      </c>
      <c r="S137" s="41">
        <f>('CO2'!S137/Population!S137)*1000</f>
        <v>1506.5352626455897</v>
      </c>
      <c r="T137" s="41">
        <f>('CO2'!T137/Population!T137)*1000</f>
        <v>2445.3579932727298</v>
      </c>
      <c r="U137" s="41">
        <f>('CO2'!U137/Population!U137)*1000</f>
        <v>5375.3835640074021</v>
      </c>
      <c r="V137">
        <f>('CO2'!V137/Population!V137)*1000</f>
        <v>459.85401459854012</v>
      </c>
    </row>
    <row r="138" spans="1:22" ht="15.75" x14ac:dyDescent="0.25">
      <c r="A138" s="7">
        <v>2006</v>
      </c>
      <c r="B138" s="41">
        <f>('CO2'!B138/Population!B138)*1000</f>
        <v>2382.0683325033447</v>
      </c>
      <c r="C138" s="41">
        <f>('CO2'!C138/Population!C138)*1000</f>
        <v>2806.9960430932765</v>
      </c>
      <c r="D138">
        <f>('CO2'!D138/Population!D138)*1000</f>
        <v>495.17154212953534</v>
      </c>
      <c r="E138" s="41">
        <f>('CO2'!E138/Population!E138)*1000</f>
        <v>4594.7270110542913</v>
      </c>
      <c r="F138" s="41">
        <f>('CO2'!F138/Population!F138)*1000</f>
        <v>2751.9598081773938</v>
      </c>
      <c r="G138" s="41">
        <f>('CO2'!G138/Population!G138)*1000</f>
        <v>3450.7200023244382</v>
      </c>
      <c r="H138" s="41">
        <f>('CO2'!H138/Population!H138)*1000</f>
        <v>1648.3813375886748</v>
      </c>
      <c r="I138" s="43">
        <f>('CO2'!I138/Population!I138)*1000</f>
        <v>2676.1932471696769</v>
      </c>
      <c r="J138" s="41">
        <f>('CO2'!J138/Population!J138)*1000</f>
        <v>2201.6905946620218</v>
      </c>
      <c r="K138">
        <f>('CO2'!K138/Population!K138)*1000</f>
        <v>2633.2509900795985</v>
      </c>
      <c r="L138" s="41">
        <f>('CO2'!L138/Population!L138)*1000</f>
        <v>2764.8247781078949</v>
      </c>
      <c r="M138" s="45">
        <f>('CO2'!M138/Population!M138)*1000</f>
        <v>2237.163814180929</v>
      </c>
      <c r="N138" s="41">
        <f>('CO2'!N138/Population!N138)*1000</f>
        <v>2617.538745819616</v>
      </c>
      <c r="O138" s="41">
        <f>('CO2'!O138/Population!O138)*1000</f>
        <v>1519.8187418853897</v>
      </c>
      <c r="P138" s="41">
        <f>('CO2'!P138/Population!P138)*1000</f>
        <v>2362.8984934393279</v>
      </c>
      <c r="Q138">
        <f>('CO2'!Q138/Population!Q138)*1000</f>
        <v>154.50383754517583</v>
      </c>
      <c r="R138" s="41">
        <f>('CO2'!R138/Population!R138)*1000</f>
        <v>1499.1682377730954</v>
      </c>
      <c r="S138" s="41">
        <f>('CO2'!S138/Population!S138)*1000</f>
        <v>1517.8229899411663</v>
      </c>
      <c r="T138" s="41">
        <f>('CO2'!T138/Population!T138)*1000</f>
        <v>2438.8395594309</v>
      </c>
      <c r="U138" s="41">
        <f>('CO2'!U138/Population!U138)*1000</f>
        <v>5242.7674388993501</v>
      </c>
      <c r="V138">
        <f>('CO2'!V138/Population!V138)*1000</f>
        <v>526.5756607609643</v>
      </c>
    </row>
    <row r="139" spans="1:22" ht="15.75" x14ac:dyDescent="0.25">
      <c r="A139" s="7">
        <v>2007</v>
      </c>
      <c r="B139" s="41">
        <f>('CO2'!B139/Population!B139)*1000</f>
        <v>2299.451095230203</v>
      </c>
      <c r="C139" s="41">
        <f>('CO2'!C139/Population!C139)*1000</f>
        <v>2708.4668866901084</v>
      </c>
      <c r="D139">
        <f>('CO2'!D139/Population!D139)*1000</f>
        <v>510.77511744594398</v>
      </c>
      <c r="E139" s="41">
        <f>('CO2'!E139/Population!E139)*1000</f>
        <v>4722.1638979806094</v>
      </c>
      <c r="F139" s="41">
        <f>('CO2'!F139/Population!F139)*1000</f>
        <v>2506.1629956913894</v>
      </c>
      <c r="G139" s="41">
        <f>('CO2'!G139/Population!G139)*1000</f>
        <v>3330.7498768722103</v>
      </c>
      <c r="H139" s="41">
        <f>('CO2'!H139/Population!H139)*1000</f>
        <v>1609.6228133538518</v>
      </c>
      <c r="I139" s="43">
        <f>('CO2'!I139/Population!I139)*1000</f>
        <v>2594.6652392405549</v>
      </c>
      <c r="J139" s="41">
        <f>('CO2'!J139/Population!J139)*1000</f>
        <v>2169.8696318908942</v>
      </c>
      <c r="K139">
        <f>('CO2'!K139/Population!K139)*1000</f>
        <v>2677.39125658189</v>
      </c>
      <c r="L139" s="41">
        <f>('CO2'!L139/Population!L139)*1000</f>
        <v>2826.7511889873958</v>
      </c>
      <c r="M139" s="45">
        <f>('CO2'!M139/Population!M139)*1000</f>
        <v>2220.7163601161665</v>
      </c>
      <c r="N139" s="41">
        <f>('CO2'!N139/Population!N139)*1000</f>
        <v>2656.9137017316179</v>
      </c>
      <c r="O139" s="41">
        <f>('CO2'!O139/Population!O139)*1000</f>
        <v>1559.5467223210055</v>
      </c>
      <c r="P139" s="41">
        <f>('CO2'!P139/Population!P139)*1000</f>
        <v>2415.2378038365177</v>
      </c>
      <c r="Q139">
        <f>('CO2'!Q139/Population!Q139)*1000</f>
        <v>162.33149505777774</v>
      </c>
      <c r="R139" s="41">
        <f>('CO2'!R139/Population!R139)*1000</f>
        <v>1451.2235632820284</v>
      </c>
      <c r="S139" s="41">
        <f>('CO2'!S139/Population!S139)*1000</f>
        <v>1372.3977819785694</v>
      </c>
      <c r="T139" s="41">
        <f>('CO2'!T139/Population!T139)*1000</f>
        <v>2373.1972354063773</v>
      </c>
      <c r="U139" s="41">
        <f>('CO2'!U139/Population!U139)*1000</f>
        <v>5275.8231545406261</v>
      </c>
      <c r="V139">
        <f>('CO2'!V139/Population!V139)*1000</f>
        <v>472.69575267263798</v>
      </c>
    </row>
    <row r="140" spans="1:22" ht="15.75" x14ac:dyDescent="0.25">
      <c r="A140" s="7">
        <v>2008</v>
      </c>
      <c r="B140" s="41">
        <f>('CO2'!B140/Population!B140)*1000</f>
        <v>2268.834943446087</v>
      </c>
      <c r="C140" s="41">
        <f>('CO2'!C140/Population!C140)*1000</f>
        <v>2722.9078645218533</v>
      </c>
      <c r="D140">
        <f>('CO2'!D140/Population!D140)*1000</f>
        <v>538.44547551988103</v>
      </c>
      <c r="E140" s="41">
        <f>('CO2'!E140/Population!E140)*1000</f>
        <v>4474.6334266702797</v>
      </c>
      <c r="F140" s="41">
        <f>('CO2'!F140/Population!F140)*1000</f>
        <v>2334.8489978436469</v>
      </c>
      <c r="G140" s="41">
        <f>('CO2'!G140/Population!G140)*1000</f>
        <v>2942.5621702773578</v>
      </c>
      <c r="H140" s="41">
        <f>('CO2'!H140/Population!H140)*1000</f>
        <v>1586.0470198882265</v>
      </c>
      <c r="I140" s="43">
        <f>('CO2'!I140/Population!I140)*1000</f>
        <v>2593.4827273788128</v>
      </c>
      <c r="J140" s="41">
        <f>('CO2'!J140/Population!J140)*1000</f>
        <v>2097.3140727866994</v>
      </c>
      <c r="K140">
        <f>('CO2'!K140/Population!K140)*1000</f>
        <v>2585.7032870341272</v>
      </c>
      <c r="L140" s="41">
        <f>('CO2'!L140/Population!L140)*1000</f>
        <v>2848.1290799398007</v>
      </c>
      <c r="M140" s="45">
        <f>('CO2'!M140/Population!M140)*1000</f>
        <v>2239.1564821471366</v>
      </c>
      <c r="N140" s="41">
        <f>('CO2'!N140/Population!N140)*1000</f>
        <v>2954.9202414835577</v>
      </c>
      <c r="O140" s="41">
        <f>('CO2'!O140/Population!O140)*1000</f>
        <v>1490.5061483144468</v>
      </c>
      <c r="P140" s="41">
        <f>('CO2'!P140/Population!P140)*1000</f>
        <v>2217.6999060854214</v>
      </c>
      <c r="Q140">
        <f>('CO2'!Q140/Population!Q140)*1000</f>
        <v>153.48737950850244</v>
      </c>
      <c r="R140" s="41">
        <f>('CO2'!R140/Population!R140)*1000</f>
        <v>1480.4864566058595</v>
      </c>
      <c r="S140" s="41">
        <f>('CO2'!S140/Population!S140)*1000</f>
        <v>1452.8748852472854</v>
      </c>
      <c r="T140" s="41">
        <f>('CO2'!T140/Population!T140)*1000</f>
        <v>2337.8545177736537</v>
      </c>
      <c r="U140" s="41">
        <f>('CO2'!U140/Population!U140)*1000</f>
        <v>5070.6509591490594</v>
      </c>
      <c r="V140">
        <f>('CO2'!V140/Population!V140)*1000</f>
        <v>653.24899367452565</v>
      </c>
    </row>
    <row r="141" spans="1:22" ht="15.75" x14ac:dyDescent="0.25">
      <c r="A141" s="7">
        <v>2009</v>
      </c>
      <c r="B141" s="41">
        <f>('CO2'!B141/Population!B141)*1000</f>
        <v>2068.0876979293544</v>
      </c>
      <c r="C141" s="41">
        <f>('CO2'!C141/Population!C141)*1000</f>
        <v>2728.4424812752068</v>
      </c>
      <c r="D141">
        <f>('CO2'!D141/Population!D141)*1000</f>
        <v>503.78637308228377</v>
      </c>
      <c r="E141" s="41">
        <f>('CO2'!E141/Population!E141)*1000</f>
        <v>4185.2659240899457</v>
      </c>
      <c r="F141" s="41">
        <f>('CO2'!F141/Population!F141)*1000</f>
        <v>2206.1443373932011</v>
      </c>
      <c r="G141" s="41">
        <f>('CO2'!G141/Population!G141)*1000</f>
        <v>2761.7142857142858</v>
      </c>
      <c r="H141" s="41">
        <f>('CO2'!H141/Population!H141)*1000</f>
        <v>1510.8344716254812</v>
      </c>
      <c r="I141" s="43">
        <f>('CO2'!I141/Population!I141)*1000</f>
        <v>2425.434228106401</v>
      </c>
      <c r="J141" s="41">
        <f>('CO2'!J141/Population!J141)*1000</f>
        <v>1884.0966176925988</v>
      </c>
      <c r="K141">
        <f>('CO2'!K141/Population!K141)*1000</f>
        <v>2361.9166030579404</v>
      </c>
      <c r="L141" s="41">
        <f>('CO2'!L141/Population!L141)*1000</f>
        <v>2767.6477626226369</v>
      </c>
      <c r="M141" s="45">
        <f>('CO2'!M141/Population!M141)*1000</f>
        <v>2092.3332542131498</v>
      </c>
      <c r="N141" s="41">
        <f>('CO2'!N141/Population!N141)*1000</f>
        <v>2754.3445612529499</v>
      </c>
      <c r="O141" s="41">
        <f>('CO2'!O141/Population!O141)*1000</f>
        <v>1462.0844228614121</v>
      </c>
      <c r="P141" s="41">
        <f>('CO2'!P141/Population!P141)*1000</f>
        <v>1939.6175200493522</v>
      </c>
      <c r="Q141">
        <f>('CO2'!Q141/Population!Q141)*1000</f>
        <v>164.0797186400938</v>
      </c>
      <c r="R141" s="41">
        <f>('CO2'!R141/Population!R141)*1000</f>
        <v>1316.6666666666667</v>
      </c>
      <c r="S141" s="41">
        <f>('CO2'!S141/Population!S141)*1000</f>
        <v>1491.8463966333509</v>
      </c>
      <c r="T141" s="41">
        <f>('CO2'!T141/Population!T141)*1000</f>
        <v>2120.0562891692439</v>
      </c>
      <c r="U141" s="41">
        <f>('CO2'!U141/Population!U141)*1000</f>
        <v>4714.1569333207499</v>
      </c>
      <c r="V141">
        <f>('CO2'!V141/Population!V141)*1000</f>
        <v>615.91299370349168</v>
      </c>
    </row>
    <row r="142" spans="1:22" ht="15.75" x14ac:dyDescent="0.25">
      <c r="A142" s="7">
        <v>2010</v>
      </c>
      <c r="B142" s="41">
        <f>('CO2'!B142/Population!B142)*1000</f>
        <v>2221.2346280287347</v>
      </c>
      <c r="C142" s="41">
        <f>('CO2'!C142/Population!C142)*1000</f>
        <v>2850.4269404202246</v>
      </c>
      <c r="D142">
        <f>('CO2'!D142/Population!D142)*1000</f>
        <v>569.09898130148804</v>
      </c>
      <c r="E142" s="41">
        <f>('CO2'!E142/Population!E142)*1000</f>
        <v>4044.2107139673763</v>
      </c>
      <c r="F142" s="41">
        <f>('CO2'!F142/Population!F142)*1000</f>
        <v>2288.7438825448612</v>
      </c>
      <c r="G142" s="41">
        <f>('CO2'!G142/Population!G142)*1000</f>
        <v>3209.935287400076</v>
      </c>
      <c r="H142" s="41">
        <f>('CO2'!H142/Population!H142)*1000</f>
        <v>1521.3094502779493</v>
      </c>
      <c r="I142" s="43">
        <f>('CO2'!I142/Population!I142)*1000</f>
        <v>2467.443554260743</v>
      </c>
      <c r="J142" s="41">
        <f>('CO2'!J142/Population!J142)*1000</f>
        <v>1905.8930782991606</v>
      </c>
      <c r="K142">
        <f>('CO2'!K142/Population!K142)*1000</f>
        <v>2509.5466800820645</v>
      </c>
      <c r="L142" s="41">
        <f>('CO2'!L142/Population!L142)*1000</f>
        <v>2959.2347577328806</v>
      </c>
      <c r="M142" s="45">
        <f>('CO2'!M142/Population!M142)*1000</f>
        <v>2023.5183443085605</v>
      </c>
      <c r="N142" s="41">
        <f>('CO2'!N142/Population!N142)*1000</f>
        <v>3334.4023946974553</v>
      </c>
      <c r="O142" s="41">
        <f>('CO2'!O142/Population!O142)*1000</f>
        <v>1329.6396312505819</v>
      </c>
      <c r="P142" s="41">
        <f>('CO2'!P142/Population!P142)*1000</f>
        <v>1813.319854028997</v>
      </c>
      <c r="Q142">
        <f>('CO2'!Q142/Population!Q142)*1000</f>
        <v>161.32936138521691</v>
      </c>
      <c r="R142" s="41">
        <f>('CO2'!R142/Population!R142)*1000</f>
        <v>1578.2455366982588</v>
      </c>
      <c r="S142" s="41">
        <f>('CO2'!S142/Population!S142)*1000</f>
        <v>1384.1016238868517</v>
      </c>
      <c r="T142" s="41">
        <f>('CO2'!T142/Population!T142)*1000</f>
        <v>2196.0771515289971</v>
      </c>
      <c r="U142" s="41">
        <f>('CO2'!U142/Population!U142)*1000</f>
        <v>4776.1143991850731</v>
      </c>
      <c r="V142">
        <f>('CO2'!V142/Population!V142)*1000</f>
        <v>516.68092386655258</v>
      </c>
    </row>
  </sheetData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Population</vt:lpstr>
      <vt:lpstr> Real GDP Per Capita</vt:lpstr>
      <vt:lpstr>percapital</vt:lpstr>
      <vt:lpstr>CO2</vt:lpstr>
      <vt:lpstr>CO2 per capita</vt:lpstr>
      <vt:lpstr>' Real GDP Per Capita'!Print_Area</vt:lpstr>
      <vt:lpstr>' Real GDP Per Capita'!Print_Titles</vt:lpstr>
    </vt:vector>
  </TitlesOfParts>
  <Company>Rijksuniversiteit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Ypma</dc:creator>
  <cp:lastModifiedBy>li_zhi</cp:lastModifiedBy>
  <cp:lastPrinted>2008-09-24T07:39:28Z</cp:lastPrinted>
  <dcterms:created xsi:type="dcterms:W3CDTF">2006-04-11T13:25:43Z</dcterms:created>
  <dcterms:modified xsi:type="dcterms:W3CDTF">2021-05-30T01:06:42Z</dcterms:modified>
</cp:coreProperties>
</file>